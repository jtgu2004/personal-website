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Gu/Documents/Personal/Career/Additional Materials/"/>
    </mc:Choice>
  </mc:AlternateContent>
  <xr:revisionPtr revIDLastSave="0" documentId="8_{9101B6D3-76D6-4068-BF21-083DD2CB1864}" xr6:coauthVersionLast="47" xr6:coauthVersionMax="47" xr10:uidLastSave="{00000000-0000-0000-0000-000000000000}"/>
  <bookViews>
    <workbookView xWindow="0" yWindow="480" windowWidth="25600" windowHeight="12300" xr2:uid="{87B527F4-A970-479F-9D06-364D2F78877C}"/>
  </bookViews>
  <sheets>
    <sheet name="Inputs" sheetId="7" r:id="rId1"/>
    <sheet name="Summary" sheetId="8" r:id="rId2"/>
    <sheet name="Model" sheetId="2" r:id="rId3"/>
    <sheet name="data set" sheetId="1" r:id="rId4"/>
    <sheet name="Growth_Analysis" sheetId="6" r:id="rId5"/>
    <sheet name="Notes" sheetId="3" state="hidden" r:id="rId6"/>
  </sheets>
  <definedNames>
    <definedName name="_xlnm._FilterDatabase" localSheetId="3" hidden="1">'data set'!$A$1:$F$1567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" i="8" l="1"/>
  <c r="D98" i="8"/>
  <c r="E98" i="8"/>
  <c r="B98" i="8"/>
  <c r="A98" i="8"/>
  <c r="B106" i="8" l="1"/>
  <c r="B107" i="8"/>
  <c r="A107" i="8"/>
  <c r="A106" i="8"/>
  <c r="A97" i="8"/>
  <c r="A96" i="8"/>
  <c r="A101" i="8"/>
  <c r="B101" i="8"/>
  <c r="B100" i="8"/>
  <c r="A100" i="8"/>
  <c r="B104" i="8"/>
  <c r="B103" i="8"/>
  <c r="B102" i="8"/>
  <c r="B99" i="8"/>
  <c r="A109" i="8"/>
  <c r="A108" i="8"/>
  <c r="A105" i="8"/>
  <c r="A104" i="8"/>
  <c r="A103" i="8"/>
  <c r="A102" i="8"/>
  <c r="A99" i="8"/>
  <c r="J124" i="2"/>
  <c r="J84" i="8" s="1"/>
  <c r="J125" i="2"/>
  <c r="J85" i="8" s="1"/>
  <c r="J126" i="2"/>
  <c r="J86" i="8" s="1"/>
  <c r="J127" i="2"/>
  <c r="J87" i="8" s="1"/>
  <c r="J128" i="2"/>
  <c r="J88" i="8" s="1"/>
  <c r="J129" i="2"/>
  <c r="J89" i="8" s="1"/>
  <c r="J130" i="2"/>
  <c r="J90" i="8" s="1"/>
  <c r="J131" i="2"/>
  <c r="J91" i="8" s="1"/>
  <c r="J123" i="2"/>
  <c r="K123" i="2" s="1"/>
  <c r="L123" i="2" s="1"/>
  <c r="M123" i="2" s="1"/>
  <c r="N123" i="2" s="1"/>
  <c r="O123" i="2" s="1"/>
  <c r="P123" i="2" s="1"/>
  <c r="Q123" i="2" s="1"/>
  <c r="A84" i="8"/>
  <c r="A85" i="8"/>
  <c r="A86" i="8"/>
  <c r="A87" i="8"/>
  <c r="A88" i="8"/>
  <c r="A89" i="8"/>
  <c r="A90" i="8"/>
  <c r="A91" i="8"/>
  <c r="A83" i="8"/>
  <c r="A82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T59" i="8"/>
  <c r="S59" i="8"/>
  <c r="A59" i="8"/>
  <c r="A58" i="8"/>
  <c r="A57" i="8"/>
  <c r="A56" i="8"/>
  <c r="A55" i="8"/>
  <c r="A54" i="8"/>
  <c r="A53" i="8"/>
  <c r="A52" i="8"/>
  <c r="A51" i="8"/>
  <c r="A50" i="8"/>
  <c r="A49" i="8"/>
  <c r="A48" i="8"/>
  <c r="A46" i="8"/>
  <c r="A45" i="8"/>
  <c r="A44" i="8"/>
  <c r="A43" i="8"/>
  <c r="A42" i="8"/>
  <c r="A41" i="8"/>
  <c r="A40" i="8"/>
  <c r="A39" i="8"/>
  <c r="A38" i="8"/>
  <c r="A37" i="8"/>
  <c r="A36" i="8"/>
  <c r="A35" i="8"/>
  <c r="T34" i="8"/>
  <c r="S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T33" i="8"/>
  <c r="S33" i="8"/>
  <c r="J33" i="8"/>
  <c r="I33" i="8"/>
  <c r="H33" i="8"/>
  <c r="G33" i="8"/>
  <c r="F33" i="8"/>
  <c r="E33" i="8"/>
  <c r="D33" i="8"/>
  <c r="C33" i="8"/>
  <c r="B33" i="8"/>
  <c r="K125" i="2" l="1"/>
  <c r="L125" i="2" s="1"/>
  <c r="M125" i="2" s="1"/>
  <c r="J108" i="8"/>
  <c r="J109" i="8"/>
  <c r="K129" i="2"/>
  <c r="L85" i="8"/>
  <c r="K85" i="8" l="1"/>
  <c r="L129" i="2"/>
  <c r="K89" i="8"/>
  <c r="N125" i="2"/>
  <c r="M85" i="8"/>
  <c r="M129" i="2" l="1"/>
  <c r="L89" i="8"/>
  <c r="O125" i="2"/>
  <c r="N85" i="8"/>
  <c r="T25" i="2"/>
  <c r="T26" i="2"/>
  <c r="S25" i="2"/>
  <c r="S26" i="2"/>
  <c r="N129" i="2" l="1"/>
  <c r="M89" i="8"/>
  <c r="P125" i="2"/>
  <c r="O85" i="8"/>
  <c r="K15" i="6"/>
  <c r="L15" i="6"/>
  <c r="M15" i="6"/>
  <c r="N15" i="6"/>
  <c r="O15" i="6"/>
  <c r="P15" i="6"/>
  <c r="Q15" i="6"/>
  <c r="K16" i="6"/>
  <c r="L16" i="6"/>
  <c r="M16" i="6"/>
  <c r="N16" i="6"/>
  <c r="O16" i="6"/>
  <c r="P16" i="6"/>
  <c r="Q16" i="6"/>
  <c r="J16" i="6"/>
  <c r="C12" i="7" s="1"/>
  <c r="J15" i="6"/>
  <c r="K11" i="6"/>
  <c r="L11" i="6"/>
  <c r="M11" i="6"/>
  <c r="N11" i="6"/>
  <c r="O11" i="6"/>
  <c r="P11" i="6"/>
  <c r="Q11" i="6"/>
  <c r="K12" i="6"/>
  <c r="L12" i="6"/>
  <c r="M12" i="6"/>
  <c r="N12" i="6"/>
  <c r="O12" i="6"/>
  <c r="P12" i="6"/>
  <c r="Q12" i="6"/>
  <c r="J12" i="6"/>
  <c r="J11" i="6"/>
  <c r="J4" i="2"/>
  <c r="J7" i="2" l="1"/>
  <c r="J69" i="2" s="1"/>
  <c r="C11" i="7"/>
  <c r="J97" i="8"/>
  <c r="O129" i="2"/>
  <c r="N89" i="8"/>
  <c r="Q125" i="2"/>
  <c r="P85" i="8"/>
  <c r="J35" i="8"/>
  <c r="J66" i="2"/>
  <c r="M7" i="2"/>
  <c r="M38" i="8" s="1"/>
  <c r="N7" i="2"/>
  <c r="N38" i="8" s="1"/>
  <c r="O7" i="2"/>
  <c r="P7" i="2"/>
  <c r="P38" i="8" s="1"/>
  <c r="Q7" i="2"/>
  <c r="Q38" i="8" s="1"/>
  <c r="M8" i="2"/>
  <c r="M39" i="8" s="1"/>
  <c r="N8" i="2"/>
  <c r="N39" i="8" s="1"/>
  <c r="O8" i="2"/>
  <c r="O39" i="8" s="1"/>
  <c r="P8" i="2"/>
  <c r="P39" i="8" s="1"/>
  <c r="Q8" i="2"/>
  <c r="Q39" i="8" s="1"/>
  <c r="J8" i="2"/>
  <c r="J38" i="8"/>
  <c r="L8" i="2"/>
  <c r="L39" i="8" s="1"/>
  <c r="K8" i="2"/>
  <c r="L7" i="2"/>
  <c r="L38" i="8" s="1"/>
  <c r="K7" i="2"/>
  <c r="J18" i="2"/>
  <c r="J19" i="2"/>
  <c r="J20" i="2"/>
  <c r="J5" i="2"/>
  <c r="J67" i="2" s="1"/>
  <c r="J9" i="2"/>
  <c r="J71" i="2" s="1"/>
  <c r="P129" i="2" l="1"/>
  <c r="O89" i="8"/>
  <c r="Q85" i="8"/>
  <c r="T125" i="2"/>
  <c r="T85" i="8" s="1"/>
  <c r="J39" i="8"/>
  <c r="J70" i="2"/>
  <c r="J36" i="8"/>
  <c r="J40" i="8"/>
  <c r="O50" i="2"/>
  <c r="O105" i="8" s="1"/>
  <c r="O38" i="8"/>
  <c r="K39" i="8"/>
  <c r="T8" i="2"/>
  <c r="T39" i="8" s="1"/>
  <c r="K50" i="2"/>
  <c r="K105" i="8" s="1"/>
  <c r="K38" i="8"/>
  <c r="T7" i="2"/>
  <c r="T38" i="8" s="1"/>
  <c r="J50" i="2"/>
  <c r="J105" i="8" s="1"/>
  <c r="P46" i="2"/>
  <c r="P102" i="8" s="1"/>
  <c r="P50" i="2"/>
  <c r="P105" i="8" s="1"/>
  <c r="L46" i="2"/>
  <c r="L102" i="8" s="1"/>
  <c r="L50" i="2"/>
  <c r="L105" i="8" s="1"/>
  <c r="N50" i="2"/>
  <c r="N105" i="8" s="1"/>
  <c r="Q50" i="2"/>
  <c r="M50" i="2"/>
  <c r="M105" i="8" s="1"/>
  <c r="O46" i="2"/>
  <c r="O102" i="8" s="1"/>
  <c r="N46" i="2"/>
  <c r="N102" i="8" s="1"/>
  <c r="K46" i="2"/>
  <c r="K102" i="8" s="1"/>
  <c r="Q46" i="2"/>
  <c r="Q102" i="8" s="1"/>
  <c r="M46" i="2"/>
  <c r="M102" i="8" s="1"/>
  <c r="J46" i="2"/>
  <c r="J102" i="8" s="1"/>
  <c r="J22" i="2"/>
  <c r="J24" i="2"/>
  <c r="J106" i="8" s="1"/>
  <c r="J28" i="2"/>
  <c r="J29" i="2"/>
  <c r="J27" i="2"/>
  <c r="J107" i="8" l="1"/>
  <c r="T102" i="8"/>
  <c r="U102" i="8"/>
  <c r="T50" i="2"/>
  <c r="Q105" i="8"/>
  <c r="U105" i="8" s="1"/>
  <c r="Q129" i="2"/>
  <c r="P89" i="8"/>
  <c r="K24" i="2"/>
  <c r="K27" i="2"/>
  <c r="K18" i="2" s="1"/>
  <c r="K22" i="2"/>
  <c r="K29" i="2"/>
  <c r="K9" i="2" s="1"/>
  <c r="K28" i="2"/>
  <c r="L28" i="2" s="1"/>
  <c r="T46" i="2"/>
  <c r="M48" i="2"/>
  <c r="M104" i="8" s="1"/>
  <c r="O48" i="2"/>
  <c r="O104" i="8" s="1"/>
  <c r="K48" i="2"/>
  <c r="K104" i="8" s="1"/>
  <c r="L48" i="2"/>
  <c r="L104" i="8" s="1"/>
  <c r="N48" i="2"/>
  <c r="N104" i="8" s="1"/>
  <c r="P48" i="2"/>
  <c r="P104" i="8" s="1"/>
  <c r="Q48" i="2"/>
  <c r="Q104" i="8" s="1"/>
  <c r="K5" i="2" l="1"/>
  <c r="K36" i="8" s="1"/>
  <c r="L22" i="2"/>
  <c r="L107" i="8" s="1"/>
  <c r="K107" i="8"/>
  <c r="L24" i="2"/>
  <c r="L106" i="8" s="1"/>
  <c r="K106" i="8"/>
  <c r="T105" i="8"/>
  <c r="U104" i="8"/>
  <c r="Q89" i="8"/>
  <c r="T129" i="2"/>
  <c r="T89" i="8" s="1"/>
  <c r="K20" i="2"/>
  <c r="K4" i="2"/>
  <c r="K97" i="8" s="1"/>
  <c r="L27" i="2"/>
  <c r="M27" i="2" s="1"/>
  <c r="K40" i="8"/>
  <c r="L29" i="2"/>
  <c r="M29" i="2" s="1"/>
  <c r="K19" i="2"/>
  <c r="L19" i="2" s="1"/>
  <c r="M28" i="2"/>
  <c r="T48" i="2"/>
  <c r="M22" i="2"/>
  <c r="M107" i="8" s="1"/>
  <c r="L5" i="2" l="1"/>
  <c r="M5" i="2" s="1"/>
  <c r="L9" i="2"/>
  <c r="L40" i="8" s="1"/>
  <c r="L18" i="2"/>
  <c r="M18" i="2" s="1"/>
  <c r="M24" i="2"/>
  <c r="M106" i="8" s="1"/>
  <c r="K35" i="8"/>
  <c r="K34" i="2"/>
  <c r="L4" i="2"/>
  <c r="L20" i="2"/>
  <c r="M20" i="2" s="1"/>
  <c r="N27" i="2"/>
  <c r="N29" i="2"/>
  <c r="M19" i="2"/>
  <c r="N28" i="2"/>
  <c r="N22" i="2"/>
  <c r="N107" i="8" s="1"/>
  <c r="L36" i="8" l="1"/>
  <c r="M9" i="2"/>
  <c r="N9" i="2" s="1"/>
  <c r="N24" i="2"/>
  <c r="N106" i="8" s="1"/>
  <c r="L34" i="2"/>
  <c r="L97" i="8"/>
  <c r="L35" i="8"/>
  <c r="M4" i="2"/>
  <c r="O24" i="2"/>
  <c r="O106" i="8" s="1"/>
  <c r="N18" i="2"/>
  <c r="M40" i="8"/>
  <c r="O29" i="2"/>
  <c r="O28" i="2"/>
  <c r="N5" i="2"/>
  <c r="M36" i="8"/>
  <c r="N20" i="2"/>
  <c r="N19" i="2"/>
  <c r="O27" i="2"/>
  <c r="O22" i="2"/>
  <c r="O107" i="8" s="1"/>
  <c r="M34" i="2" l="1"/>
  <c r="M97" i="8"/>
  <c r="M35" i="8"/>
  <c r="N4" i="2"/>
  <c r="O4" i="2" s="1"/>
  <c r="O20" i="2"/>
  <c r="O9" i="2"/>
  <c r="N40" i="8"/>
  <c r="O18" i="2"/>
  <c r="P24" i="2"/>
  <c r="P106" i="8" s="1"/>
  <c r="P27" i="2"/>
  <c r="O19" i="2"/>
  <c r="O5" i="2"/>
  <c r="N36" i="8"/>
  <c r="P28" i="2"/>
  <c r="P29" i="2"/>
  <c r="P22" i="2"/>
  <c r="P107" i="8" s="1"/>
  <c r="O34" i="2" l="1"/>
  <c r="O97" i="8"/>
  <c r="N34" i="2"/>
  <c r="N97" i="8"/>
  <c r="N35" i="8"/>
  <c r="P4" i="2"/>
  <c r="O35" i="8"/>
  <c r="Q28" i="2"/>
  <c r="P19" i="2"/>
  <c r="Q24" i="2"/>
  <c r="Q106" i="8" s="1"/>
  <c r="U106" i="8" s="1"/>
  <c r="P9" i="2"/>
  <c r="O40" i="8"/>
  <c r="Q29" i="2"/>
  <c r="P5" i="2"/>
  <c r="O36" i="8"/>
  <c r="Q27" i="2"/>
  <c r="P18" i="2"/>
  <c r="P20" i="2"/>
  <c r="Q22" i="2"/>
  <c r="Q107" i="8" s="1"/>
  <c r="T107" i="8" s="1"/>
  <c r="P34" i="2" l="1"/>
  <c r="P97" i="8"/>
  <c r="U107" i="8"/>
  <c r="T106" i="8"/>
  <c r="T27" i="2"/>
  <c r="T29" i="2"/>
  <c r="Q9" i="2"/>
  <c r="P40" i="8"/>
  <c r="Q19" i="2"/>
  <c r="Q4" i="2"/>
  <c r="P35" i="8"/>
  <c r="Q20" i="2"/>
  <c r="Q18" i="2"/>
  <c r="Q5" i="2"/>
  <c r="P36" i="8"/>
  <c r="T24" i="2"/>
  <c r="T28" i="2"/>
  <c r="T22" i="2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Q34" i="2" l="1"/>
  <c r="T34" i="2" s="1"/>
  <c r="Q97" i="8"/>
  <c r="U97" i="8" s="1"/>
  <c r="T18" i="2"/>
  <c r="Q35" i="8"/>
  <c r="T4" i="2"/>
  <c r="T35" i="8" s="1"/>
  <c r="Q40" i="8"/>
  <c r="T9" i="2"/>
  <c r="T40" i="8" s="1"/>
  <c r="Q36" i="8"/>
  <c r="T5" i="2"/>
  <c r="T36" i="8" s="1"/>
  <c r="T20" i="2"/>
  <c r="T19" i="2"/>
  <c r="T97" i="8" l="1"/>
  <c r="C66" i="2" l="1"/>
  <c r="D66" i="2"/>
  <c r="E66" i="2"/>
  <c r="F66" i="2"/>
  <c r="G66" i="2"/>
  <c r="H66" i="2"/>
  <c r="I66" i="2"/>
  <c r="C67" i="2"/>
  <c r="D67" i="2"/>
  <c r="E67" i="2"/>
  <c r="F67" i="2"/>
  <c r="G67" i="2"/>
  <c r="H67" i="2"/>
  <c r="I67" i="2"/>
  <c r="C68" i="2"/>
  <c r="D68" i="2"/>
  <c r="E68" i="2"/>
  <c r="F68" i="2"/>
  <c r="G68" i="2"/>
  <c r="H68" i="2"/>
  <c r="I68" i="2"/>
  <c r="C69" i="2"/>
  <c r="D69" i="2"/>
  <c r="E69" i="2"/>
  <c r="F69" i="2"/>
  <c r="G69" i="2"/>
  <c r="H69" i="2"/>
  <c r="I69" i="2"/>
  <c r="C70" i="2"/>
  <c r="D70" i="2"/>
  <c r="E70" i="2"/>
  <c r="F70" i="2"/>
  <c r="G70" i="2"/>
  <c r="H70" i="2"/>
  <c r="I70" i="2"/>
  <c r="C71" i="2"/>
  <c r="D71" i="2"/>
  <c r="E71" i="2"/>
  <c r="F71" i="2"/>
  <c r="G71" i="2"/>
  <c r="H71" i="2"/>
  <c r="I71" i="2"/>
  <c r="C72" i="2"/>
  <c r="D72" i="2"/>
  <c r="E72" i="2"/>
  <c r="F72" i="2"/>
  <c r="G72" i="2"/>
  <c r="H72" i="2"/>
  <c r="I72" i="2"/>
  <c r="C73" i="2"/>
  <c r="D73" i="2"/>
  <c r="E73" i="2"/>
  <c r="F73" i="2"/>
  <c r="G73" i="2"/>
  <c r="H73" i="2"/>
  <c r="I73" i="2"/>
  <c r="C74" i="2"/>
  <c r="C68" i="8" s="1"/>
  <c r="D74" i="2"/>
  <c r="D68" i="8" s="1"/>
  <c r="E74" i="2"/>
  <c r="E68" i="8" s="1"/>
  <c r="F74" i="2"/>
  <c r="F68" i="8" s="1"/>
  <c r="G74" i="2"/>
  <c r="G68" i="8" s="1"/>
  <c r="H74" i="2"/>
  <c r="H68" i="8" s="1"/>
  <c r="I74" i="2"/>
  <c r="I68" i="8" s="1"/>
  <c r="B67" i="2"/>
  <c r="B68" i="2"/>
  <c r="B69" i="2"/>
  <c r="B70" i="2"/>
  <c r="B71" i="2"/>
  <c r="B72" i="2"/>
  <c r="B73" i="2"/>
  <c r="B74" i="2"/>
  <c r="B68" i="8" s="1"/>
  <c r="B66" i="2"/>
  <c r="C54" i="2"/>
  <c r="C49" i="8" s="1"/>
  <c r="D54" i="2"/>
  <c r="D49" i="8" s="1"/>
  <c r="E54" i="2"/>
  <c r="E49" i="8" s="1"/>
  <c r="F54" i="2"/>
  <c r="F49" i="8" s="1"/>
  <c r="G54" i="2"/>
  <c r="G49" i="8" s="1"/>
  <c r="H54" i="2"/>
  <c r="H49" i="8" s="1"/>
  <c r="I54" i="2"/>
  <c r="I49" i="8" s="1"/>
  <c r="C55" i="2"/>
  <c r="C50" i="8" s="1"/>
  <c r="D55" i="2"/>
  <c r="D50" i="8" s="1"/>
  <c r="E55" i="2"/>
  <c r="E50" i="8" s="1"/>
  <c r="F55" i="2"/>
  <c r="F50" i="8" s="1"/>
  <c r="G55" i="2"/>
  <c r="G50" i="8" s="1"/>
  <c r="H55" i="2"/>
  <c r="H50" i="8" s="1"/>
  <c r="I55" i="2"/>
  <c r="I50" i="8" s="1"/>
  <c r="C56" i="2"/>
  <c r="C51" i="8" s="1"/>
  <c r="D56" i="2"/>
  <c r="D51" i="8" s="1"/>
  <c r="E56" i="2"/>
  <c r="E51" i="8" s="1"/>
  <c r="F56" i="2"/>
  <c r="F51" i="8" s="1"/>
  <c r="G56" i="2"/>
  <c r="G51" i="8" s="1"/>
  <c r="H56" i="2"/>
  <c r="H51" i="8" s="1"/>
  <c r="I56" i="2"/>
  <c r="I51" i="8" s="1"/>
  <c r="C57" i="2"/>
  <c r="C52" i="8" s="1"/>
  <c r="D57" i="2"/>
  <c r="D52" i="8" s="1"/>
  <c r="E57" i="2"/>
  <c r="E52" i="8" s="1"/>
  <c r="F57" i="2"/>
  <c r="F52" i="8" s="1"/>
  <c r="G57" i="2"/>
  <c r="G52" i="8" s="1"/>
  <c r="H57" i="2"/>
  <c r="H52" i="8" s="1"/>
  <c r="I57" i="2"/>
  <c r="I52" i="8" s="1"/>
  <c r="C58" i="2"/>
  <c r="C53" i="8" s="1"/>
  <c r="D58" i="2"/>
  <c r="D53" i="8" s="1"/>
  <c r="E58" i="2"/>
  <c r="E53" i="8" s="1"/>
  <c r="F58" i="2"/>
  <c r="F53" i="8" s="1"/>
  <c r="G58" i="2"/>
  <c r="G53" i="8" s="1"/>
  <c r="H58" i="2"/>
  <c r="H53" i="8" s="1"/>
  <c r="I58" i="2"/>
  <c r="I53" i="8" s="1"/>
  <c r="C59" i="2"/>
  <c r="C54" i="8" s="1"/>
  <c r="D59" i="2"/>
  <c r="D54" i="8" s="1"/>
  <c r="E59" i="2"/>
  <c r="E54" i="8" s="1"/>
  <c r="F59" i="2"/>
  <c r="F54" i="8" s="1"/>
  <c r="G59" i="2"/>
  <c r="G54" i="8" s="1"/>
  <c r="H59" i="2"/>
  <c r="H54" i="8" s="1"/>
  <c r="I59" i="2"/>
  <c r="I54" i="8" s="1"/>
  <c r="C60" i="2"/>
  <c r="C55" i="8" s="1"/>
  <c r="D60" i="2"/>
  <c r="D55" i="8" s="1"/>
  <c r="E60" i="2"/>
  <c r="E55" i="8" s="1"/>
  <c r="F60" i="2"/>
  <c r="F55" i="8" s="1"/>
  <c r="G60" i="2"/>
  <c r="G55" i="8" s="1"/>
  <c r="H60" i="2"/>
  <c r="H55" i="8" s="1"/>
  <c r="I60" i="2"/>
  <c r="I55" i="8" s="1"/>
  <c r="C61" i="2"/>
  <c r="C56" i="8" s="1"/>
  <c r="D61" i="2"/>
  <c r="D56" i="8" s="1"/>
  <c r="E61" i="2"/>
  <c r="E56" i="8" s="1"/>
  <c r="F61" i="2"/>
  <c r="F56" i="8" s="1"/>
  <c r="G61" i="2"/>
  <c r="G56" i="8" s="1"/>
  <c r="H61" i="2"/>
  <c r="H56" i="8" s="1"/>
  <c r="I61" i="2"/>
  <c r="I56" i="8" s="1"/>
  <c r="C62" i="2"/>
  <c r="C57" i="8" s="1"/>
  <c r="D62" i="2"/>
  <c r="D57" i="8" s="1"/>
  <c r="E62" i="2"/>
  <c r="E57" i="8" s="1"/>
  <c r="F62" i="2"/>
  <c r="F57" i="8" s="1"/>
  <c r="G62" i="2"/>
  <c r="G57" i="8" s="1"/>
  <c r="H62" i="2"/>
  <c r="H57" i="8" s="1"/>
  <c r="I62" i="2"/>
  <c r="I57" i="8" s="1"/>
  <c r="B55" i="2"/>
  <c r="B50" i="8" s="1"/>
  <c r="B56" i="2"/>
  <c r="B51" i="8" s="1"/>
  <c r="B57" i="2"/>
  <c r="B52" i="8" s="1"/>
  <c r="B58" i="2"/>
  <c r="B53" i="8" s="1"/>
  <c r="B59" i="2"/>
  <c r="B54" i="8" s="1"/>
  <c r="B60" i="2"/>
  <c r="B55" i="8" s="1"/>
  <c r="B61" i="2"/>
  <c r="B56" i="8" s="1"/>
  <c r="B62" i="2"/>
  <c r="B57" i="8" s="1"/>
  <c r="B54" i="2"/>
  <c r="B49" i="8" s="1"/>
  <c r="C78" i="2"/>
  <c r="C71" i="8" s="1"/>
  <c r="D78" i="2"/>
  <c r="D71" i="8" s="1"/>
  <c r="E78" i="2"/>
  <c r="E71" i="8" s="1"/>
  <c r="F78" i="2"/>
  <c r="F71" i="8" s="1"/>
  <c r="G78" i="2"/>
  <c r="G71" i="8" s="1"/>
  <c r="H78" i="2"/>
  <c r="H71" i="8" s="1"/>
  <c r="I78" i="2"/>
  <c r="I71" i="8" s="1"/>
  <c r="C79" i="2"/>
  <c r="C72" i="8" s="1"/>
  <c r="D79" i="2"/>
  <c r="D72" i="8" s="1"/>
  <c r="E79" i="2"/>
  <c r="E72" i="8" s="1"/>
  <c r="F79" i="2"/>
  <c r="F72" i="8" s="1"/>
  <c r="G79" i="2"/>
  <c r="G72" i="8" s="1"/>
  <c r="H79" i="2"/>
  <c r="H72" i="8" s="1"/>
  <c r="I79" i="2"/>
  <c r="I72" i="8" s="1"/>
  <c r="C80" i="2"/>
  <c r="C73" i="8" s="1"/>
  <c r="D80" i="2"/>
  <c r="D73" i="8" s="1"/>
  <c r="E80" i="2"/>
  <c r="E73" i="8" s="1"/>
  <c r="F80" i="2"/>
  <c r="F73" i="8" s="1"/>
  <c r="G80" i="2"/>
  <c r="G73" i="8" s="1"/>
  <c r="H80" i="2"/>
  <c r="H73" i="8" s="1"/>
  <c r="I80" i="2"/>
  <c r="I73" i="8" s="1"/>
  <c r="C81" i="2"/>
  <c r="C74" i="8" s="1"/>
  <c r="D81" i="2"/>
  <c r="D74" i="8" s="1"/>
  <c r="E81" i="2"/>
  <c r="E74" i="8" s="1"/>
  <c r="F81" i="2"/>
  <c r="F74" i="8" s="1"/>
  <c r="G81" i="2"/>
  <c r="G74" i="8" s="1"/>
  <c r="H81" i="2"/>
  <c r="H74" i="8" s="1"/>
  <c r="I81" i="2"/>
  <c r="I74" i="8" s="1"/>
  <c r="C82" i="2"/>
  <c r="C75" i="8" s="1"/>
  <c r="D82" i="2"/>
  <c r="D75" i="8" s="1"/>
  <c r="E82" i="2"/>
  <c r="E75" i="8" s="1"/>
  <c r="F82" i="2"/>
  <c r="F75" i="8" s="1"/>
  <c r="G82" i="2"/>
  <c r="G75" i="8" s="1"/>
  <c r="H82" i="2"/>
  <c r="H75" i="8" s="1"/>
  <c r="I82" i="2"/>
  <c r="I75" i="8" s="1"/>
  <c r="C83" i="2"/>
  <c r="C76" i="8" s="1"/>
  <c r="D83" i="2"/>
  <c r="D76" i="8" s="1"/>
  <c r="E83" i="2"/>
  <c r="E76" i="8" s="1"/>
  <c r="F83" i="2"/>
  <c r="F76" i="8" s="1"/>
  <c r="G83" i="2"/>
  <c r="G76" i="8" s="1"/>
  <c r="H83" i="2"/>
  <c r="H76" i="8" s="1"/>
  <c r="I83" i="2"/>
  <c r="I76" i="8" s="1"/>
  <c r="C84" i="2"/>
  <c r="C77" i="8" s="1"/>
  <c r="D84" i="2"/>
  <c r="D77" i="8" s="1"/>
  <c r="E84" i="2"/>
  <c r="E77" i="8" s="1"/>
  <c r="F84" i="2"/>
  <c r="F77" i="8" s="1"/>
  <c r="G84" i="2"/>
  <c r="G77" i="8" s="1"/>
  <c r="H84" i="2"/>
  <c r="H77" i="8" s="1"/>
  <c r="I84" i="2"/>
  <c r="I77" i="8" s="1"/>
  <c r="C85" i="2"/>
  <c r="C78" i="8" s="1"/>
  <c r="D85" i="2"/>
  <c r="D78" i="8" s="1"/>
  <c r="E85" i="2"/>
  <c r="E78" i="8" s="1"/>
  <c r="F85" i="2"/>
  <c r="F78" i="8" s="1"/>
  <c r="G85" i="2"/>
  <c r="G78" i="8" s="1"/>
  <c r="H85" i="2"/>
  <c r="H78" i="8" s="1"/>
  <c r="I85" i="2"/>
  <c r="I78" i="8" s="1"/>
  <c r="C86" i="2"/>
  <c r="C79" i="8" s="1"/>
  <c r="D86" i="2"/>
  <c r="D79" i="8" s="1"/>
  <c r="E86" i="2"/>
  <c r="E79" i="8" s="1"/>
  <c r="F86" i="2"/>
  <c r="F79" i="8" s="1"/>
  <c r="G86" i="2"/>
  <c r="G79" i="8" s="1"/>
  <c r="H86" i="2"/>
  <c r="H79" i="8" s="1"/>
  <c r="I86" i="2"/>
  <c r="I79" i="8" s="1"/>
  <c r="B79" i="2"/>
  <c r="B72" i="8" s="1"/>
  <c r="B80" i="2"/>
  <c r="B73" i="8" s="1"/>
  <c r="B81" i="2"/>
  <c r="B74" i="8" s="1"/>
  <c r="B82" i="2"/>
  <c r="B75" i="8" s="1"/>
  <c r="B83" i="2"/>
  <c r="B76" i="8" s="1"/>
  <c r="B84" i="2"/>
  <c r="B77" i="8" s="1"/>
  <c r="B85" i="2"/>
  <c r="B78" i="8" s="1"/>
  <c r="B86" i="2"/>
  <c r="B79" i="8" s="1"/>
  <c r="B78" i="2"/>
  <c r="C4" i="2"/>
  <c r="D4" i="2"/>
  <c r="E4" i="2"/>
  <c r="F4" i="2"/>
  <c r="G4" i="2"/>
  <c r="H4" i="2"/>
  <c r="I4" i="2"/>
  <c r="C5" i="2"/>
  <c r="C36" i="8" s="1"/>
  <c r="D5" i="2"/>
  <c r="D36" i="8" s="1"/>
  <c r="E5" i="2"/>
  <c r="E36" i="8" s="1"/>
  <c r="F5" i="2"/>
  <c r="F36" i="8" s="1"/>
  <c r="G5" i="2"/>
  <c r="G36" i="8" s="1"/>
  <c r="H5" i="2"/>
  <c r="H36" i="8" s="1"/>
  <c r="I5" i="2"/>
  <c r="C12" i="2"/>
  <c r="C43" i="8" s="1"/>
  <c r="D12" i="2"/>
  <c r="D43" i="8" s="1"/>
  <c r="E12" i="2"/>
  <c r="E43" i="8" s="1"/>
  <c r="F12" i="2"/>
  <c r="G12" i="2"/>
  <c r="G43" i="8" s="1"/>
  <c r="H12" i="2"/>
  <c r="H43" i="8" s="1"/>
  <c r="I12" i="2"/>
  <c r="I43" i="8" s="1"/>
  <c r="C6" i="2"/>
  <c r="D6" i="2"/>
  <c r="D37" i="8" s="1"/>
  <c r="E6" i="2"/>
  <c r="E37" i="8" s="1"/>
  <c r="F6" i="2"/>
  <c r="F37" i="8" s="1"/>
  <c r="G6" i="2"/>
  <c r="G37" i="8" s="1"/>
  <c r="H6" i="2"/>
  <c r="H37" i="8" s="1"/>
  <c r="I6" i="2"/>
  <c r="I37" i="8" s="1"/>
  <c r="C7" i="2"/>
  <c r="C38" i="8" s="1"/>
  <c r="D7" i="2"/>
  <c r="D38" i="8" s="1"/>
  <c r="E7" i="2"/>
  <c r="E38" i="8" s="1"/>
  <c r="F7" i="2"/>
  <c r="F38" i="8" s="1"/>
  <c r="G7" i="2"/>
  <c r="G38" i="8" s="1"/>
  <c r="H7" i="2"/>
  <c r="H38" i="8" s="1"/>
  <c r="I7" i="2"/>
  <c r="C8" i="2"/>
  <c r="C39" i="8" s="1"/>
  <c r="D8" i="2"/>
  <c r="D39" i="8" s="1"/>
  <c r="E8" i="2"/>
  <c r="E39" i="8" s="1"/>
  <c r="F8" i="2"/>
  <c r="F39" i="8" s="1"/>
  <c r="G8" i="2"/>
  <c r="G39" i="8" s="1"/>
  <c r="H8" i="2"/>
  <c r="H39" i="8" s="1"/>
  <c r="I8" i="2"/>
  <c r="C13" i="2"/>
  <c r="C44" i="8" s="1"/>
  <c r="D13" i="2"/>
  <c r="D44" i="8" s="1"/>
  <c r="E13" i="2"/>
  <c r="E44" i="8" s="1"/>
  <c r="F13" i="2"/>
  <c r="F44" i="8" s="1"/>
  <c r="G13" i="2"/>
  <c r="G44" i="8" s="1"/>
  <c r="H13" i="2"/>
  <c r="H44" i="8" s="1"/>
  <c r="I13" i="2"/>
  <c r="C9" i="2"/>
  <c r="C40" i="8" s="1"/>
  <c r="D9" i="2"/>
  <c r="D40" i="8" s="1"/>
  <c r="E9" i="2"/>
  <c r="E40" i="8" s="1"/>
  <c r="F9" i="2"/>
  <c r="F40" i="8" s="1"/>
  <c r="G9" i="2"/>
  <c r="G40" i="8" s="1"/>
  <c r="H9" i="2"/>
  <c r="H40" i="8" s="1"/>
  <c r="I9" i="2"/>
  <c r="C10" i="2"/>
  <c r="C41" i="8" s="1"/>
  <c r="D10" i="2"/>
  <c r="D41" i="8" s="1"/>
  <c r="E10" i="2"/>
  <c r="E41" i="8" s="1"/>
  <c r="F10" i="2"/>
  <c r="F41" i="8" s="1"/>
  <c r="G10" i="2"/>
  <c r="G41" i="8" s="1"/>
  <c r="H10" i="2"/>
  <c r="H41" i="8" s="1"/>
  <c r="I10" i="2"/>
  <c r="I41" i="8" s="1"/>
  <c r="B5" i="2"/>
  <c r="B12" i="2"/>
  <c r="B43" i="8" s="1"/>
  <c r="B6" i="2"/>
  <c r="B37" i="8" s="1"/>
  <c r="B7" i="2"/>
  <c r="B38" i="8" s="1"/>
  <c r="B8" i="2"/>
  <c r="B13" i="2"/>
  <c r="B44" i="8" s="1"/>
  <c r="B9" i="2"/>
  <c r="B10" i="2"/>
  <c r="B41" i="8" s="1"/>
  <c r="B4" i="2"/>
  <c r="F43" i="8" l="1"/>
  <c r="F35" i="2"/>
  <c r="I44" i="8"/>
  <c r="J10" i="2"/>
  <c r="I34" i="2"/>
  <c r="S34" i="2" s="1"/>
  <c r="I97" i="8"/>
  <c r="J34" i="2"/>
  <c r="E35" i="8"/>
  <c r="E97" i="8"/>
  <c r="E34" i="2"/>
  <c r="H35" i="8"/>
  <c r="H97" i="8"/>
  <c r="H34" i="2"/>
  <c r="D35" i="8"/>
  <c r="D34" i="2"/>
  <c r="D97" i="8"/>
  <c r="B35" i="8"/>
  <c r="B97" i="8"/>
  <c r="G35" i="8"/>
  <c r="G34" i="2"/>
  <c r="G97" i="8"/>
  <c r="C35" i="8"/>
  <c r="C97" i="8"/>
  <c r="C34" i="2"/>
  <c r="F35" i="8"/>
  <c r="F97" i="8"/>
  <c r="F34" i="2"/>
  <c r="B64" i="8"/>
  <c r="B127" i="2"/>
  <c r="H67" i="8"/>
  <c r="H130" i="2"/>
  <c r="H90" i="8" s="1"/>
  <c r="D67" i="8"/>
  <c r="D130" i="2"/>
  <c r="D90" i="8" s="1"/>
  <c r="G66" i="8"/>
  <c r="G129" i="2"/>
  <c r="G89" i="8" s="1"/>
  <c r="C66" i="8"/>
  <c r="C129" i="2"/>
  <c r="C89" i="8" s="1"/>
  <c r="F65" i="8"/>
  <c r="F128" i="2"/>
  <c r="F88" i="8" s="1"/>
  <c r="I64" i="8"/>
  <c r="I127" i="2"/>
  <c r="E64" i="8"/>
  <c r="E127" i="2"/>
  <c r="H63" i="8"/>
  <c r="H126" i="2"/>
  <c r="D63" i="8"/>
  <c r="D126" i="2"/>
  <c r="G62" i="8"/>
  <c r="G125" i="2"/>
  <c r="G85" i="8" s="1"/>
  <c r="C62" i="8"/>
  <c r="C125" i="2"/>
  <c r="C85" i="8" s="1"/>
  <c r="F124" i="2"/>
  <c r="F84" i="8" s="1"/>
  <c r="I60" i="8"/>
  <c r="I123" i="2"/>
  <c r="I83" i="8" s="1"/>
  <c r="E60" i="8"/>
  <c r="E123" i="2"/>
  <c r="B67" i="8"/>
  <c r="B130" i="2"/>
  <c r="B90" i="8" s="1"/>
  <c r="B63" i="8"/>
  <c r="B126" i="2"/>
  <c r="G67" i="8"/>
  <c r="G130" i="2"/>
  <c r="G90" i="8" s="1"/>
  <c r="C67" i="8"/>
  <c r="C130" i="2"/>
  <c r="C90" i="8" s="1"/>
  <c r="F66" i="8"/>
  <c r="F129" i="2"/>
  <c r="F89" i="8" s="1"/>
  <c r="I65" i="8"/>
  <c r="I128" i="2"/>
  <c r="E65" i="8"/>
  <c r="E128" i="2"/>
  <c r="E88" i="8" s="1"/>
  <c r="H64" i="8"/>
  <c r="H127" i="2"/>
  <c r="D64" i="8"/>
  <c r="D127" i="2"/>
  <c r="G63" i="8"/>
  <c r="G126" i="2"/>
  <c r="C63" i="8"/>
  <c r="C126" i="2"/>
  <c r="F62" i="8"/>
  <c r="F125" i="2"/>
  <c r="F85" i="8" s="1"/>
  <c r="I124" i="2"/>
  <c r="E124" i="2"/>
  <c r="E84" i="8" s="1"/>
  <c r="H60" i="8"/>
  <c r="H123" i="2"/>
  <c r="D60" i="8"/>
  <c r="D123" i="2"/>
  <c r="D83" i="8" s="1"/>
  <c r="B66" i="8"/>
  <c r="B129" i="2"/>
  <c r="B89" i="8" s="1"/>
  <c r="B62" i="8"/>
  <c r="B125" i="2"/>
  <c r="B85" i="8" s="1"/>
  <c r="F67" i="8"/>
  <c r="F130" i="2"/>
  <c r="F90" i="8" s="1"/>
  <c r="I66" i="8"/>
  <c r="I129" i="2"/>
  <c r="E66" i="8"/>
  <c r="E129" i="2"/>
  <c r="E89" i="8" s="1"/>
  <c r="H65" i="8"/>
  <c r="H128" i="2"/>
  <c r="D65" i="8"/>
  <c r="D128" i="2"/>
  <c r="D88" i="8" s="1"/>
  <c r="G64" i="8"/>
  <c r="G127" i="2"/>
  <c r="C64" i="8"/>
  <c r="C127" i="2"/>
  <c r="F63" i="8"/>
  <c r="F126" i="2"/>
  <c r="I125" i="2"/>
  <c r="E62" i="8"/>
  <c r="E125" i="2"/>
  <c r="E85" i="8" s="1"/>
  <c r="H124" i="2"/>
  <c r="H84" i="8" s="1"/>
  <c r="D124" i="2"/>
  <c r="D84" i="8" s="1"/>
  <c r="G60" i="8"/>
  <c r="G123" i="2"/>
  <c r="G83" i="8" s="1"/>
  <c r="C60" i="8"/>
  <c r="C123" i="2"/>
  <c r="C83" i="8" s="1"/>
  <c r="B60" i="8"/>
  <c r="B123" i="2"/>
  <c r="B83" i="8" s="1"/>
  <c r="B65" i="8"/>
  <c r="B128" i="2"/>
  <c r="B88" i="8" s="1"/>
  <c r="B124" i="2"/>
  <c r="B84" i="8" s="1"/>
  <c r="I67" i="8"/>
  <c r="I130" i="2"/>
  <c r="I90" i="8" s="1"/>
  <c r="E67" i="8"/>
  <c r="E130" i="2"/>
  <c r="E90" i="8" s="1"/>
  <c r="H66" i="8"/>
  <c r="H129" i="2"/>
  <c r="H89" i="8" s="1"/>
  <c r="D66" i="8"/>
  <c r="D129" i="2"/>
  <c r="D89" i="8" s="1"/>
  <c r="G65" i="8"/>
  <c r="G128" i="2"/>
  <c r="G88" i="8" s="1"/>
  <c r="C65" i="8"/>
  <c r="C128" i="2"/>
  <c r="C88" i="8" s="1"/>
  <c r="F64" i="8"/>
  <c r="F127" i="2"/>
  <c r="I63" i="8"/>
  <c r="I126" i="2"/>
  <c r="E63" i="8"/>
  <c r="E126" i="2"/>
  <c r="H62" i="8"/>
  <c r="H125" i="2"/>
  <c r="H85" i="8" s="1"/>
  <c r="D62" i="8"/>
  <c r="D125" i="2"/>
  <c r="D85" i="8" s="1"/>
  <c r="G124" i="2"/>
  <c r="G84" i="8" s="1"/>
  <c r="C124" i="2"/>
  <c r="C84" i="8" s="1"/>
  <c r="F60" i="8"/>
  <c r="F123" i="2"/>
  <c r="F83" i="8" s="1"/>
  <c r="F61" i="8"/>
  <c r="I61" i="8"/>
  <c r="E61" i="8"/>
  <c r="H61" i="8"/>
  <c r="D61" i="8"/>
  <c r="B71" i="8"/>
  <c r="B61" i="8"/>
  <c r="G61" i="8"/>
  <c r="C61" i="8"/>
  <c r="S7" i="2"/>
  <c r="S38" i="8" s="1"/>
  <c r="I38" i="8"/>
  <c r="S4" i="2"/>
  <c r="S35" i="8" s="1"/>
  <c r="I35" i="8"/>
  <c r="S8" i="2"/>
  <c r="S39" i="8" s="1"/>
  <c r="I39" i="8"/>
  <c r="C14" i="6"/>
  <c r="C37" i="8"/>
  <c r="S5" i="2"/>
  <c r="S36" i="8" s="1"/>
  <c r="I36" i="8"/>
  <c r="B20" i="2"/>
  <c r="B40" i="8"/>
  <c r="B39" i="8"/>
  <c r="B19" i="2"/>
  <c r="B36" i="8"/>
  <c r="S9" i="2"/>
  <c r="S40" i="8" s="1"/>
  <c r="I40" i="8"/>
  <c r="I62" i="8"/>
  <c r="F50" i="2"/>
  <c r="F105" i="8" s="1"/>
  <c r="B50" i="2"/>
  <c r="B105" i="8" s="1"/>
  <c r="I50" i="2"/>
  <c r="E50" i="2"/>
  <c r="E105" i="8" s="1"/>
  <c r="H50" i="2"/>
  <c r="H105" i="8" s="1"/>
  <c r="D50" i="2"/>
  <c r="D105" i="8" s="1"/>
  <c r="G50" i="2"/>
  <c r="G105" i="8" s="1"/>
  <c r="C50" i="2"/>
  <c r="C105" i="8" s="1"/>
  <c r="F22" i="2"/>
  <c r="F107" i="8" s="1"/>
  <c r="F49" i="2"/>
  <c r="I22" i="2"/>
  <c r="I49" i="2"/>
  <c r="E22" i="2"/>
  <c r="E107" i="8" s="1"/>
  <c r="E49" i="2"/>
  <c r="H22" i="2"/>
  <c r="H107" i="8" s="1"/>
  <c r="H49" i="2"/>
  <c r="D22" i="2"/>
  <c r="D107" i="8" s="1"/>
  <c r="D49" i="2"/>
  <c r="G22" i="2"/>
  <c r="G107" i="8" s="1"/>
  <c r="G49" i="2"/>
  <c r="C49" i="2"/>
  <c r="F46" i="2"/>
  <c r="F102" i="8" s="1"/>
  <c r="I46" i="2"/>
  <c r="E46" i="2"/>
  <c r="E102" i="8" s="1"/>
  <c r="H46" i="2"/>
  <c r="H102" i="8" s="1"/>
  <c r="D46" i="2"/>
  <c r="D102" i="8" s="1"/>
  <c r="G46" i="2"/>
  <c r="G102" i="8" s="1"/>
  <c r="C46" i="2"/>
  <c r="I115" i="2"/>
  <c r="I104" i="2"/>
  <c r="I112" i="2"/>
  <c r="C28" i="2"/>
  <c r="F109" i="2"/>
  <c r="I108" i="2"/>
  <c r="E108" i="2"/>
  <c r="B109" i="2"/>
  <c r="I109" i="2"/>
  <c r="E109" i="2"/>
  <c r="H108" i="2"/>
  <c r="D108" i="2"/>
  <c r="B131" i="2"/>
  <c r="B91" i="8" s="1"/>
  <c r="H109" i="2"/>
  <c r="D109" i="2"/>
  <c r="G108" i="2"/>
  <c r="C108" i="2"/>
  <c r="C22" i="2"/>
  <c r="C107" i="8" s="1"/>
  <c r="J72" i="2"/>
  <c r="G109" i="2"/>
  <c r="C109" i="2"/>
  <c r="F108" i="2"/>
  <c r="C9" i="7"/>
  <c r="B108" i="2"/>
  <c r="C13" i="7"/>
  <c r="C10" i="7"/>
  <c r="B107" i="2"/>
  <c r="B12" i="6"/>
  <c r="B18" i="2"/>
  <c r="F18" i="6"/>
  <c r="I17" i="6"/>
  <c r="I20" i="2"/>
  <c r="S20" i="2" s="1"/>
  <c r="E17" i="6"/>
  <c r="E20" i="2"/>
  <c r="H20" i="6"/>
  <c r="D20" i="6"/>
  <c r="G16" i="6"/>
  <c r="C16" i="6"/>
  <c r="F15" i="6"/>
  <c r="I14" i="6"/>
  <c r="E14" i="6"/>
  <c r="H19" i="6"/>
  <c r="D19" i="6"/>
  <c r="G13" i="6"/>
  <c r="G19" i="2"/>
  <c r="C13" i="6"/>
  <c r="C19" i="2"/>
  <c r="F12" i="6"/>
  <c r="F18" i="2"/>
  <c r="I18" i="6"/>
  <c r="E18" i="6"/>
  <c r="H17" i="6"/>
  <c r="H20" i="2"/>
  <c r="D17" i="6"/>
  <c r="D20" i="2"/>
  <c r="G20" i="6"/>
  <c r="C20" i="6"/>
  <c r="F16" i="6"/>
  <c r="I15" i="6"/>
  <c r="E15" i="6"/>
  <c r="H14" i="6"/>
  <c r="D14" i="6"/>
  <c r="G19" i="6"/>
  <c r="C19" i="6"/>
  <c r="F13" i="6"/>
  <c r="F19" i="2"/>
  <c r="I12" i="6"/>
  <c r="I18" i="2"/>
  <c r="S18" i="2" s="1"/>
  <c r="E12" i="6"/>
  <c r="E18" i="2"/>
  <c r="H18" i="6"/>
  <c r="D18" i="6"/>
  <c r="G17" i="6"/>
  <c r="G20" i="2"/>
  <c r="C17" i="6"/>
  <c r="C20" i="2"/>
  <c r="F20" i="6"/>
  <c r="I16" i="6"/>
  <c r="E16" i="6"/>
  <c r="H15" i="6"/>
  <c r="D15" i="6"/>
  <c r="G14" i="6"/>
  <c r="F19" i="6"/>
  <c r="I13" i="6"/>
  <c r="I19" i="2"/>
  <c r="S19" i="2" s="1"/>
  <c r="E13" i="6"/>
  <c r="E19" i="2"/>
  <c r="H12" i="6"/>
  <c r="H18" i="2"/>
  <c r="D12" i="6"/>
  <c r="D18" i="2"/>
  <c r="G18" i="6"/>
  <c r="C18" i="6"/>
  <c r="F17" i="6"/>
  <c r="F20" i="2"/>
  <c r="I20" i="6"/>
  <c r="E20" i="6"/>
  <c r="H16" i="6"/>
  <c r="D16" i="6"/>
  <c r="G15" i="6"/>
  <c r="C15" i="6"/>
  <c r="F14" i="6"/>
  <c r="I19" i="6"/>
  <c r="E19" i="6"/>
  <c r="H13" i="6"/>
  <c r="H19" i="2"/>
  <c r="D13" i="6"/>
  <c r="D19" i="2"/>
  <c r="G12" i="6"/>
  <c r="G18" i="2"/>
  <c r="C12" i="6"/>
  <c r="C18" i="2"/>
  <c r="B16" i="6"/>
  <c r="B13" i="6"/>
  <c r="B18" i="6"/>
  <c r="B15" i="6"/>
  <c r="B17" i="6"/>
  <c r="B14" i="6"/>
  <c r="B20" i="6"/>
  <c r="B19" i="6"/>
  <c r="D75" i="2"/>
  <c r="D69" i="8" s="1"/>
  <c r="I11" i="2"/>
  <c r="I42" i="8" s="1"/>
  <c r="B104" i="2"/>
  <c r="F107" i="2"/>
  <c r="I106" i="2"/>
  <c r="E106" i="2"/>
  <c r="H105" i="2"/>
  <c r="D105" i="2"/>
  <c r="G104" i="2"/>
  <c r="C104" i="2"/>
  <c r="F103" i="2"/>
  <c r="I102" i="2"/>
  <c r="E102" i="2"/>
  <c r="H101" i="2"/>
  <c r="D101" i="2"/>
  <c r="B103" i="2"/>
  <c r="I107" i="2"/>
  <c r="E107" i="2"/>
  <c r="H106" i="2"/>
  <c r="D106" i="2"/>
  <c r="G105" i="2"/>
  <c r="C105" i="2"/>
  <c r="F104" i="2"/>
  <c r="I103" i="2"/>
  <c r="E103" i="2"/>
  <c r="H102" i="2"/>
  <c r="D102" i="2"/>
  <c r="G101" i="2"/>
  <c r="C101" i="2"/>
  <c r="B101" i="2"/>
  <c r="B106" i="2"/>
  <c r="B102" i="2"/>
  <c r="H107" i="2"/>
  <c r="D107" i="2"/>
  <c r="G106" i="2"/>
  <c r="C106" i="2"/>
  <c r="F105" i="2"/>
  <c r="E104" i="2"/>
  <c r="H103" i="2"/>
  <c r="D103" i="2"/>
  <c r="G102" i="2"/>
  <c r="C102" i="2"/>
  <c r="F101" i="2"/>
  <c r="B105" i="2"/>
  <c r="G107" i="2"/>
  <c r="C107" i="2"/>
  <c r="F106" i="2"/>
  <c r="I105" i="2"/>
  <c r="E105" i="2"/>
  <c r="H104" i="2"/>
  <c r="D104" i="2"/>
  <c r="G103" i="2"/>
  <c r="C103" i="2"/>
  <c r="F102" i="2"/>
  <c r="I101" i="2"/>
  <c r="E101" i="2"/>
  <c r="F131" i="2"/>
  <c r="F91" i="8" s="1"/>
  <c r="I131" i="2"/>
  <c r="I91" i="8" s="1"/>
  <c r="E131" i="2"/>
  <c r="E91" i="8" s="1"/>
  <c r="H131" i="2"/>
  <c r="H91" i="8" s="1"/>
  <c r="D131" i="2"/>
  <c r="D91" i="8" s="1"/>
  <c r="G131" i="2"/>
  <c r="G91" i="8" s="1"/>
  <c r="C131" i="2"/>
  <c r="C91" i="8" s="1"/>
  <c r="F29" i="2"/>
  <c r="D28" i="2"/>
  <c r="G27" i="2"/>
  <c r="D29" i="2"/>
  <c r="F28" i="2"/>
  <c r="I27" i="2"/>
  <c r="S27" i="2" s="1"/>
  <c r="E27" i="2"/>
  <c r="G29" i="2"/>
  <c r="I28" i="2"/>
  <c r="E28" i="2"/>
  <c r="E75" i="2"/>
  <c r="E69" i="8" s="1"/>
  <c r="G75" i="2"/>
  <c r="G69" i="8" s="1"/>
  <c r="C75" i="2"/>
  <c r="C69" i="8" s="1"/>
  <c r="H29" i="2"/>
  <c r="C29" i="2"/>
  <c r="H27" i="2"/>
  <c r="D27" i="2"/>
  <c r="H28" i="2"/>
  <c r="C27" i="2"/>
  <c r="I29" i="2"/>
  <c r="E29" i="2"/>
  <c r="G28" i="2"/>
  <c r="F27" i="2"/>
  <c r="E83" i="8"/>
  <c r="H83" i="8"/>
  <c r="D116" i="2"/>
  <c r="C87" i="2"/>
  <c r="C80" i="8" s="1"/>
  <c r="G87" i="2"/>
  <c r="G80" i="8" s="1"/>
  <c r="B112" i="2"/>
  <c r="B117" i="2"/>
  <c r="B113" i="2"/>
  <c r="F120" i="2"/>
  <c r="I119" i="2"/>
  <c r="E119" i="2"/>
  <c r="H118" i="2"/>
  <c r="D118" i="2"/>
  <c r="G117" i="2"/>
  <c r="C117" i="2"/>
  <c r="F116" i="2"/>
  <c r="E115" i="2"/>
  <c r="H114" i="2"/>
  <c r="D114" i="2"/>
  <c r="G113" i="2"/>
  <c r="C113" i="2"/>
  <c r="F112" i="2"/>
  <c r="B120" i="2"/>
  <c r="B116" i="2"/>
  <c r="I120" i="2"/>
  <c r="E120" i="2"/>
  <c r="H119" i="2"/>
  <c r="D119" i="2"/>
  <c r="G118" i="2"/>
  <c r="C118" i="2"/>
  <c r="F117" i="2"/>
  <c r="I116" i="2"/>
  <c r="E116" i="2"/>
  <c r="H115" i="2"/>
  <c r="D115" i="2"/>
  <c r="G114" i="2"/>
  <c r="C114" i="2"/>
  <c r="F113" i="2"/>
  <c r="E112" i="2"/>
  <c r="B119" i="2"/>
  <c r="B115" i="2"/>
  <c r="H120" i="2"/>
  <c r="D120" i="2"/>
  <c r="G119" i="2"/>
  <c r="C119" i="2"/>
  <c r="F118" i="2"/>
  <c r="I117" i="2"/>
  <c r="E117" i="2"/>
  <c r="H116" i="2"/>
  <c r="G115" i="2"/>
  <c r="C115" i="2"/>
  <c r="F114" i="2"/>
  <c r="I113" i="2"/>
  <c r="E113" i="2"/>
  <c r="H112" i="2"/>
  <c r="D112" i="2"/>
  <c r="B118" i="2"/>
  <c r="B114" i="2"/>
  <c r="C120" i="2"/>
  <c r="F119" i="2"/>
  <c r="I118" i="2"/>
  <c r="E118" i="2"/>
  <c r="H117" i="2"/>
  <c r="D117" i="2"/>
  <c r="G116" i="2"/>
  <c r="C116" i="2"/>
  <c r="F115" i="2"/>
  <c r="H113" i="2"/>
  <c r="G112" i="2"/>
  <c r="C112" i="2"/>
  <c r="G120" i="2"/>
  <c r="I87" i="2"/>
  <c r="I80" i="8" s="1"/>
  <c r="E87" i="2"/>
  <c r="E80" i="8" s="1"/>
  <c r="D87" i="2"/>
  <c r="D80" i="8" s="1"/>
  <c r="I114" i="2"/>
  <c r="E114" i="2"/>
  <c r="D113" i="2"/>
  <c r="F87" i="2"/>
  <c r="F80" i="8" s="1"/>
  <c r="F63" i="2"/>
  <c r="E63" i="2"/>
  <c r="H63" i="2"/>
  <c r="D63" i="2"/>
  <c r="G63" i="2"/>
  <c r="C63" i="2"/>
  <c r="I63" i="2"/>
  <c r="F75" i="2"/>
  <c r="F69" i="8" s="1"/>
  <c r="I75" i="2"/>
  <c r="I69" i="8" s="1"/>
  <c r="H87" i="2"/>
  <c r="H80" i="8" s="1"/>
  <c r="H75" i="2"/>
  <c r="H69" i="8" s="1"/>
  <c r="B75" i="2"/>
  <c r="B69" i="8" s="1"/>
  <c r="B63" i="2"/>
  <c r="B58" i="8" s="1"/>
  <c r="B87" i="2"/>
  <c r="B80" i="8" s="1"/>
  <c r="F14" i="2"/>
  <c r="B14" i="2"/>
  <c r="I14" i="2"/>
  <c r="E14" i="2"/>
  <c r="H14" i="2"/>
  <c r="D14" i="2"/>
  <c r="G14" i="2"/>
  <c r="C14" i="2"/>
  <c r="B11" i="2"/>
  <c r="B42" i="8" s="1"/>
  <c r="F11" i="2"/>
  <c r="F42" i="8" s="1"/>
  <c r="E11" i="2"/>
  <c r="E42" i="8" s="1"/>
  <c r="H11" i="2"/>
  <c r="H42" i="8" s="1"/>
  <c r="D11" i="2"/>
  <c r="D42" i="8" s="1"/>
  <c r="G11" i="2"/>
  <c r="G42" i="8" s="1"/>
  <c r="C11" i="2"/>
  <c r="C42" i="8" s="1"/>
  <c r="F98" i="8" l="1"/>
  <c r="G35" i="2"/>
  <c r="B87" i="8"/>
  <c r="B109" i="8"/>
  <c r="S46" i="2"/>
  <c r="I102" i="8"/>
  <c r="S102" i="8" s="1"/>
  <c r="S22" i="2"/>
  <c r="I107" i="8"/>
  <c r="S107" i="8" s="1"/>
  <c r="S50" i="2"/>
  <c r="I105" i="8"/>
  <c r="S105" i="8" s="1"/>
  <c r="I86" i="8"/>
  <c r="I108" i="8"/>
  <c r="C87" i="8"/>
  <c r="C109" i="8"/>
  <c r="G86" i="8"/>
  <c r="G108" i="8"/>
  <c r="H87" i="8"/>
  <c r="H109" i="8"/>
  <c r="B86" i="8"/>
  <c r="B108" i="8"/>
  <c r="I87" i="8"/>
  <c r="I109" i="8"/>
  <c r="D86" i="8"/>
  <c r="D108" i="8"/>
  <c r="E87" i="8"/>
  <c r="E109" i="8"/>
  <c r="C48" i="2"/>
  <c r="C104" i="8" s="1"/>
  <c r="C102" i="8"/>
  <c r="H86" i="8"/>
  <c r="H108" i="8"/>
  <c r="E86" i="8"/>
  <c r="E108" i="8"/>
  <c r="F87" i="8"/>
  <c r="F109" i="8"/>
  <c r="F86" i="8"/>
  <c r="F108" i="8"/>
  <c r="G87" i="8"/>
  <c r="G109" i="8"/>
  <c r="C86" i="8"/>
  <c r="C108" i="8"/>
  <c r="D87" i="8"/>
  <c r="D109" i="8"/>
  <c r="S97" i="8"/>
  <c r="I85" i="8"/>
  <c r="C26" i="7" s="1"/>
  <c r="S125" i="2"/>
  <c r="S85" i="8" s="1"/>
  <c r="C31" i="7"/>
  <c r="K128" i="2"/>
  <c r="H88" i="8"/>
  <c r="I89" i="8"/>
  <c r="C30" i="7" s="1"/>
  <c r="S129" i="2"/>
  <c r="S89" i="8" s="1"/>
  <c r="K124" i="2"/>
  <c r="I84" i="8"/>
  <c r="C25" i="7" s="1"/>
  <c r="C32" i="7"/>
  <c r="I88" i="8"/>
  <c r="C24" i="7"/>
  <c r="C14" i="7"/>
  <c r="G21" i="6"/>
  <c r="G45" i="8"/>
  <c r="I21" i="6"/>
  <c r="I45" i="8"/>
  <c r="C21" i="6"/>
  <c r="C45" i="8"/>
  <c r="E21" i="6"/>
  <c r="E45" i="8"/>
  <c r="D21" i="6"/>
  <c r="D45" i="8"/>
  <c r="B21" i="6"/>
  <c r="B45" i="8"/>
  <c r="H21" i="6"/>
  <c r="H45" i="8"/>
  <c r="F21" i="6"/>
  <c r="F45" i="8"/>
  <c r="D93" i="2"/>
  <c r="D58" i="8"/>
  <c r="G95" i="2"/>
  <c r="G58" i="8"/>
  <c r="I97" i="2"/>
  <c r="I58" i="8"/>
  <c r="H97" i="2"/>
  <c r="H58" i="8"/>
  <c r="F95" i="2"/>
  <c r="F58" i="8"/>
  <c r="C91" i="2"/>
  <c r="C58" i="8"/>
  <c r="E93" i="2"/>
  <c r="E58" i="8"/>
  <c r="J49" i="2"/>
  <c r="J41" i="8"/>
  <c r="S28" i="2"/>
  <c r="H48" i="2"/>
  <c r="H104" i="8" s="1"/>
  <c r="S29" i="2"/>
  <c r="E48" i="2"/>
  <c r="E104" i="8" s="1"/>
  <c r="G48" i="2"/>
  <c r="G104" i="8" s="1"/>
  <c r="I48" i="2"/>
  <c r="I104" i="8" s="1"/>
  <c r="J48" i="2"/>
  <c r="J104" i="8" s="1"/>
  <c r="T104" i="8" s="1"/>
  <c r="D48" i="2"/>
  <c r="D104" i="8" s="1"/>
  <c r="F48" i="2"/>
  <c r="F104" i="8" s="1"/>
  <c r="J115" i="2"/>
  <c r="J116" i="2"/>
  <c r="J113" i="2"/>
  <c r="J118" i="2"/>
  <c r="J112" i="2"/>
  <c r="J117" i="2"/>
  <c r="J114" i="2"/>
  <c r="J108" i="2"/>
  <c r="J106" i="2"/>
  <c r="J109" i="2"/>
  <c r="C94" i="2"/>
  <c r="E91" i="2"/>
  <c r="C92" i="2"/>
  <c r="E98" i="2"/>
  <c r="H95" i="2"/>
  <c r="I95" i="2"/>
  <c r="H93" i="2"/>
  <c r="I93" i="2"/>
  <c r="D91" i="2"/>
  <c r="E96" i="2"/>
  <c r="D98" i="2"/>
  <c r="E94" i="2"/>
  <c r="D96" i="2"/>
  <c r="H91" i="2"/>
  <c r="C98" i="2"/>
  <c r="H98" i="2"/>
  <c r="C96" i="2"/>
  <c r="H96" i="2"/>
  <c r="G93" i="2"/>
  <c r="G91" i="2"/>
  <c r="C90" i="2"/>
  <c r="E92" i="2"/>
  <c r="G94" i="2"/>
  <c r="I96" i="2"/>
  <c r="D90" i="2"/>
  <c r="F92" i="2"/>
  <c r="H94" i="2"/>
  <c r="C97" i="2"/>
  <c r="E90" i="2"/>
  <c r="G92" i="2"/>
  <c r="I94" i="2"/>
  <c r="D97" i="2"/>
  <c r="F90" i="2"/>
  <c r="H92" i="2"/>
  <c r="C95" i="2"/>
  <c r="E97" i="2"/>
  <c r="F93" i="2"/>
  <c r="F91" i="2"/>
  <c r="F98" i="2"/>
  <c r="J102" i="2"/>
  <c r="G98" i="2"/>
  <c r="I91" i="2"/>
  <c r="D94" i="2"/>
  <c r="F96" i="2"/>
  <c r="G96" i="2"/>
  <c r="I98" i="2"/>
  <c r="D92" i="2"/>
  <c r="F94" i="2"/>
  <c r="G90" i="2"/>
  <c r="I92" i="2"/>
  <c r="D95" i="2"/>
  <c r="F97" i="2"/>
  <c r="H90" i="2"/>
  <c r="C93" i="2"/>
  <c r="E95" i="2"/>
  <c r="G97" i="2"/>
  <c r="I90" i="2"/>
  <c r="J105" i="2"/>
  <c r="J107" i="2"/>
  <c r="J101" i="2"/>
  <c r="J104" i="2"/>
  <c r="J103" i="2"/>
  <c r="J119" i="2"/>
  <c r="J120" i="2"/>
  <c r="C15" i="2"/>
  <c r="C96" i="8" s="1"/>
  <c r="E15" i="2"/>
  <c r="E96" i="8" s="1"/>
  <c r="H15" i="2"/>
  <c r="F15" i="2"/>
  <c r="F96" i="8" s="1"/>
  <c r="G15" i="2"/>
  <c r="G96" i="8" s="1"/>
  <c r="I15" i="2"/>
  <c r="D15" i="2"/>
  <c r="D96" i="8" s="1"/>
  <c r="B15" i="2"/>
  <c r="B96" i="8" s="1"/>
  <c r="G98" i="8" l="1"/>
  <c r="H35" i="2"/>
  <c r="S108" i="8"/>
  <c r="C27" i="7"/>
  <c r="S104" i="8"/>
  <c r="I46" i="8"/>
  <c r="I96" i="8"/>
  <c r="S109" i="8"/>
  <c r="C28" i="7"/>
  <c r="I45" i="2"/>
  <c r="H96" i="8"/>
  <c r="S96" i="8" s="1"/>
  <c r="C29" i="7"/>
  <c r="L124" i="2"/>
  <c r="K84" i="8"/>
  <c r="K67" i="2"/>
  <c r="L128" i="2"/>
  <c r="K88" i="8"/>
  <c r="K71" i="2"/>
  <c r="J63" i="8"/>
  <c r="C47" i="2"/>
  <c r="C103" i="8" s="1"/>
  <c r="B46" i="8"/>
  <c r="G47" i="2"/>
  <c r="G103" i="8" s="1"/>
  <c r="F46" i="8"/>
  <c r="E47" i="2"/>
  <c r="E103" i="8" s="1"/>
  <c r="D46" i="8"/>
  <c r="I47" i="2"/>
  <c r="I103" i="8" s="1"/>
  <c r="H46" i="8"/>
  <c r="F47" i="2"/>
  <c r="F103" i="8" s="1"/>
  <c r="E46" i="8"/>
  <c r="H47" i="2"/>
  <c r="H103" i="8" s="1"/>
  <c r="G46" i="8"/>
  <c r="D47" i="2"/>
  <c r="D103" i="8" s="1"/>
  <c r="C46" i="8"/>
  <c r="K119" i="2"/>
  <c r="L119" i="2" s="1"/>
  <c r="K114" i="2"/>
  <c r="K118" i="2"/>
  <c r="L118" i="2" s="1"/>
  <c r="K115" i="2"/>
  <c r="K120" i="2"/>
  <c r="L120" i="2" s="1"/>
  <c r="K116" i="2"/>
  <c r="L116" i="2" s="1"/>
  <c r="K112" i="2"/>
  <c r="L112" i="2" s="1"/>
  <c r="K117" i="2"/>
  <c r="L117" i="2" s="1"/>
  <c r="K113" i="2"/>
  <c r="L113" i="2" s="1"/>
  <c r="K131" i="2"/>
  <c r="K91" i="8" s="1"/>
  <c r="K101" i="2"/>
  <c r="L101" i="2" s="1"/>
  <c r="K107" i="2"/>
  <c r="L107" i="2" s="1"/>
  <c r="J94" i="2"/>
  <c r="K94" i="2" s="1"/>
  <c r="J93" i="2"/>
  <c r="J57" i="2" s="1"/>
  <c r="J52" i="8" s="1"/>
  <c r="K109" i="2"/>
  <c r="L109" i="2" s="1"/>
  <c r="J90" i="2"/>
  <c r="J54" i="2" s="1"/>
  <c r="J49" i="8" s="1"/>
  <c r="K103" i="2"/>
  <c r="L103" i="2" s="1"/>
  <c r="K105" i="2"/>
  <c r="L105" i="2" s="1"/>
  <c r="J92" i="2"/>
  <c r="K92" i="2" s="1"/>
  <c r="J98" i="2"/>
  <c r="K98" i="2" s="1"/>
  <c r="J91" i="2"/>
  <c r="J55" i="2" s="1"/>
  <c r="J50" i="8" s="1"/>
  <c r="K106" i="2"/>
  <c r="L106" i="2" s="1"/>
  <c r="J95" i="2"/>
  <c r="J59" i="2" s="1"/>
  <c r="J54" i="8" s="1"/>
  <c r="K104" i="2"/>
  <c r="L104" i="2" s="1"/>
  <c r="K102" i="2"/>
  <c r="L102" i="2" s="1"/>
  <c r="J96" i="2"/>
  <c r="J60" i="2" s="1"/>
  <c r="J55" i="8" s="1"/>
  <c r="J97" i="2"/>
  <c r="S48" i="2"/>
  <c r="K126" i="2"/>
  <c r="K108" i="8" s="1"/>
  <c r="J47" i="2"/>
  <c r="J103" i="8" s="1"/>
  <c r="J6" i="2"/>
  <c r="B11" i="6"/>
  <c r="C24" i="2"/>
  <c r="C106" i="8" s="1"/>
  <c r="C23" i="2"/>
  <c r="E23" i="2"/>
  <c r="E24" i="2"/>
  <c r="E106" i="8" s="1"/>
  <c r="I24" i="2"/>
  <c r="I23" i="2"/>
  <c r="E11" i="6"/>
  <c r="F24" i="2"/>
  <c r="F106" i="8" s="1"/>
  <c r="F23" i="2"/>
  <c r="F11" i="6"/>
  <c r="G23" i="2"/>
  <c r="G24" i="2"/>
  <c r="G106" i="8" s="1"/>
  <c r="G11" i="6"/>
  <c r="H24" i="2"/>
  <c r="H106" i="8" s="1"/>
  <c r="H23" i="2"/>
  <c r="D24" i="2"/>
  <c r="D106" i="8" s="1"/>
  <c r="D23" i="2"/>
  <c r="J13" i="2"/>
  <c r="H11" i="6"/>
  <c r="D45" i="2"/>
  <c r="C11" i="6"/>
  <c r="I36" i="2"/>
  <c r="I11" i="6"/>
  <c r="E45" i="2"/>
  <c r="D11" i="6"/>
  <c r="K130" i="2"/>
  <c r="K90" i="8" s="1"/>
  <c r="C44" i="2"/>
  <c r="C43" i="2"/>
  <c r="C99" i="8" s="1"/>
  <c r="C38" i="2"/>
  <c r="B36" i="2"/>
  <c r="C37" i="2"/>
  <c r="C39" i="2"/>
  <c r="C100" i="8" s="1"/>
  <c r="C41" i="2"/>
  <c r="C42" i="2"/>
  <c r="C40" i="2"/>
  <c r="C101" i="8" s="1"/>
  <c r="G41" i="2"/>
  <c r="G42" i="2"/>
  <c r="G40" i="2"/>
  <c r="G101" i="8" s="1"/>
  <c r="G44" i="2"/>
  <c r="G38" i="2"/>
  <c r="G37" i="2"/>
  <c r="F36" i="2"/>
  <c r="G43" i="2"/>
  <c r="G99" i="8" s="1"/>
  <c r="G39" i="2"/>
  <c r="G100" i="8" s="1"/>
  <c r="E36" i="2"/>
  <c r="F44" i="2"/>
  <c r="F39" i="2"/>
  <c r="F100" i="8" s="1"/>
  <c r="F40" i="2"/>
  <c r="F101" i="8" s="1"/>
  <c r="F37" i="2"/>
  <c r="F43" i="2"/>
  <c r="F99" i="8" s="1"/>
  <c r="F38" i="2"/>
  <c r="F42" i="2"/>
  <c r="F41" i="2"/>
  <c r="I42" i="2"/>
  <c r="I41" i="2"/>
  <c r="I40" i="2"/>
  <c r="I101" i="8" s="1"/>
  <c r="H36" i="2"/>
  <c r="I44" i="2"/>
  <c r="I39" i="2"/>
  <c r="I100" i="8" s="1"/>
  <c r="I37" i="2"/>
  <c r="I38" i="2"/>
  <c r="I43" i="2"/>
  <c r="I99" i="8" s="1"/>
  <c r="C33" i="2"/>
  <c r="D41" i="2"/>
  <c r="D43" i="2"/>
  <c r="D99" i="8" s="1"/>
  <c r="D39" i="2"/>
  <c r="D100" i="8" s="1"/>
  <c r="D38" i="2"/>
  <c r="D40" i="2"/>
  <c r="D101" i="8" s="1"/>
  <c r="C36" i="2"/>
  <c r="D44" i="2"/>
  <c r="D42" i="2"/>
  <c r="D37" i="2"/>
  <c r="F45" i="2"/>
  <c r="G45" i="2"/>
  <c r="H39" i="2"/>
  <c r="H100" i="8" s="1"/>
  <c r="G36" i="2"/>
  <c r="H44" i="2"/>
  <c r="H38" i="2"/>
  <c r="H40" i="2"/>
  <c r="H101" i="8" s="1"/>
  <c r="H42" i="2"/>
  <c r="H37" i="2"/>
  <c r="H43" i="2"/>
  <c r="H99" i="8" s="1"/>
  <c r="H41" i="2"/>
  <c r="E43" i="2"/>
  <c r="E99" i="8" s="1"/>
  <c r="E38" i="2"/>
  <c r="E42" i="2"/>
  <c r="E40" i="2"/>
  <c r="E101" i="8" s="1"/>
  <c r="E41" i="2"/>
  <c r="E39" i="2"/>
  <c r="E100" i="8" s="1"/>
  <c r="E37" i="2"/>
  <c r="D36" i="2"/>
  <c r="E44" i="2"/>
  <c r="H45" i="2"/>
  <c r="C45" i="2"/>
  <c r="J39" i="2"/>
  <c r="J100" i="8" s="1"/>
  <c r="K108" i="2"/>
  <c r="K127" i="2"/>
  <c r="K109" i="8" s="1"/>
  <c r="G33" i="2"/>
  <c r="D33" i="2"/>
  <c r="H33" i="2"/>
  <c r="I33" i="2"/>
  <c r="E33" i="2"/>
  <c r="F33" i="2"/>
  <c r="I35" i="2" l="1"/>
  <c r="H98" i="8"/>
  <c r="K96" i="2"/>
  <c r="S103" i="8"/>
  <c r="S101" i="8"/>
  <c r="S24" i="2"/>
  <c r="I106" i="8"/>
  <c r="S106" i="8" s="1"/>
  <c r="S100" i="8"/>
  <c r="S99" i="8"/>
  <c r="J74" i="2"/>
  <c r="J68" i="8" s="1"/>
  <c r="K10" i="2"/>
  <c r="J44" i="2"/>
  <c r="M128" i="2"/>
  <c r="L88" i="8"/>
  <c r="L71" i="2"/>
  <c r="M124" i="2"/>
  <c r="L84" i="8"/>
  <c r="L67" i="2"/>
  <c r="K87" i="8"/>
  <c r="K70" i="2"/>
  <c r="K64" i="8" s="1"/>
  <c r="K69" i="2"/>
  <c r="K63" i="8" s="1"/>
  <c r="K86" i="8"/>
  <c r="J37" i="8"/>
  <c r="J68" i="2"/>
  <c r="J62" i="8" s="1"/>
  <c r="K93" i="2"/>
  <c r="L93" i="2" s="1"/>
  <c r="K91" i="2"/>
  <c r="L91" i="2" s="1"/>
  <c r="J58" i="2"/>
  <c r="J53" i="8" s="1"/>
  <c r="K90" i="2"/>
  <c r="L90" i="2" s="1"/>
  <c r="L131" i="2"/>
  <c r="L91" i="8" s="1"/>
  <c r="M117" i="2"/>
  <c r="M112" i="2"/>
  <c r="M113" i="2"/>
  <c r="L115" i="2"/>
  <c r="L114" i="2"/>
  <c r="M116" i="2"/>
  <c r="M119" i="2"/>
  <c r="M118" i="2"/>
  <c r="M120" i="2"/>
  <c r="M105" i="2"/>
  <c r="M106" i="2"/>
  <c r="M107" i="2"/>
  <c r="M109" i="2"/>
  <c r="M104" i="2"/>
  <c r="M101" i="2"/>
  <c r="M102" i="2"/>
  <c r="K97" i="2"/>
  <c r="K95" i="2"/>
  <c r="J56" i="2"/>
  <c r="J51" i="8" s="1"/>
  <c r="J44" i="8"/>
  <c r="L98" i="2"/>
  <c r="L96" i="2"/>
  <c r="L94" i="2"/>
  <c r="L130" i="2"/>
  <c r="L90" i="8" s="1"/>
  <c r="L126" i="2"/>
  <c r="L108" i="8" s="1"/>
  <c r="L92" i="2"/>
  <c r="L127" i="2"/>
  <c r="L109" i="8" s="1"/>
  <c r="C15" i="7"/>
  <c r="B15" i="7" s="1"/>
  <c r="J23" i="2" s="1"/>
  <c r="J12" i="2" s="1"/>
  <c r="J43" i="2" s="1"/>
  <c r="C16" i="7"/>
  <c r="J64" i="8"/>
  <c r="J62" i="2"/>
  <c r="J57" i="8" s="1"/>
  <c r="J81" i="2"/>
  <c r="J74" i="8" s="1"/>
  <c r="J40" i="2"/>
  <c r="J101" i="8" s="1"/>
  <c r="J66" i="8"/>
  <c r="J42" i="2"/>
  <c r="J65" i="8"/>
  <c r="J41" i="2"/>
  <c r="J37" i="2"/>
  <c r="L108" i="2"/>
  <c r="M103" i="2"/>
  <c r="J35" i="2" l="1"/>
  <c r="J98" i="8" s="1"/>
  <c r="I98" i="8"/>
  <c r="K23" i="2"/>
  <c r="N124" i="2"/>
  <c r="M84" i="8"/>
  <c r="M67" i="2"/>
  <c r="N128" i="2"/>
  <c r="M88" i="8"/>
  <c r="M71" i="2"/>
  <c r="L86" i="8"/>
  <c r="L69" i="2"/>
  <c r="L63" i="8" s="1"/>
  <c r="L87" i="8"/>
  <c r="L70" i="2"/>
  <c r="K41" i="8"/>
  <c r="K72" i="2"/>
  <c r="K66" i="8" s="1"/>
  <c r="M131" i="2"/>
  <c r="M91" i="8" s="1"/>
  <c r="M114" i="2"/>
  <c r="N120" i="2"/>
  <c r="N119" i="2"/>
  <c r="M115" i="2"/>
  <c r="N112" i="2"/>
  <c r="N118" i="2"/>
  <c r="N116" i="2"/>
  <c r="N113" i="2"/>
  <c r="N117" i="2"/>
  <c r="M127" i="2"/>
  <c r="M109" i="8" s="1"/>
  <c r="M130" i="2"/>
  <c r="M90" i="8" s="1"/>
  <c r="N103" i="2"/>
  <c r="M96" i="2"/>
  <c r="M91" i="2"/>
  <c r="M93" i="2"/>
  <c r="N101" i="2"/>
  <c r="N109" i="2"/>
  <c r="N106" i="2"/>
  <c r="M90" i="2"/>
  <c r="M98" i="2"/>
  <c r="L97" i="2"/>
  <c r="M108" i="2"/>
  <c r="M92" i="2"/>
  <c r="M94" i="2"/>
  <c r="L95" i="2"/>
  <c r="N102" i="2"/>
  <c r="N104" i="2"/>
  <c r="N107" i="2"/>
  <c r="N105" i="2"/>
  <c r="J79" i="2"/>
  <c r="J72" i="8" s="1"/>
  <c r="J61" i="8"/>
  <c r="K49" i="2"/>
  <c r="M126" i="2"/>
  <c r="M108" i="8" s="1"/>
  <c r="J86" i="2"/>
  <c r="J79" i="8" s="1"/>
  <c r="J11" i="2"/>
  <c r="J42" i="8" s="1"/>
  <c r="J80" i="2"/>
  <c r="J73" i="8" s="1"/>
  <c r="J38" i="2"/>
  <c r="J83" i="2"/>
  <c r="J76" i="8" s="1"/>
  <c r="J84" i="2"/>
  <c r="J77" i="8" s="1"/>
  <c r="K65" i="8"/>
  <c r="J82" i="2"/>
  <c r="J75" i="8" s="1"/>
  <c r="J99" i="8" l="1"/>
  <c r="J61" i="2"/>
  <c r="J43" i="8"/>
  <c r="J73" i="2"/>
  <c r="J67" i="8" s="1"/>
  <c r="J14" i="2"/>
  <c r="L23" i="2"/>
  <c r="M23" i="2" s="1"/>
  <c r="N23" i="2" s="1"/>
  <c r="O23" i="2" s="1"/>
  <c r="P23" i="2" s="1"/>
  <c r="Q23" i="2" s="1"/>
  <c r="S23" i="2" s="1"/>
  <c r="N131" i="2"/>
  <c r="N91" i="8" s="1"/>
  <c r="O128" i="2"/>
  <c r="N88" i="8"/>
  <c r="N71" i="2"/>
  <c r="O124" i="2"/>
  <c r="N84" i="8"/>
  <c r="N67" i="2"/>
  <c r="M86" i="8"/>
  <c r="M69" i="2"/>
  <c r="M63" i="8" s="1"/>
  <c r="M70" i="2"/>
  <c r="M87" i="8"/>
  <c r="K61" i="8"/>
  <c r="O117" i="2"/>
  <c r="O116" i="2"/>
  <c r="N115" i="2"/>
  <c r="O120" i="2"/>
  <c r="O113" i="2"/>
  <c r="O118" i="2"/>
  <c r="O112" i="2"/>
  <c r="O119" i="2"/>
  <c r="N114" i="2"/>
  <c r="N130" i="2"/>
  <c r="N90" i="8" s="1"/>
  <c r="N127" i="2"/>
  <c r="N109" i="8" s="1"/>
  <c r="O105" i="2"/>
  <c r="O104" i="2"/>
  <c r="M97" i="2"/>
  <c r="N92" i="2"/>
  <c r="N90" i="2"/>
  <c r="O109" i="2"/>
  <c r="N93" i="2"/>
  <c r="N96" i="2"/>
  <c r="O107" i="2"/>
  <c r="O102" i="2"/>
  <c r="M95" i="2"/>
  <c r="N94" i="2"/>
  <c r="N108" i="2"/>
  <c r="N98" i="2"/>
  <c r="O106" i="2"/>
  <c r="O101" i="2"/>
  <c r="N91" i="2"/>
  <c r="O103" i="2"/>
  <c r="N126" i="2"/>
  <c r="N108" i="8" s="1"/>
  <c r="L64" i="8"/>
  <c r="L65" i="8"/>
  <c r="T23" i="2" l="1"/>
  <c r="J56" i="8"/>
  <c r="J63" i="2"/>
  <c r="J58" i="8" s="1"/>
  <c r="J85" i="2"/>
  <c r="J78" i="8" s="1"/>
  <c r="J45" i="2"/>
  <c r="J45" i="8"/>
  <c r="O131" i="2"/>
  <c r="O91" i="8" s="1"/>
  <c r="P124" i="2"/>
  <c r="O84" i="8"/>
  <c r="O67" i="2"/>
  <c r="P128" i="2"/>
  <c r="O88" i="8"/>
  <c r="O71" i="2"/>
  <c r="N69" i="2"/>
  <c r="N86" i="8"/>
  <c r="N87" i="8"/>
  <c r="N70" i="2"/>
  <c r="L61" i="8"/>
  <c r="O114" i="2"/>
  <c r="P112" i="2"/>
  <c r="P113" i="2"/>
  <c r="O115" i="2"/>
  <c r="P116" i="2"/>
  <c r="P119" i="2"/>
  <c r="P118" i="2"/>
  <c r="P120" i="2"/>
  <c r="P117" i="2"/>
  <c r="P131" i="2"/>
  <c r="P91" i="8" s="1"/>
  <c r="O127" i="2"/>
  <c r="O109" i="8" s="1"/>
  <c r="O130" i="2"/>
  <c r="O90" i="8" s="1"/>
  <c r="P101" i="2"/>
  <c r="P103" i="2"/>
  <c r="O98" i="2"/>
  <c r="O94" i="2"/>
  <c r="P102" i="2"/>
  <c r="O96" i="2"/>
  <c r="P109" i="2"/>
  <c r="O92" i="2"/>
  <c r="P104" i="2"/>
  <c r="O91" i="2"/>
  <c r="P106" i="2"/>
  <c r="O108" i="2"/>
  <c r="N95" i="2"/>
  <c r="P107" i="2"/>
  <c r="O93" i="2"/>
  <c r="O90" i="2"/>
  <c r="N97" i="2"/>
  <c r="P105" i="2"/>
  <c r="O126" i="2"/>
  <c r="O108" i="8" s="1"/>
  <c r="N63" i="8"/>
  <c r="M64" i="8"/>
  <c r="M65" i="8"/>
  <c r="J15" i="2"/>
  <c r="K12" i="2" s="1"/>
  <c r="K35" i="2" s="1"/>
  <c r="K98" i="8" s="1"/>
  <c r="J46" i="8" l="1"/>
  <c r="J96" i="8"/>
  <c r="Q128" i="2"/>
  <c r="P88" i="8"/>
  <c r="P71" i="2"/>
  <c r="Q124" i="2"/>
  <c r="P84" i="8"/>
  <c r="P67" i="2"/>
  <c r="O86" i="8"/>
  <c r="O69" i="2"/>
  <c r="O63" i="8" s="1"/>
  <c r="O70" i="2"/>
  <c r="O87" i="8"/>
  <c r="M61" i="8"/>
  <c r="Q117" i="2"/>
  <c r="Q120" i="2"/>
  <c r="Q119" i="2"/>
  <c r="P115" i="2"/>
  <c r="Q112" i="2"/>
  <c r="Q118" i="2"/>
  <c r="Q116" i="2"/>
  <c r="Q113" i="2"/>
  <c r="P114" i="2"/>
  <c r="P130" i="2"/>
  <c r="P90" i="8" s="1"/>
  <c r="Q131" i="2"/>
  <c r="Q91" i="8" s="1"/>
  <c r="P127" i="2"/>
  <c r="P109" i="8" s="1"/>
  <c r="Q105" i="2"/>
  <c r="Q107" i="2"/>
  <c r="P91" i="2"/>
  <c r="P92" i="2"/>
  <c r="P94" i="2"/>
  <c r="P90" i="2"/>
  <c r="P108" i="2"/>
  <c r="P96" i="2"/>
  <c r="Q109" i="2"/>
  <c r="Q103" i="2"/>
  <c r="O97" i="2"/>
  <c r="P93" i="2"/>
  <c r="O95" i="2"/>
  <c r="Q106" i="2"/>
  <c r="Q104" i="2"/>
  <c r="Q102" i="2"/>
  <c r="P98" i="2"/>
  <c r="Q101" i="2"/>
  <c r="P126" i="2"/>
  <c r="P108" i="8" s="1"/>
  <c r="K6" i="2"/>
  <c r="K47" i="2"/>
  <c r="K103" i="8" s="1"/>
  <c r="K13" i="2"/>
  <c r="N64" i="8"/>
  <c r="J33" i="2"/>
  <c r="J36" i="2"/>
  <c r="K42" i="2"/>
  <c r="K39" i="2"/>
  <c r="K100" i="8" s="1"/>
  <c r="K40" i="2"/>
  <c r="K101" i="8" s="1"/>
  <c r="K41" i="2"/>
  <c r="K37" i="2"/>
  <c r="N65" i="8"/>
  <c r="K43" i="2" l="1"/>
  <c r="K99" i="8" s="1"/>
  <c r="K44" i="2"/>
  <c r="L10" i="2"/>
  <c r="Q84" i="8"/>
  <c r="Q67" i="2"/>
  <c r="S124" i="2"/>
  <c r="S84" i="8" s="1"/>
  <c r="T124" i="2"/>
  <c r="T84" i="8" s="1"/>
  <c r="Q88" i="8"/>
  <c r="Q71" i="2"/>
  <c r="S128" i="2"/>
  <c r="S88" i="8" s="1"/>
  <c r="T128" i="2"/>
  <c r="T88" i="8" s="1"/>
  <c r="P69" i="2"/>
  <c r="P63" i="8" s="1"/>
  <c r="P86" i="8"/>
  <c r="P87" i="8"/>
  <c r="P70" i="2"/>
  <c r="K44" i="8"/>
  <c r="K74" i="2"/>
  <c r="K37" i="8"/>
  <c r="K68" i="2"/>
  <c r="K43" i="8"/>
  <c r="K73" i="2"/>
  <c r="N61" i="8"/>
  <c r="Q114" i="2"/>
  <c r="S116" i="2"/>
  <c r="T116" i="2"/>
  <c r="Q115" i="2"/>
  <c r="S120" i="2"/>
  <c r="T120" i="2"/>
  <c r="S113" i="2"/>
  <c r="T113" i="2"/>
  <c r="S118" i="2"/>
  <c r="T118" i="2"/>
  <c r="S112" i="2"/>
  <c r="T112" i="2"/>
  <c r="S119" i="2"/>
  <c r="T119" i="2"/>
  <c r="S117" i="2"/>
  <c r="T117" i="2"/>
  <c r="S131" i="2"/>
  <c r="S91" i="8" s="1"/>
  <c r="T131" i="2"/>
  <c r="T91" i="8" s="1"/>
  <c r="Q127" i="2"/>
  <c r="Q109" i="8" s="1"/>
  <c r="Q130" i="2"/>
  <c r="Q90" i="8" s="1"/>
  <c r="Q98" i="2"/>
  <c r="P95" i="2"/>
  <c r="P97" i="2"/>
  <c r="Q108" i="2"/>
  <c r="Q94" i="2"/>
  <c r="Q91" i="2"/>
  <c r="S102" i="2"/>
  <c r="T102" i="2"/>
  <c r="S101" i="2"/>
  <c r="T101" i="2"/>
  <c r="S106" i="2"/>
  <c r="T106" i="2"/>
  <c r="Q93" i="2"/>
  <c r="S103" i="2"/>
  <c r="T103" i="2"/>
  <c r="Q96" i="2"/>
  <c r="Q90" i="2"/>
  <c r="Q92" i="2"/>
  <c r="S107" i="2"/>
  <c r="T107" i="2"/>
  <c r="T104" i="2"/>
  <c r="S104" i="2"/>
  <c r="T109" i="2"/>
  <c r="S109" i="2"/>
  <c r="S105" i="2"/>
  <c r="T105" i="2"/>
  <c r="Q126" i="2"/>
  <c r="Q108" i="8" s="1"/>
  <c r="U108" i="8" s="1"/>
  <c r="K11" i="2"/>
  <c r="K42" i="8" s="1"/>
  <c r="K38" i="2"/>
  <c r="K14" i="2"/>
  <c r="K68" i="8"/>
  <c r="K62" i="2"/>
  <c r="K57" i="8" s="1"/>
  <c r="K61" i="2"/>
  <c r="K56" i="8" s="1"/>
  <c r="O64" i="8"/>
  <c r="O65" i="8"/>
  <c r="T109" i="8" l="1"/>
  <c r="U109" i="8"/>
  <c r="T108" i="8"/>
  <c r="K45" i="8"/>
  <c r="K45" i="2"/>
  <c r="Q86" i="8"/>
  <c r="Q69" i="2"/>
  <c r="Q63" i="8" s="1"/>
  <c r="Q70" i="2"/>
  <c r="Q64" i="8" s="1"/>
  <c r="Q87" i="8"/>
  <c r="L41" i="8"/>
  <c r="L72" i="2"/>
  <c r="L66" i="8" s="1"/>
  <c r="K62" i="8"/>
  <c r="O61" i="8"/>
  <c r="S115" i="2"/>
  <c r="T115" i="2"/>
  <c r="S114" i="2"/>
  <c r="T114" i="2"/>
  <c r="S127" i="2"/>
  <c r="S87" i="8" s="1"/>
  <c r="T127" i="2"/>
  <c r="T87" i="8" s="1"/>
  <c r="S130" i="2"/>
  <c r="S90" i="8" s="1"/>
  <c r="T130" i="2"/>
  <c r="T90" i="8" s="1"/>
  <c r="S91" i="2"/>
  <c r="T91" i="2"/>
  <c r="S108" i="2"/>
  <c r="T108" i="2"/>
  <c r="Q95" i="2"/>
  <c r="S92" i="2"/>
  <c r="T92" i="2"/>
  <c r="S96" i="2"/>
  <c r="T96" i="2"/>
  <c r="S93" i="2"/>
  <c r="T93" i="2"/>
  <c r="S90" i="2"/>
  <c r="T90" i="2"/>
  <c r="S94" i="2"/>
  <c r="T94" i="2"/>
  <c r="Q97" i="2"/>
  <c r="S98" i="2"/>
  <c r="T98" i="2"/>
  <c r="S126" i="2"/>
  <c r="S86" i="8" s="1"/>
  <c r="T126" i="2"/>
  <c r="T86" i="8" s="1"/>
  <c r="L49" i="2"/>
  <c r="K15" i="2"/>
  <c r="L12" i="2" s="1"/>
  <c r="L35" i="2" s="1"/>
  <c r="L98" i="8" s="1"/>
  <c r="K86" i="2"/>
  <c r="K79" i="8" s="1"/>
  <c r="K67" i="8"/>
  <c r="P64" i="8"/>
  <c r="P65" i="8"/>
  <c r="Q65" i="8"/>
  <c r="K46" i="8" l="1"/>
  <c r="K96" i="8"/>
  <c r="Q61" i="8"/>
  <c r="P61" i="8"/>
  <c r="S97" i="2"/>
  <c r="T97" i="2"/>
  <c r="S95" i="2"/>
  <c r="T95" i="2"/>
  <c r="S70" i="2"/>
  <c r="S64" i="8" s="1"/>
  <c r="T70" i="2"/>
  <c r="T64" i="8" s="1"/>
  <c r="S69" i="2"/>
  <c r="S63" i="8" s="1"/>
  <c r="T69" i="2"/>
  <c r="T63" i="8" s="1"/>
  <c r="S67" i="2"/>
  <c r="S61" i="8" s="1"/>
  <c r="T67" i="2"/>
  <c r="T61" i="8" s="1"/>
  <c r="S71" i="2"/>
  <c r="S65" i="8" s="1"/>
  <c r="T71" i="2"/>
  <c r="T65" i="8" s="1"/>
  <c r="L6" i="2"/>
  <c r="L47" i="2"/>
  <c r="L103" i="8" s="1"/>
  <c r="K85" i="2"/>
  <c r="K78" i="8" s="1"/>
  <c r="L37" i="8" l="1"/>
  <c r="L68" i="2"/>
  <c r="L62" i="8" s="1"/>
  <c r="L13" i="2"/>
  <c r="L42" i="2"/>
  <c r="K33" i="2"/>
  <c r="L41" i="2"/>
  <c r="L37" i="2"/>
  <c r="K36" i="2"/>
  <c r="L39" i="2"/>
  <c r="L100" i="8" s="1"/>
  <c r="L40" i="2"/>
  <c r="L101" i="8" s="1"/>
  <c r="L43" i="2" l="1"/>
  <c r="L99" i="8" s="1"/>
  <c r="L44" i="2"/>
  <c r="M10" i="2"/>
  <c r="L44" i="8"/>
  <c r="L74" i="2"/>
  <c r="L68" i="8" s="1"/>
  <c r="L43" i="8"/>
  <c r="L73" i="2"/>
  <c r="L62" i="2"/>
  <c r="L57" i="8" s="1"/>
  <c r="L61" i="2"/>
  <c r="L56" i="8" s="1"/>
  <c r="M41" i="8" l="1"/>
  <c r="M72" i="2"/>
  <c r="M66" i="8" s="1"/>
  <c r="M49" i="2"/>
  <c r="L11" i="2"/>
  <c r="L42" i="8" s="1"/>
  <c r="L38" i="2"/>
  <c r="L86" i="2"/>
  <c r="L79" i="8" s="1"/>
  <c r="L67" i="8"/>
  <c r="L14" i="2"/>
  <c r="L45" i="8" l="1"/>
  <c r="L45" i="2"/>
  <c r="L15" i="2"/>
  <c r="M12" i="2" s="1"/>
  <c r="M35" i="2" s="1"/>
  <c r="M98" i="8" s="1"/>
  <c r="L85" i="2"/>
  <c r="L46" i="8" l="1"/>
  <c r="L96" i="8"/>
  <c r="L78" i="8"/>
  <c r="M6" i="2"/>
  <c r="M47" i="2"/>
  <c r="M103" i="8" s="1"/>
  <c r="M39" i="2"/>
  <c r="M100" i="8" s="1"/>
  <c r="M40" i="2"/>
  <c r="M101" i="8" s="1"/>
  <c r="L36" i="2"/>
  <c r="M37" i="2"/>
  <c r="M42" i="2"/>
  <c r="L33" i="2"/>
  <c r="M41" i="2"/>
  <c r="M43" i="2"/>
  <c r="M13" i="2"/>
  <c r="N10" i="2" s="1"/>
  <c r="M74" i="2" l="1"/>
  <c r="M68" i="8" s="1"/>
  <c r="M44" i="2"/>
  <c r="M73" i="2"/>
  <c r="M67" i="8" s="1"/>
  <c r="M99" i="8"/>
  <c r="M37" i="8"/>
  <c r="M68" i="2"/>
  <c r="M62" i="8" s="1"/>
  <c r="M44" i="8"/>
  <c r="M61" i="2"/>
  <c r="M56" i="8" s="1"/>
  <c r="M43" i="8"/>
  <c r="M62" i="2"/>
  <c r="M11" i="2"/>
  <c r="M42" i="8" s="1"/>
  <c r="M38" i="2"/>
  <c r="M14" i="2"/>
  <c r="M45" i="8" l="1"/>
  <c r="M45" i="2"/>
  <c r="N41" i="8"/>
  <c r="N72" i="2"/>
  <c r="N66" i="8" s="1"/>
  <c r="N49" i="2"/>
  <c r="M57" i="8"/>
  <c r="M86" i="2"/>
  <c r="M79" i="8" s="1"/>
  <c r="M15" i="2"/>
  <c r="N12" i="2" s="1"/>
  <c r="N35" i="2" s="1"/>
  <c r="N98" i="8" s="1"/>
  <c r="M85" i="2"/>
  <c r="M78" i="8" s="1"/>
  <c r="M46" i="8" l="1"/>
  <c r="N6" i="2"/>
  <c r="M96" i="8"/>
  <c r="N47" i="2"/>
  <c r="N103" i="8" s="1"/>
  <c r="N13" i="2"/>
  <c r="N41" i="2"/>
  <c r="M33" i="2"/>
  <c r="N39" i="2"/>
  <c r="N100" i="8" s="1"/>
  <c r="N42" i="2"/>
  <c r="N37" i="2"/>
  <c r="M36" i="2"/>
  <c r="N40" i="2"/>
  <c r="N101" i="8" s="1"/>
  <c r="N43" i="2" l="1"/>
  <c r="N99" i="8" s="1"/>
  <c r="N44" i="2"/>
  <c r="O10" i="2"/>
  <c r="N44" i="8"/>
  <c r="N74" i="2"/>
  <c r="N68" i="8" s="1"/>
  <c r="N37" i="8"/>
  <c r="N68" i="2"/>
  <c r="N62" i="8" s="1"/>
  <c r="N43" i="8"/>
  <c r="N73" i="2"/>
  <c r="N62" i="2"/>
  <c r="N57" i="8" s="1"/>
  <c r="N61" i="2"/>
  <c r="N56" i="8" s="1"/>
  <c r="O41" i="8" l="1"/>
  <c r="O72" i="2"/>
  <c r="O66" i="8" s="1"/>
  <c r="O49" i="2"/>
  <c r="N11" i="2"/>
  <c r="N42" i="8" s="1"/>
  <c r="N38" i="2"/>
  <c r="N86" i="2"/>
  <c r="N79" i="8" s="1"/>
  <c r="N14" i="2"/>
  <c r="N67" i="8"/>
  <c r="N45" i="8" l="1"/>
  <c r="N45" i="2"/>
  <c r="N85" i="2"/>
  <c r="N15" i="2"/>
  <c r="O12" i="2" s="1"/>
  <c r="O35" i="2" s="1"/>
  <c r="O98" i="8" s="1"/>
  <c r="N46" i="8" l="1"/>
  <c r="N96" i="8"/>
  <c r="N78" i="8"/>
  <c r="O6" i="2"/>
  <c r="O47" i="2"/>
  <c r="O103" i="8" s="1"/>
  <c r="O13" i="2"/>
  <c r="O37" i="2"/>
  <c r="O42" i="2"/>
  <c r="N36" i="2"/>
  <c r="O40" i="2"/>
  <c r="O101" i="8" s="1"/>
  <c r="O41" i="2"/>
  <c r="N33" i="2"/>
  <c r="O39" i="2"/>
  <c r="O100" i="8" s="1"/>
  <c r="O43" i="2" l="1"/>
  <c r="O99" i="8" s="1"/>
  <c r="O44" i="2"/>
  <c r="P10" i="2"/>
  <c r="O37" i="8"/>
  <c r="O68" i="2"/>
  <c r="O62" i="8" s="1"/>
  <c r="O43" i="8"/>
  <c r="O73" i="2"/>
  <c r="O44" i="8"/>
  <c r="O74" i="2"/>
  <c r="O68" i="8" s="1"/>
  <c r="O62" i="2"/>
  <c r="O57" i="8" s="1"/>
  <c r="O61" i="2"/>
  <c r="O56" i="8" s="1"/>
  <c r="P41" i="8" l="1"/>
  <c r="P72" i="2"/>
  <c r="P66" i="8" s="1"/>
  <c r="P49" i="2"/>
  <c r="O11" i="2"/>
  <c r="O42" i="8" s="1"/>
  <c r="O38" i="2"/>
  <c r="O86" i="2"/>
  <c r="O79" i="8" s="1"/>
  <c r="O67" i="8"/>
  <c r="O14" i="2"/>
  <c r="O45" i="8" l="1"/>
  <c r="O45" i="2"/>
  <c r="O85" i="2"/>
  <c r="O15" i="2"/>
  <c r="P12" i="2" s="1"/>
  <c r="P35" i="2" s="1"/>
  <c r="P98" i="8" s="1"/>
  <c r="O46" i="8" l="1"/>
  <c r="O96" i="8"/>
  <c r="O78" i="8"/>
  <c r="P6" i="2"/>
  <c r="P47" i="2"/>
  <c r="P103" i="8" s="1"/>
  <c r="P13" i="2"/>
  <c r="P41" i="2"/>
  <c r="O33" i="2"/>
  <c r="P37" i="2"/>
  <c r="P40" i="2"/>
  <c r="P101" i="8" s="1"/>
  <c r="O36" i="2"/>
  <c r="P42" i="2"/>
  <c r="P39" i="2"/>
  <c r="P100" i="8" s="1"/>
  <c r="P43" i="2" l="1"/>
  <c r="P99" i="8" s="1"/>
  <c r="P44" i="2"/>
  <c r="Q10" i="2"/>
  <c r="P43" i="8"/>
  <c r="P73" i="2"/>
  <c r="P44" i="8"/>
  <c r="P74" i="2"/>
  <c r="P68" i="8" s="1"/>
  <c r="P37" i="8"/>
  <c r="P68" i="2"/>
  <c r="P62" i="8" s="1"/>
  <c r="P62" i="2"/>
  <c r="P57" i="8" s="1"/>
  <c r="P61" i="2"/>
  <c r="P56" i="8" s="1"/>
  <c r="Q41" i="8" l="1"/>
  <c r="Q72" i="2"/>
  <c r="Q66" i="8" s="1"/>
  <c r="S10" i="2"/>
  <c r="S41" i="8" s="1"/>
  <c r="T10" i="2"/>
  <c r="T41" i="8" s="1"/>
  <c r="Q49" i="2"/>
  <c r="P11" i="2"/>
  <c r="P42" i="8" s="1"/>
  <c r="P38" i="2"/>
  <c r="P86" i="2"/>
  <c r="P79" i="8" s="1"/>
  <c r="P67" i="8"/>
  <c r="P14" i="2"/>
  <c r="P45" i="8" l="1"/>
  <c r="P45" i="2"/>
  <c r="S49" i="2"/>
  <c r="T49" i="2"/>
  <c r="S72" i="2"/>
  <c r="S66" i="8" s="1"/>
  <c r="T72" i="2"/>
  <c r="T66" i="8" s="1"/>
  <c r="P85" i="2"/>
  <c r="P15" i="2"/>
  <c r="Q12" i="2" s="1"/>
  <c r="Q35" i="2" s="1"/>
  <c r="Q98" i="8" s="1"/>
  <c r="P46" i="8" l="1"/>
  <c r="P96" i="8"/>
  <c r="P78" i="8"/>
  <c r="Q6" i="2"/>
  <c r="Q68" i="2" s="1"/>
  <c r="Q47" i="2"/>
  <c r="Q103" i="8" s="1"/>
  <c r="Q13" i="2"/>
  <c r="Q44" i="2" s="1"/>
  <c r="Q39" i="2"/>
  <c r="Q100" i="8" s="1"/>
  <c r="Q41" i="2"/>
  <c r="Q40" i="2"/>
  <c r="Q101" i="8" s="1"/>
  <c r="P36" i="2"/>
  <c r="P33" i="2"/>
  <c r="Q42" i="2"/>
  <c r="Q37" i="2"/>
  <c r="Q43" i="2" l="1"/>
  <c r="Q99" i="8" s="1"/>
  <c r="T100" i="8"/>
  <c r="U100" i="8"/>
  <c r="T101" i="8"/>
  <c r="U101" i="8"/>
  <c r="T103" i="8"/>
  <c r="U103" i="8"/>
  <c r="Q62" i="8"/>
  <c r="S68" i="2"/>
  <c r="S62" i="8" s="1"/>
  <c r="T68" i="2"/>
  <c r="T62" i="8" s="1"/>
  <c r="Q44" i="8"/>
  <c r="Q74" i="2"/>
  <c r="Q68" i="8" s="1"/>
  <c r="Q43" i="8"/>
  <c r="Q73" i="2"/>
  <c r="Q38" i="2"/>
  <c r="T38" i="2" s="1"/>
  <c r="Q37" i="8"/>
  <c r="S40" i="2"/>
  <c r="T40" i="2"/>
  <c r="S41" i="2"/>
  <c r="T41" i="2"/>
  <c r="S47" i="2"/>
  <c r="T47" i="2"/>
  <c r="S42" i="2"/>
  <c r="T42" i="2"/>
  <c r="S39" i="2"/>
  <c r="T39" i="2"/>
  <c r="S13" i="2"/>
  <c r="S44" i="8" s="1"/>
  <c r="T13" i="2"/>
  <c r="T44" i="8" s="1"/>
  <c r="Q11" i="2"/>
  <c r="Q42" i="8" s="1"/>
  <c r="S6" i="2"/>
  <c r="S37" i="8" s="1"/>
  <c r="T6" i="2"/>
  <c r="T37" i="8" s="1"/>
  <c r="S37" i="2"/>
  <c r="T37" i="2"/>
  <c r="S12" i="2"/>
  <c r="S43" i="8" s="1"/>
  <c r="T12" i="2"/>
  <c r="T43" i="8" s="1"/>
  <c r="Q62" i="2"/>
  <c r="Q57" i="8" s="1"/>
  <c r="Q61" i="2"/>
  <c r="Q56" i="8" s="1"/>
  <c r="U99" i="8" l="1"/>
  <c r="T99" i="8"/>
  <c r="S38" i="2"/>
  <c r="S62" i="2"/>
  <c r="S57" i="8" s="1"/>
  <c r="T62" i="2"/>
  <c r="T57" i="8" s="1"/>
  <c r="S44" i="2"/>
  <c r="T44" i="2"/>
  <c r="S74" i="2"/>
  <c r="S68" i="8" s="1"/>
  <c r="T74" i="2"/>
  <c r="T68" i="8" s="1"/>
  <c r="S61" i="2"/>
  <c r="S56" i="8" s="1"/>
  <c r="T61" i="2"/>
  <c r="T56" i="8" s="1"/>
  <c r="S11" i="2"/>
  <c r="S42" i="8" s="1"/>
  <c r="T11" i="2"/>
  <c r="T42" i="8" s="1"/>
  <c r="Q86" i="2"/>
  <c r="Q79" i="8" s="1"/>
  <c r="Q14" i="2"/>
  <c r="Q67" i="8"/>
  <c r="Q45" i="8" l="1"/>
  <c r="Q45" i="2"/>
  <c r="S86" i="2"/>
  <c r="S79" i="8" s="1"/>
  <c r="T86" i="2"/>
  <c r="T79" i="8" s="1"/>
  <c r="S14" i="2"/>
  <c r="S45" i="8" s="1"/>
  <c r="T14" i="2"/>
  <c r="T45" i="8" s="1"/>
  <c r="S73" i="2"/>
  <c r="S67" i="8" s="1"/>
  <c r="T73" i="2"/>
  <c r="T67" i="8" s="1"/>
  <c r="S43" i="2"/>
  <c r="T43" i="2"/>
  <c r="Q85" i="2"/>
  <c r="Q78" i="8" s="1"/>
  <c r="Q15" i="2"/>
  <c r="Q46" i="8" l="1"/>
  <c r="Q96" i="8"/>
  <c r="S85" i="2"/>
  <c r="S78" i="8" s="1"/>
  <c r="T85" i="2"/>
  <c r="T78" i="8" s="1"/>
  <c r="S15" i="2"/>
  <c r="S46" i="8" s="1"/>
  <c r="T15" i="2"/>
  <c r="T46" i="8" s="1"/>
  <c r="Q36" i="2"/>
  <c r="Q33" i="2"/>
  <c r="T96" i="8" l="1"/>
  <c r="U96" i="8"/>
  <c r="S45" i="2"/>
  <c r="T45" i="2"/>
  <c r="S36" i="2"/>
  <c r="T36" i="2"/>
  <c r="S33" i="2"/>
  <c r="T33" i="2"/>
  <c r="N83" i="8" l="1"/>
  <c r="K83" i="8"/>
  <c r="M83" i="8"/>
  <c r="L83" i="8"/>
  <c r="P83" i="8"/>
  <c r="Q83" i="8"/>
  <c r="M66" i="2"/>
  <c r="M60" i="8" s="1"/>
  <c r="L66" i="2"/>
  <c r="L60" i="8" s="1"/>
  <c r="O66" i="2"/>
  <c r="O60" i="8" s="1"/>
  <c r="O83" i="8"/>
  <c r="N66" i="2"/>
  <c r="N60" i="8" s="1"/>
  <c r="P66" i="2"/>
  <c r="P60" i="8" s="1"/>
  <c r="T123" i="2"/>
  <c r="T83" i="8" s="1"/>
  <c r="Q66" i="2"/>
  <c r="Q60" i="8" s="1"/>
  <c r="S123" i="2"/>
  <c r="S83" i="8" s="1"/>
  <c r="J83" i="8"/>
  <c r="K66" i="2"/>
  <c r="J60" i="8"/>
  <c r="J78" i="2"/>
  <c r="J71" i="8" s="1"/>
  <c r="T66" i="2" l="1"/>
  <c r="T60" i="8" s="1"/>
  <c r="L75" i="2"/>
  <c r="L69" i="8" s="1"/>
  <c r="K75" i="2"/>
  <c r="K69" i="8" s="1"/>
  <c r="J87" i="2"/>
  <c r="K54" i="2" s="1"/>
  <c r="S66" i="2"/>
  <c r="S60" i="8" s="1"/>
  <c r="J75" i="2"/>
  <c r="J69" i="8" s="1"/>
  <c r="N75" i="2"/>
  <c r="N69" i="8" s="1"/>
  <c r="M75" i="2"/>
  <c r="M69" i="8" s="1"/>
  <c r="O75" i="2"/>
  <c r="O69" i="8" s="1"/>
  <c r="K60" i="8"/>
  <c r="P75" i="2"/>
  <c r="P69" i="8" s="1"/>
  <c r="Q75" i="2"/>
  <c r="K59" i="2" l="1"/>
  <c r="K83" i="2" s="1"/>
  <c r="K57" i="2"/>
  <c r="K81" i="2" s="1"/>
  <c r="K55" i="2"/>
  <c r="K50" i="8" s="1"/>
  <c r="K60" i="2"/>
  <c r="K84" i="2" s="1"/>
  <c r="K58" i="2"/>
  <c r="K53" i="8" s="1"/>
  <c r="K56" i="2"/>
  <c r="K80" i="2" s="1"/>
  <c r="J80" i="8"/>
  <c r="K49" i="8"/>
  <c r="K78" i="2"/>
  <c r="Q69" i="8"/>
  <c r="S75" i="2"/>
  <c r="S69" i="8" s="1"/>
  <c r="T75" i="2"/>
  <c r="T69" i="8" s="1"/>
  <c r="K51" i="8" l="1"/>
  <c r="K52" i="8"/>
  <c r="K54" i="8"/>
  <c r="K79" i="2"/>
  <c r="K72" i="8" s="1"/>
  <c r="K82" i="2"/>
  <c r="K63" i="2"/>
  <c r="K58" i="8" s="1"/>
  <c r="K55" i="8"/>
  <c r="K77" i="8"/>
  <c r="K76" i="8"/>
  <c r="K74" i="8"/>
  <c r="K71" i="8"/>
  <c r="K73" i="8"/>
  <c r="K87" i="2" l="1"/>
  <c r="L56" i="2" s="1"/>
  <c r="K75" i="8"/>
  <c r="K80" i="8" l="1"/>
  <c r="L54" i="2"/>
  <c r="L49" i="8" s="1"/>
  <c r="L59" i="2"/>
  <c r="L83" i="2" s="1"/>
  <c r="L76" i="8" s="1"/>
  <c r="L57" i="2"/>
  <c r="L52" i="8" s="1"/>
  <c r="L55" i="2"/>
  <c r="L50" i="8" s="1"/>
  <c r="L60" i="2"/>
  <c r="L55" i="8" s="1"/>
  <c r="L58" i="2"/>
  <c r="L53" i="8" s="1"/>
  <c r="L51" i="8"/>
  <c r="L80" i="2"/>
  <c r="L73" i="8" s="1"/>
  <c r="L78" i="2" l="1"/>
  <c r="L71" i="8" s="1"/>
  <c r="L84" i="2"/>
  <c r="L77" i="8" s="1"/>
  <c r="L54" i="8"/>
  <c r="L79" i="2"/>
  <c r="L72" i="8" s="1"/>
  <c r="L81" i="2"/>
  <c r="L74" i="8" s="1"/>
  <c r="L82" i="2"/>
  <c r="L75" i="8" s="1"/>
  <c r="L63" i="2"/>
  <c r="L58" i="8" s="1"/>
  <c r="L87" i="2" l="1"/>
  <c r="M55" i="2" s="1"/>
  <c r="M56" i="2" l="1"/>
  <c r="M80" i="2" s="1"/>
  <c r="M73" i="8" s="1"/>
  <c r="M54" i="2"/>
  <c r="M78" i="2" s="1"/>
  <c r="M58" i="2"/>
  <c r="M53" i="8" s="1"/>
  <c r="M60" i="2"/>
  <c r="M55" i="8" s="1"/>
  <c r="M59" i="2"/>
  <c r="M83" i="2" s="1"/>
  <c r="M76" i="8" s="1"/>
  <c r="L80" i="8"/>
  <c r="M57" i="2"/>
  <c r="M81" i="2" s="1"/>
  <c r="M74" i="8" s="1"/>
  <c r="M79" i="2"/>
  <c r="M72" i="8" s="1"/>
  <c r="M50" i="8"/>
  <c r="M54" i="8" l="1"/>
  <c r="M51" i="8"/>
  <c r="M82" i="2"/>
  <c r="M75" i="8" s="1"/>
  <c r="M84" i="2"/>
  <c r="M77" i="8" s="1"/>
  <c r="M63" i="2"/>
  <c r="M58" i="8" s="1"/>
  <c r="M49" i="8"/>
  <c r="M52" i="8"/>
  <c r="M71" i="8"/>
  <c r="M87" i="2" l="1"/>
  <c r="N59" i="2" s="1"/>
  <c r="M80" i="8" l="1"/>
  <c r="N56" i="2"/>
  <c r="N51" i="8" s="1"/>
  <c r="N54" i="2"/>
  <c r="N78" i="2" s="1"/>
  <c r="N55" i="2"/>
  <c r="N50" i="8" s="1"/>
  <c r="N60" i="2"/>
  <c r="N84" i="2" s="1"/>
  <c r="N77" i="8" s="1"/>
  <c r="N57" i="2"/>
  <c r="N52" i="8" s="1"/>
  <c r="N58" i="2"/>
  <c r="N82" i="2" s="1"/>
  <c r="N75" i="8" s="1"/>
  <c r="N54" i="8"/>
  <c r="N83" i="2"/>
  <c r="N76" i="8" s="1"/>
  <c r="N80" i="2" l="1"/>
  <c r="N73" i="8" s="1"/>
  <c r="N53" i="8"/>
  <c r="N49" i="8"/>
  <c r="N79" i="2"/>
  <c r="N72" i="8" s="1"/>
  <c r="N55" i="8"/>
  <c r="N63" i="2"/>
  <c r="N58" i="8" s="1"/>
  <c r="N81" i="2"/>
  <c r="N74" i="8" s="1"/>
  <c r="N71" i="8"/>
  <c r="N87" i="2" l="1"/>
  <c r="O57" i="2" s="1"/>
  <c r="N80" i="8" l="1"/>
  <c r="O54" i="2"/>
  <c r="O78" i="2" s="1"/>
  <c r="O58" i="2"/>
  <c r="O82" i="2" s="1"/>
  <c r="O75" i="8" s="1"/>
  <c r="O59" i="2"/>
  <c r="O54" i="8" s="1"/>
  <c r="O56" i="2"/>
  <c r="O51" i="8" s="1"/>
  <c r="O60" i="2"/>
  <c r="O55" i="8" s="1"/>
  <c r="O55" i="2"/>
  <c r="O79" i="2" s="1"/>
  <c r="O72" i="8" s="1"/>
  <c r="O81" i="2"/>
  <c r="O74" i="8" s="1"/>
  <c r="O52" i="8"/>
  <c r="O53" i="8" l="1"/>
  <c r="O84" i="2"/>
  <c r="O77" i="8" s="1"/>
  <c r="O50" i="8"/>
  <c r="O80" i="2"/>
  <c r="O73" i="8" s="1"/>
  <c r="O63" i="2"/>
  <c r="O58" i="8" s="1"/>
  <c r="O49" i="8"/>
  <c r="O83" i="2"/>
  <c r="O76" i="8" s="1"/>
  <c r="O71" i="8"/>
  <c r="O87" i="2" l="1"/>
  <c r="O80" i="8" s="1"/>
  <c r="P54" i="2" l="1"/>
  <c r="P78" i="2" s="1"/>
  <c r="P59" i="2"/>
  <c r="P54" i="8" s="1"/>
  <c r="P58" i="2"/>
  <c r="P53" i="8" s="1"/>
  <c r="P56" i="2"/>
  <c r="P80" i="2" s="1"/>
  <c r="P73" i="8" s="1"/>
  <c r="P57" i="2"/>
  <c r="P52" i="8" s="1"/>
  <c r="P55" i="2"/>
  <c r="P50" i="8" s="1"/>
  <c r="P60" i="2"/>
  <c r="P83" i="2" l="1"/>
  <c r="P76" i="8" s="1"/>
  <c r="P82" i="2"/>
  <c r="P75" i="8" s="1"/>
  <c r="P49" i="8"/>
  <c r="P81" i="2"/>
  <c r="P74" i="8" s="1"/>
  <c r="P51" i="8"/>
  <c r="P79" i="2"/>
  <c r="P72" i="8" s="1"/>
  <c r="P63" i="2"/>
  <c r="P58" i="8" s="1"/>
  <c r="P55" i="8"/>
  <c r="P84" i="2"/>
  <c r="P77" i="8" s="1"/>
  <c r="P71" i="8"/>
  <c r="P87" i="2" l="1"/>
  <c r="P80" i="8" s="1"/>
  <c r="Q58" i="2" l="1"/>
  <c r="Q82" i="2" s="1"/>
  <c r="Q55" i="2"/>
  <c r="Q50" i="8" s="1"/>
  <c r="Q56" i="2"/>
  <c r="Q51" i="8" s="1"/>
  <c r="Q57" i="2"/>
  <c r="S57" i="2" s="1"/>
  <c r="S52" i="8" s="1"/>
  <c r="Q60" i="2"/>
  <c r="S60" i="2" s="1"/>
  <c r="S55" i="8" s="1"/>
  <c r="Q59" i="2"/>
  <c r="S59" i="2" s="1"/>
  <c r="S54" i="8" s="1"/>
  <c r="Q54" i="2"/>
  <c r="T54" i="2" s="1"/>
  <c r="T49" i="8" s="1"/>
  <c r="Q54" i="8"/>
  <c r="S58" i="2"/>
  <c r="S53" i="8" s="1"/>
  <c r="Q55" i="8" l="1"/>
  <c r="T56" i="2"/>
  <c r="T51" i="8" s="1"/>
  <c r="Q83" i="2"/>
  <c r="Q76" i="8" s="1"/>
  <c r="Q78" i="2"/>
  <c r="T78" i="2" s="1"/>
  <c r="T71" i="8" s="1"/>
  <c r="S54" i="2"/>
  <c r="S49" i="8" s="1"/>
  <c r="T59" i="2"/>
  <c r="T54" i="8" s="1"/>
  <c r="S55" i="2"/>
  <c r="S50" i="8" s="1"/>
  <c r="Q49" i="8"/>
  <c r="Q80" i="2"/>
  <c r="Q73" i="8" s="1"/>
  <c r="T55" i="2"/>
  <c r="T50" i="8" s="1"/>
  <c r="Q79" i="2"/>
  <c r="Q72" i="8" s="1"/>
  <c r="S56" i="2"/>
  <c r="S51" i="8" s="1"/>
  <c r="Q52" i="8"/>
  <c r="T60" i="2"/>
  <c r="T55" i="8" s="1"/>
  <c r="Q53" i="8"/>
  <c r="T58" i="2"/>
  <c r="T53" i="8" s="1"/>
  <c r="Q84" i="2"/>
  <c r="S84" i="2" s="1"/>
  <c r="S77" i="8" s="1"/>
  <c r="Q63" i="2"/>
  <c r="S63" i="2" s="1"/>
  <c r="S58" i="8" s="1"/>
  <c r="T57" i="2"/>
  <c r="T52" i="8" s="1"/>
  <c r="Q81" i="2"/>
  <c r="Q74" i="8" s="1"/>
  <c r="S82" i="2"/>
  <c r="S75" i="8" s="1"/>
  <c r="Q75" i="8"/>
  <c r="T82" i="2"/>
  <c r="T75" i="8" s="1"/>
  <c r="S80" i="2" l="1"/>
  <c r="S73" i="8" s="1"/>
  <c r="T84" i="2"/>
  <c r="T77" i="8" s="1"/>
  <c r="S78" i="2"/>
  <c r="S71" i="8" s="1"/>
  <c r="Q71" i="8"/>
  <c r="S83" i="2"/>
  <c r="S76" i="8" s="1"/>
  <c r="T83" i="2"/>
  <c r="T76" i="8" s="1"/>
  <c r="T80" i="2"/>
  <c r="T73" i="8" s="1"/>
  <c r="Q77" i="8"/>
  <c r="T79" i="2"/>
  <c r="T72" i="8" s="1"/>
  <c r="S79" i="2"/>
  <c r="S72" i="8" s="1"/>
  <c r="Q87" i="2"/>
  <c r="Q80" i="8" s="1"/>
  <c r="Q58" i="8"/>
  <c r="T63" i="2"/>
  <c r="T58" i="8" s="1"/>
  <c r="T81" i="2"/>
  <c r="T74" i="8" s="1"/>
  <c r="S81" i="2"/>
  <c r="S74" i="8" s="1"/>
  <c r="T87" i="2" l="1"/>
  <c r="T80" i="8" s="1"/>
  <c r="S87" i="2"/>
  <c r="S80" i="8" s="1"/>
</calcChain>
</file>

<file path=xl/sharedStrings.xml><?xml version="1.0" encoding="utf-8"?>
<sst xmlns="http://schemas.openxmlformats.org/spreadsheetml/2006/main" count="3381" uniqueCount="588">
  <si>
    <t>Legend</t>
  </si>
  <si>
    <t>Input</t>
  </si>
  <si>
    <t>Reference to Other Sheet</t>
  </si>
  <si>
    <t>Output/Calculation</t>
  </si>
  <si>
    <t>Assumptions</t>
  </si>
  <si>
    <t>Cutomer Baseline</t>
  </si>
  <si>
    <t>Calculation</t>
  </si>
  <si>
    <t>Notes</t>
  </si>
  <si>
    <t xml:space="preserve">New </t>
  </si>
  <si>
    <t>6 - month average.  Growth based on user input.  Assumed new customers relatively constant based on trends.</t>
  </si>
  <si>
    <t xml:space="preserve">Legacy to New Team </t>
  </si>
  <si>
    <t>6 - month average.  Historical figures relatively flat.</t>
  </si>
  <si>
    <t>Expansion</t>
  </si>
  <si>
    <t>Modeled growth based on linear equation.  More expansion opportunities as the base grows.  Refer to Growth Analysis for expanded projection.</t>
  </si>
  <si>
    <t>Contraction</t>
  </si>
  <si>
    <t>Modeled growth based on linear equation.  More companies will contract the larger the customer base.  Refer to Growth Analysis for expanded projection.</t>
  </si>
  <si>
    <t>Old Team to New Team</t>
  </si>
  <si>
    <t xml:space="preserve">% Churn-Failed Reactivation </t>
  </si>
  <si>
    <t>2018 average (YTD).  Opportunity to improve.  Churn related to failed credit card payment needs to be addressed appropriately</t>
  </si>
  <si>
    <t>Churn % (Monthly)</t>
  </si>
  <si>
    <t>2018 average (YTD).  Maintain low Churn percentage.  Churn % remains relatively flat, but will grow overall as more customers are onboarded.</t>
  </si>
  <si>
    <t>Churn-Failed % (Monthly)</t>
  </si>
  <si>
    <t>2018 average (YTD).  Opportunity to improve payments</t>
  </si>
  <si>
    <t>Growth (MoM)</t>
  </si>
  <si>
    <t xml:space="preserve">Input </t>
  </si>
  <si>
    <t>New</t>
  </si>
  <si>
    <t>Pricing</t>
  </si>
  <si>
    <t>ARR of New Customer</t>
  </si>
  <si>
    <t>ARR of Legacy to New Team</t>
  </si>
  <si>
    <t>ARR No Change</t>
  </si>
  <si>
    <t>Increase in ARR of Expansion</t>
  </si>
  <si>
    <t>Decrease in ARR of Contraction</t>
  </si>
  <si>
    <t>Increase in ARR Old Team to New Team</t>
  </si>
  <si>
    <t>Increase in ARR Churn - Failed Reactivation</t>
  </si>
  <si>
    <t>Churn Decrease in ARR</t>
  </si>
  <si>
    <t>Churn - Failed Decrease in ARR</t>
  </si>
  <si>
    <t>Methodology</t>
  </si>
  <si>
    <t>1)  Categorized Customers by change_type and by month</t>
  </si>
  <si>
    <t>2.) Plotted YTD figures to determine trends and performed a simple linear regression analysis for customer type</t>
  </si>
  <si>
    <t>3.) Determined Starting ARR, Change in ARR, and Ending ARR by Customer</t>
  </si>
  <si>
    <t>4.) Removed Outlier Data to normalize YTD figures.  Removed client ID# 39NTHthWY3.  Fell outside the normal range of all other figures.  Assumption that was an error or a one-time charge.</t>
  </si>
  <si>
    <t>5.) Calculated pricing based on YTD averages and by change_type</t>
  </si>
  <si>
    <t>* Removed Outlier Data</t>
  </si>
  <si>
    <t>Select Metrics</t>
  </si>
  <si>
    <t>YTD Average</t>
  </si>
  <si>
    <t>Projected Average</t>
  </si>
  <si>
    <t>H2 2018 Average</t>
  </si>
  <si>
    <t>OKRs</t>
  </si>
  <si>
    <t>Objective: Grow</t>
  </si>
  <si>
    <t>Win 69 new customers a month</t>
  </si>
  <si>
    <t>898 Total Customers by year end</t>
  </si>
  <si>
    <t>Objective: Protect</t>
  </si>
  <si>
    <t>Reduce Churn to &lt; 0.5%/month, (&lt; 6% annual churn)</t>
  </si>
  <si>
    <t>Maintain Contraction &lt; 10%</t>
  </si>
  <si>
    <t>Keep Average contraction/customer &lt; $2,800</t>
  </si>
  <si>
    <t>Keep % Churn - Failed &lt; 0.5 %/month</t>
  </si>
  <si>
    <t>Reactivate Churn - Failed &gt; 75%</t>
  </si>
  <si>
    <t xml:space="preserve">Objective: Expand our services </t>
  </si>
  <si>
    <t>Increase expansion to &gt; 18.5% of our customer base</t>
  </si>
  <si>
    <t>Maintain average ARR expansion/customer &gt;$2,207</t>
  </si>
  <si>
    <t>Recommendations &amp; Initiatives</t>
  </si>
  <si>
    <t xml:space="preserve">1. Analyze marketing spend &amp; channels.  Continue targeted marketing campaigns in channels with the lower CAC and consider increasing investment.  </t>
  </si>
  <si>
    <t>2. Improve expansion sales strategy and consider right relationship model to mitigate contraction and improve expansion opportunities.  Analyze the products/services that have gained traction that have good conversions and ARR.</t>
  </si>
  <si>
    <t>3. Scale customer service and engagement.  Continue staffing as needed, but also look into automation investments.  Maintain community events.</t>
  </si>
  <si>
    <t xml:space="preserve">4. Optimize customer retention.  Analyze offering concessions or other add-ons.  </t>
  </si>
  <si>
    <t>5. Improve billing and reconciliation practices for churn related to failed payments.</t>
  </si>
  <si>
    <t>6. Evaluate sales quota &amp; compensation and incentivize hitting year-end targets.</t>
  </si>
  <si>
    <t>Adjusted Actuals *</t>
  </si>
  <si>
    <t>Projected</t>
  </si>
  <si>
    <t>Apr 18' - Dec 18' CMGR</t>
  </si>
  <si>
    <t>2H' CMGR</t>
  </si>
  <si>
    <t>Customer Type</t>
  </si>
  <si>
    <t>Legacy to New Team</t>
  </si>
  <si>
    <t>No Change</t>
  </si>
  <si>
    <t>Churn-Failed Reactivation</t>
  </si>
  <si>
    <t>Total Customers</t>
  </si>
  <si>
    <t>Churn</t>
  </si>
  <si>
    <t>Churn-Failed</t>
  </si>
  <si>
    <t>Total Churn</t>
  </si>
  <si>
    <t>Inputs/Assumptions</t>
  </si>
  <si>
    <t>Churn % Assumptions</t>
  </si>
  <si>
    <t>Churn - Failed Reactiviation % of Churn Failed</t>
  </si>
  <si>
    <t>Growth % by Customer base</t>
  </si>
  <si>
    <t>Metrics vs. Prior Period unless stated otherwise</t>
  </si>
  <si>
    <t>Overall Customer growth</t>
  </si>
  <si>
    <t>New Customer growth</t>
  </si>
  <si>
    <t>Cumulative Customer Churn (2018)</t>
  </si>
  <si>
    <t>% New (# of New Customers/ Total # of Customers)</t>
  </si>
  <si>
    <t xml:space="preserve">% Legacy to New Team </t>
  </si>
  <si>
    <t>% Customers that remained same</t>
  </si>
  <si>
    <t xml:space="preserve"> % Customers that Expand</t>
  </si>
  <si>
    <t>% Customers that Contracted</t>
  </si>
  <si>
    <t>% Old Team to New Team</t>
  </si>
  <si>
    <t>% Failed Churn - Reactivition</t>
  </si>
  <si>
    <t>% Churn</t>
  </si>
  <si>
    <t>% Churn -Failed</t>
  </si>
  <si>
    <t>% Total Churn</t>
  </si>
  <si>
    <t>Net Expansion</t>
  </si>
  <si>
    <t>Net Expansion % of Customer Base</t>
  </si>
  <si>
    <t>Net Expansion Growth (MoM)</t>
  </si>
  <si>
    <t>% of Churn - Failed that are reactivated</t>
  </si>
  <si>
    <t>Expanded/Contracted Ratio</t>
  </si>
  <si>
    <t>Revenue - Starting ARR</t>
  </si>
  <si>
    <t>Total Starting ARR</t>
  </si>
  <si>
    <t>Revenue - Change in ARR</t>
  </si>
  <si>
    <t>Total Change in ARR</t>
  </si>
  <si>
    <t>Revenue - Ending ARR</t>
  </si>
  <si>
    <t>Total Ending ARR</t>
  </si>
  <si>
    <t>% of Total - Starting Revenue</t>
  </si>
  <si>
    <t>Average Per Customer (Starting ARR/Current # of Customers)</t>
  </si>
  <si>
    <t>Average Per Customer (Ending ARR/Current # of Customers)</t>
  </si>
  <si>
    <t>* Removed outlier Data</t>
  </si>
  <si>
    <t>workspace_id</t>
  </si>
  <si>
    <t>time_period</t>
  </si>
  <si>
    <t>start_arr</t>
  </si>
  <si>
    <t>end_arr</t>
  </si>
  <si>
    <t>change_type</t>
  </si>
  <si>
    <t>change_arr</t>
  </si>
  <si>
    <t>TCQZ2hkxWF</t>
  </si>
  <si>
    <t>M59ojynAVJ</t>
  </si>
  <si>
    <t>SCuDSME3Ff</t>
  </si>
  <si>
    <t>RuFrFxGNyy</t>
  </si>
  <si>
    <t>cEbVUyf5cJ</t>
  </si>
  <si>
    <t>Lxvv14xXR7</t>
  </si>
  <si>
    <t>L2Br1vbRYT</t>
  </si>
  <si>
    <t>W0oPZYASZG</t>
  </si>
  <si>
    <t>Ik1cIiOBXS</t>
  </si>
  <si>
    <t>fgJgxNEqgy</t>
  </si>
  <si>
    <t>GN83eHSsQq</t>
  </si>
  <si>
    <t>PgDxSmfbMU</t>
  </si>
  <si>
    <t>Ldtinks0ib</t>
  </si>
  <si>
    <t>I6ZEVeDEhH</t>
  </si>
  <si>
    <t>YQNZ646qei</t>
  </si>
  <si>
    <t>KvCEaYABB6</t>
  </si>
  <si>
    <t>CKuB86U2Yg</t>
  </si>
  <si>
    <t>zXhB7qd6di</t>
  </si>
  <si>
    <t>JnpHQoH0Ty</t>
  </si>
  <si>
    <t>afCWEwDtKE</t>
  </si>
  <si>
    <t>Urx36fb5MD</t>
  </si>
  <si>
    <t>gamMGshb1z</t>
  </si>
  <si>
    <t>Ka7BLRlBXm</t>
  </si>
  <si>
    <t>VZ4C8nofsR</t>
  </si>
  <si>
    <t>W1JEgj2Kc4</t>
  </si>
  <si>
    <t>a6h18bEEKW</t>
  </si>
  <si>
    <t>29ry56ieqc</t>
  </si>
  <si>
    <t>HlsE1qnhaq</t>
  </si>
  <si>
    <t>FEQHniq3Ik</t>
  </si>
  <si>
    <t>CePvWRrqDR</t>
  </si>
  <si>
    <t>hxp5apJ0Zq</t>
  </si>
  <si>
    <t>QE8LZoSdL0</t>
  </si>
  <si>
    <t>rMh2cqZbcq</t>
  </si>
  <si>
    <t>m1kPZ9S9gW</t>
  </si>
  <si>
    <t>OOJXGin8C7</t>
  </si>
  <si>
    <t>AKl7Qf9hS3</t>
  </si>
  <si>
    <t>WlA2Wjpo74</t>
  </si>
  <si>
    <t>gEaU6oHiRG</t>
  </si>
  <si>
    <t>TfA6tMlWcn</t>
  </si>
  <si>
    <t>5sL51fPJcU</t>
  </si>
  <si>
    <t>6Vs1tYGAjI</t>
  </si>
  <si>
    <t>JFxRA3E4OQ</t>
  </si>
  <si>
    <t>8CaX6J9YQA</t>
  </si>
  <si>
    <t>2RzpsrFtnC</t>
  </si>
  <si>
    <t>s0cbVEwJtv</t>
  </si>
  <si>
    <t>jDBU8RTUvw</t>
  </si>
  <si>
    <t>BvtvW98fCR</t>
  </si>
  <si>
    <t>Pl2dzmbMB9</t>
  </si>
  <si>
    <t>9llpLoMVNg</t>
  </si>
  <si>
    <t>dCvPzAzGsB</t>
  </si>
  <si>
    <t>z4F3oF9Ogp</t>
  </si>
  <si>
    <t>8zibSIUXP1</t>
  </si>
  <si>
    <t>fH6qaDG4VI</t>
  </si>
  <si>
    <t>w64iAnGpnm</t>
  </si>
  <si>
    <t>FL8xSKC69o</t>
  </si>
  <si>
    <t>iakWbwOoFB</t>
  </si>
  <si>
    <t>sX25bQK7ZE</t>
  </si>
  <si>
    <t>9PKnXvLBd9</t>
  </si>
  <si>
    <t>aiXu0Bohwa</t>
  </si>
  <si>
    <t>dupxSpNdS9</t>
  </si>
  <si>
    <t>4yl2I5jrGp</t>
  </si>
  <si>
    <t>M1Gm3uUmOK</t>
  </si>
  <si>
    <t>XNKQzclmJJ</t>
  </si>
  <si>
    <t>KeEvMlNDsv</t>
  </si>
  <si>
    <t>oYQYrKk5p6</t>
  </si>
  <si>
    <t>O1FBwV4lDH</t>
  </si>
  <si>
    <t>I092mr1eqA</t>
  </si>
  <si>
    <t>lsoBUdXoza</t>
  </si>
  <si>
    <t>kBJcEEKSS3</t>
  </si>
  <si>
    <t>3t9bXH6edV</t>
  </si>
  <si>
    <t>Xj1XFyJShC</t>
  </si>
  <si>
    <t>6eYB3BCdio</t>
  </si>
  <si>
    <t>54siAjabFv</t>
  </si>
  <si>
    <t>KvMSnhBrDR</t>
  </si>
  <si>
    <t>P1MNKr4cQx</t>
  </si>
  <si>
    <t>HRNlwWF9WT</t>
  </si>
  <si>
    <t>t5CKM8smfm</t>
  </si>
  <si>
    <t>pUpBRsTXu6</t>
  </si>
  <si>
    <t>n4rCkt5DNc</t>
  </si>
  <si>
    <t>DFSrWRkIcM</t>
  </si>
  <si>
    <t>goiIXBGTIK</t>
  </si>
  <si>
    <t>4xDBuAN9O9</t>
  </si>
  <si>
    <t>qIqvKUF1Xu</t>
  </si>
  <si>
    <t>qPHeFkhKDg</t>
  </si>
  <si>
    <t>iQ6S0NmoR4</t>
  </si>
  <si>
    <t>EmRqPPgtP6</t>
  </si>
  <si>
    <t>UPqmixxe13</t>
  </si>
  <si>
    <t>DzxILamd6m</t>
  </si>
  <si>
    <t>3sDVw1liMT</t>
  </si>
  <si>
    <t>mvqDtQuHud</t>
  </si>
  <si>
    <t>2xrkVwItog</t>
  </si>
  <si>
    <t>voCtB7WUAp</t>
  </si>
  <si>
    <t>5rEbLGHJXB</t>
  </si>
  <si>
    <t>ZOxbqGS4LP</t>
  </si>
  <si>
    <t>pZtxaZk0hx</t>
  </si>
  <si>
    <t>791yy5qqZm</t>
  </si>
  <si>
    <t>6f9hVjYFQ4</t>
  </si>
  <si>
    <t>rbc0v4dkct</t>
  </si>
  <si>
    <t>vclc7rrofa</t>
  </si>
  <si>
    <t>dxVfD9Yhl6</t>
  </si>
  <si>
    <t>a3pIdiQtQU</t>
  </si>
  <si>
    <t>OJEXFXOvZW</t>
  </si>
  <si>
    <t>MTefIDLst6</t>
  </si>
  <si>
    <t>MeUkrQF5oe</t>
  </si>
  <si>
    <t>mLFiYfVkRy</t>
  </si>
  <si>
    <t>4lrdOb205J</t>
  </si>
  <si>
    <t>7NVdtGkQ2y</t>
  </si>
  <si>
    <t>YipKKJreiz</t>
  </si>
  <si>
    <t>bXchKIahK5</t>
  </si>
  <si>
    <t>vTTTWSvV8K</t>
  </si>
  <si>
    <t>wVkRrSxITy</t>
  </si>
  <si>
    <t>FFpmss0MFL</t>
  </si>
  <si>
    <t>DN5ASALTwC</t>
  </si>
  <si>
    <t>4dA6b4AEGg</t>
  </si>
  <si>
    <t>qN3dFjLuPx</t>
  </si>
  <si>
    <t>uu5FmHZZfG</t>
  </si>
  <si>
    <t>LkqrSy3b71</t>
  </si>
  <si>
    <t>ogaMlsGZeb</t>
  </si>
  <si>
    <t>aCK6KZ7TKK</t>
  </si>
  <si>
    <t>ysRSrT4pyY</t>
  </si>
  <si>
    <t>2DmzmkeIHV</t>
  </si>
  <si>
    <t>QyAEQsKcCD</t>
  </si>
  <si>
    <t>7IQkA8WVO0</t>
  </si>
  <si>
    <t>moC1YJgmAe</t>
  </si>
  <si>
    <t>6fpmYiW7lm</t>
  </si>
  <si>
    <t>77ZypBEaw8</t>
  </si>
  <si>
    <t>FRREFHIsGz</t>
  </si>
  <si>
    <t>33aghQlz6Z</t>
  </si>
  <si>
    <t>ulk7dPvdQt</t>
  </si>
  <si>
    <t>Mgga8NX8Bo</t>
  </si>
  <si>
    <t>x5HqrRxgR4</t>
  </si>
  <si>
    <t>zj9Bx8HmHa</t>
  </si>
  <si>
    <t>Kd5wmv0Mdf</t>
  </si>
  <si>
    <t>PLCxBzd1vI</t>
  </si>
  <si>
    <t>SofsNZE60n</t>
  </si>
  <si>
    <t>e3lbTW4xb2</t>
  </si>
  <si>
    <t>rU4AP9buF5</t>
  </si>
  <si>
    <t>ilUllX2Dwz</t>
  </si>
  <si>
    <t>skpTWcM0bs</t>
  </si>
  <si>
    <t>CNw4s7BBRQ</t>
  </si>
  <si>
    <t>RH3OCwUxiR</t>
  </si>
  <si>
    <t>MA4L4talXS</t>
  </si>
  <si>
    <t>MtOe7T05pI</t>
  </si>
  <si>
    <t>S8fA1UCu3c</t>
  </si>
  <si>
    <t>KYIwIsDU7F</t>
  </si>
  <si>
    <t>6WMwHZt2gk</t>
  </si>
  <si>
    <t>IMQbTiJMNp</t>
  </si>
  <si>
    <t>O2S0LCYhKx</t>
  </si>
  <si>
    <t>iu6FvHUYNn</t>
  </si>
  <si>
    <t>YS4mvnqcDQ</t>
  </si>
  <si>
    <t>apBAGtEkcV</t>
  </si>
  <si>
    <t>vi9YKO2x0U</t>
  </si>
  <si>
    <t>tapbBCN4yb</t>
  </si>
  <si>
    <t>nRT7awHMVb</t>
  </si>
  <si>
    <t>21QBy4aBcJ</t>
  </si>
  <si>
    <t>jARUsP5Clg</t>
  </si>
  <si>
    <t>1H6isGipIv</t>
  </si>
  <si>
    <t>tmFAGi4La9</t>
  </si>
  <si>
    <t>rdZCwBvXQk</t>
  </si>
  <si>
    <t>b6hxDgnssL</t>
  </si>
  <si>
    <t>VWQWUFPHtZ</t>
  </si>
  <si>
    <t>L6wPJLGP2e</t>
  </si>
  <si>
    <t>wiIQ8CuY5U</t>
  </si>
  <si>
    <t>yri7FDz94J</t>
  </si>
  <si>
    <t>eCqMTBttUf</t>
  </si>
  <si>
    <t>Y0nspVjAHY</t>
  </si>
  <si>
    <t>oNFDRrn7UP</t>
  </si>
  <si>
    <t>buasGspGMJ</t>
  </si>
  <si>
    <t>HEoArz7KTm</t>
  </si>
  <si>
    <t>y21jpFf3D4</t>
  </si>
  <si>
    <t>MSPQf2pJH1</t>
  </si>
  <si>
    <t>LWSRjRHwq2</t>
  </si>
  <si>
    <t>OCsJFHBpmo</t>
  </si>
  <si>
    <t>51oKRJ8miO</t>
  </si>
  <si>
    <t>BBj3Lf3fGi</t>
  </si>
  <si>
    <t>ymT66NKmBU</t>
  </si>
  <si>
    <t>6PIFumYNc7</t>
  </si>
  <si>
    <t>qFIiiKDiLe</t>
  </si>
  <si>
    <t>TP24Rv0oXE</t>
  </si>
  <si>
    <t>tliue8aE7B</t>
  </si>
  <si>
    <t>T5S4WcT8A3</t>
  </si>
  <si>
    <t>SHrfePEy1G</t>
  </si>
  <si>
    <t>mowQd4W0fg</t>
  </si>
  <si>
    <t>aEHoe3sCdp</t>
  </si>
  <si>
    <t>H3GiUaSVej</t>
  </si>
  <si>
    <t>QQjtc7VarD</t>
  </si>
  <si>
    <t>h3AHv9ujTm</t>
  </si>
  <si>
    <t>WCxGAwysiA</t>
  </si>
  <si>
    <t>cFX10lS5JK</t>
  </si>
  <si>
    <t>VfHwpBpE0C</t>
  </si>
  <si>
    <t>39NTHthWY3</t>
  </si>
  <si>
    <t>uij3ea570s</t>
  </si>
  <si>
    <t>bgkukpBlQT</t>
  </si>
  <si>
    <t>kTnZTIAi6k</t>
  </si>
  <si>
    <t>wlDNb5r8E2</t>
  </si>
  <si>
    <t>YXjRPy5Q1u</t>
  </si>
  <si>
    <t>BGDG6QTgma</t>
  </si>
  <si>
    <t>rt6Q1KOkEL</t>
  </si>
  <si>
    <t>leRDVW6t6X</t>
  </si>
  <si>
    <t>YR66a58dFX</t>
  </si>
  <si>
    <t>e185gf88jS</t>
  </si>
  <si>
    <t>6W15WYqEPI</t>
  </si>
  <si>
    <t>JYnbQ01uFU</t>
  </si>
  <si>
    <t>C32A7IlR3Z</t>
  </si>
  <si>
    <t>QGMXcD82UD</t>
  </si>
  <si>
    <t>lxrMGkt05f</t>
  </si>
  <si>
    <t>Tu0k2oA4G9</t>
  </si>
  <si>
    <t>hm44LIhNnG</t>
  </si>
  <si>
    <t>6YW1yfAcAJ</t>
  </si>
  <si>
    <t>KwbvQAczSA</t>
  </si>
  <si>
    <t>n2A09A3UXs</t>
  </si>
  <si>
    <t>2wRBg0y0Eu</t>
  </si>
  <si>
    <t>xZBQMAHbDp</t>
  </si>
  <si>
    <t>LwHBCjirVB</t>
  </si>
  <si>
    <t>C3Az6CVWQT</t>
  </si>
  <si>
    <t>ORKJo67vqC</t>
  </si>
  <si>
    <t>PA52Kpgi0E</t>
  </si>
  <si>
    <t>KodxvyIR2j</t>
  </si>
  <si>
    <t>hYYacRMhWs</t>
  </si>
  <si>
    <t>12xU05huUC</t>
  </si>
  <si>
    <t>HdR3deK4Z0</t>
  </si>
  <si>
    <t>lGY8KHZ8Bi</t>
  </si>
  <si>
    <t>m42WnHg9Gu</t>
  </si>
  <si>
    <t>wMyouteLN2</t>
  </si>
  <si>
    <t>w78VORhVrq</t>
  </si>
  <si>
    <t>fwHDCAqvsr</t>
  </si>
  <si>
    <t>mTVx6Q4MUp</t>
  </si>
  <si>
    <t>4Y4BNYUpr4</t>
  </si>
  <si>
    <t>XTmudn4HT0</t>
  </si>
  <si>
    <t>jt30q8U1nR</t>
  </si>
  <si>
    <t>KRVaKKY7ZQ</t>
  </si>
  <si>
    <t>QZVVdfQPT5</t>
  </si>
  <si>
    <t>4dtjwt5udt</t>
  </si>
  <si>
    <t>XJt6iRGsIk</t>
  </si>
  <si>
    <t>nW2MP00s7e</t>
  </si>
  <si>
    <t>kjhSEHxVt7</t>
  </si>
  <si>
    <t>dAOfVwUERC</t>
  </si>
  <si>
    <t>9w3rVQCDvA</t>
  </si>
  <si>
    <t>QsX8UffAzT</t>
  </si>
  <si>
    <t>8px4aSQwjN</t>
  </si>
  <si>
    <t>4MZ6tHq5hi</t>
  </si>
  <si>
    <t>AUL2cYkaov</t>
  </si>
  <si>
    <t>k6GdGBPEtu</t>
  </si>
  <si>
    <t>3ctcibxChI</t>
  </si>
  <si>
    <t>pfvWKO4Fs4</t>
  </si>
  <si>
    <t>L7qNeG6kqx</t>
  </si>
  <si>
    <t>FSHScSGcUp</t>
  </si>
  <si>
    <t>XnQ6N4zFEM</t>
  </si>
  <si>
    <t>hdy12hay2w</t>
  </si>
  <si>
    <t>OeSZYvqq8Z</t>
  </si>
  <si>
    <t>jAAy2DvTl9</t>
  </si>
  <si>
    <t>Zi8wialFDV</t>
  </si>
  <si>
    <t>kRMGw6tqug</t>
  </si>
  <si>
    <t>56MyoB0iHy</t>
  </si>
  <si>
    <t>cuJ9Fmngpa</t>
  </si>
  <si>
    <t>CPr1eoeOoj</t>
  </si>
  <si>
    <t>3eC5x0fACM</t>
  </si>
  <si>
    <t>cD8WMHFzDZ</t>
  </si>
  <si>
    <t>PHGGMkDAja</t>
  </si>
  <si>
    <t>ycbP8jpoYb</t>
  </si>
  <si>
    <t>LvEXdRV2wF</t>
  </si>
  <si>
    <t>sdLZeqnM6F</t>
  </si>
  <si>
    <t>vMz0tIT4bQ</t>
  </si>
  <si>
    <t>m2fR6mfuzD</t>
  </si>
  <si>
    <t>Qp6PrDV15P</t>
  </si>
  <si>
    <t>Z5JRDKDoFi</t>
  </si>
  <si>
    <t>Hm7mHXgduC</t>
  </si>
  <si>
    <t>7UTXJJzlc7</t>
  </si>
  <si>
    <t>aWhArVycaC</t>
  </si>
  <si>
    <t>KTBSBTkVUn</t>
  </si>
  <si>
    <t>4P2PZPaAjN</t>
  </si>
  <si>
    <t>GF4y1vySje</t>
  </si>
  <si>
    <t>osRtYINDs3</t>
  </si>
  <si>
    <t>Jn9CH6seOP</t>
  </si>
  <si>
    <t>QdohGTypTR</t>
  </si>
  <si>
    <t>LEKamjLDpo</t>
  </si>
  <si>
    <t>ieENsEKRRS</t>
  </si>
  <si>
    <t>mwXWKpe8E0</t>
  </si>
  <si>
    <t>TyKAA8kKBa</t>
  </si>
  <si>
    <t>XF4YofYEyO</t>
  </si>
  <si>
    <t>G0kYqx6BnH</t>
  </si>
  <si>
    <t>WJVIvmxRf1</t>
  </si>
  <si>
    <t>4sjuguuNgv</t>
  </si>
  <si>
    <t>mzRg5DBy9Y</t>
  </si>
  <si>
    <t>AvkOwOjHnA</t>
  </si>
  <si>
    <t>urJxUy6WVM</t>
  </si>
  <si>
    <t>aNqvOadqBL</t>
  </si>
  <si>
    <t>wLPcsQFUFa</t>
  </si>
  <si>
    <t>1lD5siw4Kg</t>
  </si>
  <si>
    <t>2O7wybLx2y</t>
  </si>
  <si>
    <t>g86FXoNJek</t>
  </si>
  <si>
    <t>VZPvX3P6qM</t>
  </si>
  <si>
    <t>x38VE8b8cL</t>
  </si>
  <si>
    <t>PieZb4Kzeu</t>
  </si>
  <si>
    <t>H0MywtTwkH</t>
  </si>
  <si>
    <t>GPTiNDi6lN</t>
  </si>
  <si>
    <t>6UtU8Dj62I</t>
  </si>
  <si>
    <t>yimSRYeUdZ</t>
  </si>
  <si>
    <t>5C7DILehuz</t>
  </si>
  <si>
    <t>zGo41jDhKQ</t>
  </si>
  <si>
    <t>W7cpw8lLvt</t>
  </si>
  <si>
    <t>5a7Btj2bWq</t>
  </si>
  <si>
    <t>yOXlq8LxAW</t>
  </si>
  <si>
    <t>DRm6Lm9qIN</t>
  </si>
  <si>
    <t>ZgilsECY7H</t>
  </si>
  <si>
    <t>s2op9Z2EDL</t>
  </si>
  <si>
    <t>VWe1xHpz6T</t>
  </si>
  <si>
    <t>0HJz3E6qsh</t>
  </si>
  <si>
    <t>09D0KG4NFp</t>
  </si>
  <si>
    <t>qkC5Cf5Egq</t>
  </si>
  <si>
    <t>23a6OxmMts</t>
  </si>
  <si>
    <t>0ZYeM9E5W3</t>
  </si>
  <si>
    <t>t68giLfwC0</t>
  </si>
  <si>
    <t>9F2IUIc3Uq</t>
  </si>
  <si>
    <t>rddhCb7PAy</t>
  </si>
  <si>
    <t>5Rk1KKoKiG</t>
  </si>
  <si>
    <t>FqNV8jlQB4</t>
  </si>
  <si>
    <t>bLj7gESFEf</t>
  </si>
  <si>
    <t>tQnfzDtvd3</t>
  </si>
  <si>
    <t>KErSb0tprB</t>
  </si>
  <si>
    <t>mZf0NsZPvY</t>
  </si>
  <si>
    <t>unnSYPOx54</t>
  </si>
  <si>
    <t>Uq4TrZ0YDS</t>
  </si>
  <si>
    <t>LHXzCTX8aq</t>
  </si>
  <si>
    <t>YKdLbcCuFq</t>
  </si>
  <si>
    <t>qi1fTCZvab</t>
  </si>
  <si>
    <t>b3hwj0teyd</t>
  </si>
  <si>
    <t>BPmkNXWbRG</t>
  </si>
  <si>
    <t>fpGmPuzqRG</t>
  </si>
  <si>
    <t>Nro79dXApp</t>
  </si>
  <si>
    <t>9tBwI1t6OZ</t>
  </si>
  <si>
    <t>JFh18u5m5m</t>
  </si>
  <si>
    <t>SCXV7qz9Lt</t>
  </si>
  <si>
    <t>ImfQ10jTQE</t>
  </si>
  <si>
    <t>RuYbvssq6Q</t>
  </si>
  <si>
    <t>y884xycTEa</t>
  </si>
  <si>
    <t>eYNUriE4Ha</t>
  </si>
  <si>
    <t>BwkJraY5xC</t>
  </si>
  <si>
    <t>QDDb9UY66O</t>
  </si>
  <si>
    <t>b1Yv0G10tc</t>
  </si>
  <si>
    <t>RavIjHSBi1</t>
  </si>
  <si>
    <t>7ekte5FubQ</t>
  </si>
  <si>
    <t>xiQKDNxukA</t>
  </si>
  <si>
    <t>1H6jv7g5FS</t>
  </si>
  <si>
    <t>T1FbfEyVfu</t>
  </si>
  <si>
    <t>KwWgVzrlCc</t>
  </si>
  <si>
    <t>I88ZHcY2w0</t>
  </si>
  <si>
    <t>zXmUGDIfsr</t>
  </si>
  <si>
    <t>ZHdn0vYdY2</t>
  </si>
  <si>
    <t>iLFZ4GusTh</t>
  </si>
  <si>
    <t>PF2htN9lp9</t>
  </si>
  <si>
    <t>U9Xo0WSkID</t>
  </si>
  <si>
    <t>23aQueX5Fp</t>
  </si>
  <si>
    <t>HpE16dvaAE</t>
  </si>
  <si>
    <t>nD3VZBClrH</t>
  </si>
  <si>
    <t>qOgT3Pf8vK</t>
  </si>
  <si>
    <t>BCYcBvD3lh</t>
  </si>
  <si>
    <t>95Eh5B8FxJ</t>
  </si>
  <si>
    <t>e06lMPydF3</t>
  </si>
  <si>
    <t>gNhTr7ykOr</t>
  </si>
  <si>
    <t>Q8prjkZNKj</t>
  </si>
  <si>
    <t>OELsrBEtqR</t>
  </si>
  <si>
    <t>EJe4flV1Sa</t>
  </si>
  <si>
    <t>Ce516pCaYJ</t>
  </si>
  <si>
    <t>6FPFIXNf2B</t>
  </si>
  <si>
    <t>OpcUxmK45H</t>
  </si>
  <si>
    <t>WgQW92AnSb</t>
  </si>
  <si>
    <t>fCtSikYU0x</t>
  </si>
  <si>
    <t>nSULfTpdGK</t>
  </si>
  <si>
    <t>bUMLKEj046</t>
  </si>
  <si>
    <t>5PiqLZtXmq</t>
  </si>
  <si>
    <t>N3Kn0nQxFH</t>
  </si>
  <si>
    <t>jnIq5aak5x</t>
  </si>
  <si>
    <t>Ei9SafcEdO</t>
  </si>
  <si>
    <t>viuBKjNyJ0</t>
  </si>
  <si>
    <t>ZUaRt9DJN5</t>
  </si>
  <si>
    <t>V7V7P8r3YV</t>
  </si>
  <si>
    <t>Tb6ieXSPpb</t>
  </si>
  <si>
    <t>W9yk2Vrh5D</t>
  </si>
  <si>
    <t>m6C8W39QpG</t>
  </si>
  <si>
    <t>ML2FHYwWpA</t>
  </si>
  <si>
    <t>2tZebSG2Mm</t>
  </si>
  <si>
    <t>s90wS1d7jg</t>
  </si>
  <si>
    <t>OYdbVJJnoc</t>
  </si>
  <si>
    <t>zWfYOl8TqU</t>
  </si>
  <si>
    <t>Awg3vM00Z5</t>
  </si>
  <si>
    <t>N5Jd35mxGD</t>
  </si>
  <si>
    <t>Nx71v77diF</t>
  </si>
  <si>
    <t>q73pryYijL</t>
  </si>
  <si>
    <t>zyGa9KyUEg</t>
  </si>
  <si>
    <t>VrTsq36BxF</t>
  </si>
  <si>
    <t>ng5VAAEvOi</t>
  </si>
  <si>
    <t>ZnHNhhqRwK</t>
  </si>
  <si>
    <t>eHZgkx81bA</t>
  </si>
  <si>
    <t>2hQvnap7CN</t>
  </si>
  <si>
    <t>1yTPuufZom</t>
  </si>
  <si>
    <t>xvF9TEPTbq</t>
  </si>
  <si>
    <t>HaIgmukZnb</t>
  </si>
  <si>
    <t>yfL95TZCrW</t>
  </si>
  <si>
    <t>95ecG5J9Nb</t>
  </si>
  <si>
    <t>4pKffPBqrO</t>
  </si>
  <si>
    <t>PpOpjEfE2y</t>
  </si>
  <si>
    <t>Ta9ZHlScJG</t>
  </si>
  <si>
    <t>0MBWObAjTw</t>
  </si>
  <si>
    <t>rUFMiEsl9w</t>
  </si>
  <si>
    <t>MhzKL79hwl</t>
  </si>
  <si>
    <t>0KnGgCU5e3</t>
  </si>
  <si>
    <t>cmr69aD4W7</t>
  </si>
  <si>
    <t>ON5A2mQY7x</t>
  </si>
  <si>
    <t>1OWevYC8Ip</t>
  </si>
  <si>
    <t>pIubqtCxYa</t>
  </si>
  <si>
    <t>pwhi6Te3Av</t>
  </si>
  <si>
    <t>D28IhFZPry</t>
  </si>
  <si>
    <t>37cP9EoJ1S</t>
  </si>
  <si>
    <t>dymNI3AwzT</t>
  </si>
  <si>
    <t>qUPdMDkMuz</t>
  </si>
  <si>
    <t>25KHX2Ldb3</t>
  </si>
  <si>
    <t>5nGOGjqQn3</t>
  </si>
  <si>
    <t>6TBJkVt2J8</t>
  </si>
  <si>
    <t>3oxCLPAwom</t>
  </si>
  <si>
    <t>Z7S3yJMpir</t>
  </si>
  <si>
    <t>uodTd8xLRG</t>
  </si>
  <si>
    <t>iZvwSbWV4Z</t>
  </si>
  <si>
    <t>nKyDxk9PMD</t>
  </si>
  <si>
    <t>Jpb4UfYlsy</t>
  </si>
  <si>
    <t>LVmQnPNY3K</t>
  </si>
  <si>
    <t>WWCOHSO51Q</t>
  </si>
  <si>
    <t>R4bG9aUXJd</t>
  </si>
  <si>
    <t>wLgE5H5i2I</t>
  </si>
  <si>
    <t>7jO5ZFJMaE</t>
  </si>
  <si>
    <t>7csEN5pRId</t>
  </si>
  <si>
    <t>sa8ptaDFzf</t>
  </si>
  <si>
    <t>5nb9fyaSm6</t>
  </si>
  <si>
    <t>M9ZRqq1fms</t>
  </si>
  <si>
    <t>tN11P3im1E</t>
  </si>
  <si>
    <t>9xnuq0cy33</t>
  </si>
  <si>
    <t>Linear Equations</t>
  </si>
  <si>
    <t>Varible</t>
  </si>
  <si>
    <t>Constant</t>
  </si>
  <si>
    <t>MoM Customer Growth</t>
  </si>
  <si>
    <t>Historical</t>
  </si>
  <si>
    <t>MoM Customer growth</t>
  </si>
  <si>
    <t>Formula</t>
  </si>
  <si>
    <t>New (# of New Customers/ Total # of Customers)</t>
  </si>
  <si>
    <t>Input Assumption</t>
  </si>
  <si>
    <t>Customers that remained same</t>
  </si>
  <si>
    <t>Customers that Expand</t>
  </si>
  <si>
    <t>Linear Equation</t>
  </si>
  <si>
    <t>Customers that Contracted</t>
  </si>
  <si>
    <t>Failed Churn - Reactivition</t>
  </si>
  <si>
    <t>Churn -Failed</t>
  </si>
  <si>
    <t>Linear Regression Analysis</t>
  </si>
  <si>
    <t>What's the difference between Churn, Churn - Failed, Churn - Reactiviation</t>
  </si>
  <si>
    <t>Churn means no longer a customer</t>
  </si>
  <si>
    <t>Churn Failed Reactivation is after Churn Failed - Still a customer</t>
  </si>
  <si>
    <t>Churn Failed is the same as churn</t>
  </si>
  <si>
    <t>Is there dropped data?</t>
  </si>
  <si>
    <t>Are there outliers?</t>
  </si>
  <si>
    <t>Questions</t>
  </si>
  <si>
    <t>39NTHthWY3 is this an outlier?</t>
  </si>
  <si>
    <t>What do you mean by Net Expansion, is that overall ARR growth, or ARR growth due to expansion?</t>
  </si>
  <si>
    <t>Methodology 1</t>
  </si>
  <si>
    <t>Choose to model growth based on total customer growth %</t>
  </si>
  <si>
    <t>Methodolgy 2</t>
  </si>
  <si>
    <t>Model growth based on CAGR of each customer type</t>
  </si>
  <si>
    <t>Methodolgy 3</t>
  </si>
  <si>
    <t>Model based on linear regressions and percentage of total customer base</t>
  </si>
  <si>
    <t>Manage Churn</t>
  </si>
  <si>
    <t>Manage your larger value relationships, higher success rate and where contraction/churn are likely to occur</t>
  </si>
  <si>
    <t>Removed client ID# 39NTHthWY3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</si>
</sst>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%"/>
    <numFmt numFmtId="166" formatCode="0.000"/>
    <numFmt numFmtId="167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Calibri (Body)_x0000_"/>
    </font>
    <font>
      <sz val="10"/>
      <name val="Arial"/>
      <family val="2"/>
    </font>
    <font>
      <b/>
      <sz val="10"/>
      <name val="Arial"/>
      <family val="2"/>
    </font>
    <font>
      <sz val="12"/>
      <color theme="4"/>
      <name val="Arial"/>
      <family val="2"/>
    </font>
    <font>
      <sz val="12"/>
      <color theme="1"/>
      <name val="Arial"/>
      <family val="2"/>
    </font>
    <font>
      <sz val="12"/>
      <color theme="9"/>
      <name val="Arial"/>
      <family val="2"/>
    </font>
    <font>
      <sz val="11"/>
      <color theme="4"/>
      <name val="Arial"/>
      <family val="2"/>
    </font>
    <font>
      <sz val="11"/>
      <color theme="9"/>
      <name val="Arial"/>
      <family val="2"/>
    </font>
    <font>
      <sz val="11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112">
    <xf numFmtId="0" fontId="0" fillId="0" borderId="0" xfId="0"/>
    <xf numFmtId="17" fontId="0" fillId="0" borderId="0" xfId="0" applyNumberFormat="1"/>
    <xf numFmtId="164" fontId="0" fillId="0" borderId="0" xfId="0" applyNumberFormat="1"/>
    <xf numFmtId="0" fontId="10" fillId="3" borderId="7" xfId="2" applyFont="1" applyFill="1" applyBorder="1" applyProtection="1">
      <protection hidden="1"/>
    </xf>
    <xf numFmtId="0" fontId="0" fillId="0" borderId="0" xfId="0" applyProtection="1">
      <protection hidden="1"/>
    </xf>
    <xf numFmtId="0" fontId="14" fillId="0" borderId="8" xfId="0" applyFont="1" applyBorder="1" applyProtection="1">
      <protection hidden="1"/>
    </xf>
    <xf numFmtId="167" fontId="15" fillId="0" borderId="8" xfId="0" applyNumberFormat="1" applyFont="1" applyBorder="1" applyProtection="1">
      <protection hidden="1"/>
    </xf>
    <xf numFmtId="167" fontId="16" fillId="0" borderId="8" xfId="0" applyNumberFormat="1" applyFont="1" applyBorder="1" applyProtection="1">
      <protection hidden="1"/>
    </xf>
    <xf numFmtId="0" fontId="7" fillId="0" borderId="0" xfId="0" applyFont="1" applyProtection="1">
      <protection hidden="1"/>
    </xf>
    <xf numFmtId="0" fontId="4" fillId="4" borderId="0" xfId="0" applyFont="1" applyFill="1" applyAlignment="1" applyProtection="1">
      <alignment horizontal="left" vertical="center"/>
      <protection hidden="1"/>
    </xf>
    <xf numFmtId="0" fontId="4" fillId="4" borderId="0" xfId="0" applyFont="1" applyFill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167" fontId="12" fillId="0" borderId="8" xfId="0" applyNumberFormat="1" applyFont="1" applyBorder="1" applyAlignment="1" applyProtection="1">
      <alignment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1" fontId="20" fillId="0" borderId="8" xfId="0" applyNumberFormat="1" applyFont="1" applyBorder="1" applyAlignment="1" applyProtection="1">
      <alignment horizontal="center" vertical="center" wrapText="1"/>
      <protection hidden="1"/>
    </xf>
    <xf numFmtId="1" fontId="13" fillId="0" borderId="8" xfId="0" applyNumberFormat="1" applyFont="1" applyBorder="1" applyAlignment="1" applyProtection="1">
      <alignment horizontal="center" vertical="center" wrapText="1"/>
      <protection hidden="1"/>
    </xf>
    <xf numFmtId="165" fontId="11" fillId="0" borderId="8" xfId="1" applyNumberFormat="1" applyFont="1" applyFill="1" applyBorder="1" applyAlignment="1" applyProtection="1">
      <alignment horizontal="center" vertical="center" wrapText="1"/>
      <protection hidden="1"/>
    </xf>
    <xf numFmtId="165" fontId="20" fillId="0" borderId="8" xfId="1" applyNumberFormat="1" applyFont="1" applyFill="1" applyBorder="1" applyAlignment="1" applyProtection="1">
      <alignment horizontal="center" vertical="center" wrapText="1"/>
      <protection hidden="1"/>
    </xf>
    <xf numFmtId="167" fontId="12" fillId="0" borderId="8" xfId="0" applyNumberFormat="1" applyFont="1" applyBorder="1" applyProtection="1">
      <protection hidden="1"/>
    </xf>
    <xf numFmtId="9" fontId="11" fillId="0" borderId="8" xfId="1" applyFont="1" applyFill="1" applyBorder="1" applyAlignment="1" applyProtection="1">
      <alignment horizontal="center"/>
      <protection hidden="1"/>
    </xf>
    <xf numFmtId="167" fontId="12" fillId="0" borderId="0" xfId="0" applyNumberFormat="1" applyFont="1" applyProtection="1">
      <protection hidden="1"/>
    </xf>
    <xf numFmtId="9" fontId="11" fillId="0" borderId="0" xfId="1" applyFont="1" applyFill="1" applyBorder="1" applyAlignment="1" applyProtection="1">
      <alignment horizontal="center"/>
      <protection hidden="1"/>
    </xf>
    <xf numFmtId="164" fontId="11" fillId="0" borderId="8" xfId="0" applyNumberFormat="1" applyFont="1" applyBorder="1" applyAlignment="1" applyProtection="1">
      <alignment horizontal="center" vertical="center" wrapText="1"/>
      <protection hidden="1"/>
    </xf>
    <xf numFmtId="164" fontId="12" fillId="0" borderId="8" xfId="0" applyNumberFormat="1" applyFont="1" applyBorder="1" applyAlignment="1" applyProtection="1">
      <alignment horizontal="center" vertical="center" wrapText="1"/>
      <protection hidden="1"/>
    </xf>
    <xf numFmtId="164" fontId="11" fillId="0" borderId="8" xfId="1" applyNumberFormat="1" applyFont="1" applyFill="1" applyBorder="1" applyAlignment="1" applyProtection="1">
      <alignment horizontal="center" vertical="center" wrapText="1"/>
      <protection hidden="1"/>
    </xf>
    <xf numFmtId="167" fontId="18" fillId="0" borderId="0" xfId="0" applyNumberFormat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7" fontId="17" fillId="0" borderId="0" xfId="0" applyNumberFormat="1" applyFont="1" applyAlignment="1" applyProtection="1">
      <alignment horizontal="right"/>
      <protection hidden="1"/>
    </xf>
    <xf numFmtId="17" fontId="17" fillId="0" borderId="4" xfId="0" applyNumberFormat="1" applyFont="1" applyBorder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165" fontId="0" fillId="0" borderId="0" xfId="1" applyNumberFormat="1" applyFont="1" applyProtection="1">
      <protection hidden="1"/>
    </xf>
    <xf numFmtId="0" fontId="0" fillId="0" borderId="0" xfId="0" applyAlignment="1" applyProtection="1">
      <alignment horizontal="left" indent="2"/>
      <protection hidden="1"/>
    </xf>
    <xf numFmtId="0" fontId="5" fillId="0" borderId="0" xfId="0" applyFont="1" applyProtection="1">
      <protection hidden="1"/>
    </xf>
    <xf numFmtId="0" fontId="5" fillId="0" borderId="5" xfId="0" applyFont="1" applyBorder="1" applyProtection="1">
      <protection hidden="1"/>
    </xf>
    <xf numFmtId="1" fontId="5" fillId="0" borderId="0" xfId="0" applyNumberFormat="1" applyFont="1" applyProtection="1">
      <protection hidden="1"/>
    </xf>
    <xf numFmtId="1" fontId="0" fillId="0" borderId="0" xfId="0" applyNumberFormat="1" applyProtection="1">
      <protection hidden="1"/>
    </xf>
    <xf numFmtId="165" fontId="0" fillId="0" borderId="0" xfId="0" applyNumberFormat="1" applyAlignment="1" applyProtection="1">
      <alignment horizontal="center"/>
      <protection hidden="1"/>
    </xf>
    <xf numFmtId="9" fontId="0" fillId="0" borderId="0" xfId="0" applyNumberFormat="1" applyProtection="1">
      <protection hidden="1"/>
    </xf>
    <xf numFmtId="0" fontId="5" fillId="0" borderId="7" xfId="0" applyFont="1" applyBorder="1" applyProtection="1">
      <protection hidden="1"/>
    </xf>
    <xf numFmtId="0" fontId="5" fillId="0" borderId="9" xfId="0" applyFont="1" applyBorder="1" applyProtection="1">
      <protection hidden="1"/>
    </xf>
    <xf numFmtId="1" fontId="0" fillId="0" borderId="7" xfId="0" applyNumberFormat="1" applyBorder="1" applyProtection="1">
      <protection hidden="1"/>
    </xf>
    <xf numFmtId="0" fontId="2" fillId="0" borderId="0" xfId="0" applyFont="1" applyProtection="1">
      <protection hidden="1"/>
    </xf>
    <xf numFmtId="0" fontId="2" fillId="0" borderId="5" xfId="0" applyFont="1" applyBorder="1" applyProtection="1">
      <protection hidden="1"/>
    </xf>
    <xf numFmtId="1" fontId="2" fillId="0" borderId="0" xfId="0" applyNumberFormat="1" applyFont="1" applyProtection="1">
      <protection hidden="1"/>
    </xf>
    <xf numFmtId="0" fontId="3" fillId="0" borderId="0" xfId="0" applyFont="1" applyProtection="1">
      <protection hidden="1"/>
    </xf>
    <xf numFmtId="9" fontId="0" fillId="0" borderId="0" xfId="1" applyFont="1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7" xfId="0" applyFont="1" applyBorder="1" applyProtection="1">
      <protection hidden="1"/>
    </xf>
    <xf numFmtId="0" fontId="2" fillId="0" borderId="9" xfId="0" applyFont="1" applyBorder="1" applyProtection="1">
      <protection hidden="1"/>
    </xf>
    <xf numFmtId="1" fontId="2" fillId="0" borderId="7" xfId="0" applyNumberFormat="1" applyFont="1" applyBorder="1" applyProtection="1">
      <protection hidden="1"/>
    </xf>
    <xf numFmtId="1" fontId="2" fillId="0" borderId="5" xfId="0" applyNumberFormat="1" applyFont="1" applyBorder="1" applyProtection="1">
      <protection hidden="1"/>
    </xf>
    <xf numFmtId="0" fontId="0" fillId="0" borderId="5" xfId="0" applyBorder="1" applyProtection="1">
      <protection hidden="1"/>
    </xf>
    <xf numFmtId="9" fontId="0" fillId="0" borderId="0" xfId="0" applyNumberFormat="1" applyAlignment="1" applyProtection="1">
      <alignment horizontal="center"/>
      <protection hidden="1"/>
    </xf>
    <xf numFmtId="164" fontId="5" fillId="0" borderId="0" xfId="0" applyNumberFormat="1" applyFont="1" applyProtection="1">
      <protection hidden="1"/>
    </xf>
    <xf numFmtId="164" fontId="5" fillId="0" borderId="5" xfId="0" applyNumberFormat="1" applyFont="1" applyBorder="1" applyProtection="1">
      <protection hidden="1"/>
    </xf>
    <xf numFmtId="164" fontId="0" fillId="0" borderId="0" xfId="0" applyNumberFormat="1" applyProtection="1">
      <protection hidden="1"/>
    </xf>
    <xf numFmtId="164" fontId="3" fillId="0" borderId="0" xfId="0" applyNumberFormat="1" applyFont="1" applyProtection="1">
      <protection hidden="1"/>
    </xf>
    <xf numFmtId="164" fontId="5" fillId="0" borderId="7" xfId="0" applyNumberFormat="1" applyFont="1" applyBorder="1" applyProtection="1">
      <protection hidden="1"/>
    </xf>
    <xf numFmtId="164" fontId="5" fillId="0" borderId="9" xfId="0" applyNumberFormat="1" applyFont="1" applyBorder="1" applyProtection="1">
      <protection hidden="1"/>
    </xf>
    <xf numFmtId="164" fontId="0" fillId="0" borderId="7" xfId="0" applyNumberFormat="1" applyBorder="1" applyProtection="1">
      <protection hidden="1"/>
    </xf>
    <xf numFmtId="164" fontId="6" fillId="0" borderId="0" xfId="0" applyNumberFormat="1" applyFont="1" applyProtection="1">
      <protection hidden="1"/>
    </xf>
    <xf numFmtId="164" fontId="6" fillId="0" borderId="5" xfId="0" applyNumberFormat="1" applyFont="1" applyBorder="1" applyProtection="1">
      <protection hidden="1"/>
    </xf>
    <xf numFmtId="164" fontId="2" fillId="0" borderId="0" xfId="0" applyNumberFormat="1" applyFont="1" applyProtection="1">
      <protection hidden="1"/>
    </xf>
    <xf numFmtId="164" fontId="0" fillId="0" borderId="5" xfId="0" applyNumberFormat="1" applyBorder="1" applyProtection="1">
      <protection hidden="1"/>
    </xf>
    <xf numFmtId="0" fontId="8" fillId="0" borderId="0" xfId="0" applyFont="1" applyProtection="1">
      <protection hidden="1"/>
    </xf>
    <xf numFmtId="164" fontId="2" fillId="5" borderId="10" xfId="0" applyNumberFormat="1" applyFont="1" applyFill="1" applyBorder="1" applyProtection="1">
      <protection hidden="1"/>
    </xf>
    <xf numFmtId="164" fontId="0" fillId="0" borderId="0" xfId="0" applyNumberFormat="1" applyAlignment="1" applyProtection="1">
      <alignment horizontal="right"/>
      <protection hidden="1"/>
    </xf>
    <xf numFmtId="164" fontId="0" fillId="0" borderId="5" xfId="0" applyNumberFormat="1" applyBorder="1" applyAlignment="1" applyProtection="1">
      <alignment horizontal="right"/>
      <protection hidden="1"/>
    </xf>
    <xf numFmtId="0" fontId="0" fillId="0" borderId="6" xfId="0" applyBorder="1" applyAlignment="1" applyProtection="1">
      <alignment horizontal="center"/>
      <protection hidden="1"/>
    </xf>
    <xf numFmtId="1" fontId="0" fillId="0" borderId="0" xfId="0" applyNumberFormat="1" applyAlignment="1" applyProtection="1">
      <alignment horizontal="center"/>
      <protection hidden="1"/>
    </xf>
    <xf numFmtId="165" fontId="0" fillId="0" borderId="5" xfId="1" applyNumberFormat="1" applyFont="1" applyBorder="1" applyProtection="1">
      <protection hidden="1"/>
    </xf>
    <xf numFmtId="165" fontId="0" fillId="0" borderId="0" xfId="1" applyNumberFormat="1" applyFont="1" applyAlignment="1" applyProtection="1">
      <alignment horizontal="center"/>
      <protection hidden="1"/>
    </xf>
    <xf numFmtId="9" fontId="0" fillId="0" borderId="5" xfId="1" applyFont="1" applyBorder="1" applyProtection="1">
      <protection hidden="1"/>
    </xf>
    <xf numFmtId="9" fontId="0" fillId="0" borderId="0" xfId="1" applyFont="1" applyAlignment="1" applyProtection="1">
      <alignment horizontal="right"/>
      <protection hidden="1"/>
    </xf>
    <xf numFmtId="9" fontId="0" fillId="0" borderId="5" xfId="1" applyFont="1" applyBorder="1" applyAlignment="1" applyProtection="1">
      <alignment horizontal="right"/>
      <protection hidden="1"/>
    </xf>
    <xf numFmtId="2" fontId="0" fillId="0" borderId="0" xfId="0" applyNumberFormat="1" applyAlignment="1" applyProtection="1">
      <alignment horizontal="right"/>
      <protection hidden="1"/>
    </xf>
    <xf numFmtId="2" fontId="0" fillId="0" borderId="0" xfId="0" applyNumberFormat="1" applyAlignment="1" applyProtection="1">
      <alignment horizontal="center"/>
      <protection hidden="1"/>
    </xf>
    <xf numFmtId="164" fontId="0" fillId="0" borderId="0" xfId="0" applyNumberFormat="1" applyAlignment="1" applyProtection="1">
      <alignment horizontal="center"/>
      <protection hidden="1"/>
    </xf>
    <xf numFmtId="0" fontId="19" fillId="0" borderId="0" xfId="0" applyFont="1" applyProtection="1">
      <protection hidden="1"/>
    </xf>
    <xf numFmtId="0" fontId="19" fillId="0" borderId="0" xfId="0" applyFont="1" applyAlignment="1" applyProtection="1">
      <alignment horizontal="left" indent="2"/>
      <protection hidden="1"/>
    </xf>
    <xf numFmtId="166" fontId="0" fillId="0" borderId="0" xfId="0" applyNumberFormat="1" applyProtection="1">
      <protection hidden="1"/>
    </xf>
    <xf numFmtId="165" fontId="0" fillId="0" borderId="0" xfId="1" applyNumberFormat="1" applyFont="1" applyFill="1" applyProtection="1">
      <protection hidden="1"/>
    </xf>
    <xf numFmtId="165" fontId="0" fillId="0" borderId="0" xfId="1" applyNumberFormat="1" applyFont="1" applyAlignment="1" applyProtection="1">
      <alignment horizontal="right"/>
      <protection hidden="1"/>
    </xf>
    <xf numFmtId="165" fontId="0" fillId="0" borderId="5" xfId="1" applyNumberFormat="1" applyFont="1" applyBorder="1" applyAlignment="1" applyProtection="1">
      <alignment horizontal="right"/>
      <protection hidden="1"/>
    </xf>
    <xf numFmtId="165" fontId="3" fillId="0" borderId="0" xfId="0" applyNumberFormat="1" applyFont="1" applyProtection="1">
      <protection hidden="1"/>
    </xf>
    <xf numFmtId="165" fontId="0" fillId="2" borderId="0" xfId="1" applyNumberFormat="1" applyFont="1" applyFill="1" applyProtection="1">
      <protection hidden="1"/>
    </xf>
    <xf numFmtId="165" fontId="5" fillId="0" borderId="0" xfId="0" applyNumberFormat="1" applyFont="1" applyProtection="1">
      <protection hidden="1"/>
    </xf>
    <xf numFmtId="165" fontId="0" fillId="0" borderId="0" xfId="0" applyNumberFormat="1" applyProtection="1">
      <protection hidden="1"/>
    </xf>
    <xf numFmtId="1" fontId="0" fillId="0" borderId="0" xfId="1" applyNumberFormat="1" applyFont="1" applyProtection="1">
      <protection hidden="1"/>
    </xf>
    <xf numFmtId="1" fontId="0" fillId="0" borderId="5" xfId="1" applyNumberFormat="1" applyFont="1" applyBorder="1" applyProtection="1">
      <protection hidden="1"/>
    </xf>
    <xf numFmtId="2" fontId="0" fillId="0" borderId="0" xfId="1" applyNumberFormat="1" applyFont="1" applyProtection="1">
      <protection hidden="1"/>
    </xf>
    <xf numFmtId="2" fontId="0" fillId="0" borderId="5" xfId="1" applyNumberFormat="1" applyFont="1" applyBorder="1" applyProtection="1">
      <protection hidden="1"/>
    </xf>
    <xf numFmtId="2" fontId="0" fillId="0" borderId="0" xfId="1" applyNumberFormat="1" applyFont="1" applyFill="1" applyAlignment="1" applyProtection="1">
      <alignment horizontal="right"/>
      <protection hidden="1"/>
    </xf>
    <xf numFmtId="2" fontId="0" fillId="0" borderId="5" xfId="1" applyNumberFormat="1" applyFont="1" applyFill="1" applyBorder="1" applyAlignment="1" applyProtection="1">
      <alignment horizontal="right"/>
      <protection hidden="1"/>
    </xf>
    <xf numFmtId="164" fontId="2" fillId="5" borderId="11" xfId="0" applyNumberFormat="1" applyFont="1" applyFill="1" applyBorder="1" applyProtection="1">
      <protection hidden="1"/>
    </xf>
    <xf numFmtId="0" fontId="0" fillId="0" borderId="0" xfId="0" applyAlignment="1" applyProtection="1">
      <alignment horizontal="left" indent="1"/>
      <protection hidden="1"/>
    </xf>
    <xf numFmtId="0" fontId="0" fillId="2" borderId="0" xfId="0" applyFill="1" applyProtection="1">
      <protection hidden="1"/>
    </xf>
    <xf numFmtId="17" fontId="17" fillId="0" borderId="0" xfId="0" applyNumberFormat="1" applyFont="1" applyProtection="1">
      <protection hidden="1"/>
    </xf>
    <xf numFmtId="17" fontId="17" fillId="0" borderId="4" xfId="0" applyNumberFormat="1" applyFont="1" applyBorder="1" applyProtection="1">
      <protection hidden="1"/>
    </xf>
    <xf numFmtId="167" fontId="5" fillId="0" borderId="0" xfId="0" applyNumberFormat="1" applyFont="1" applyProtection="1">
      <protection hidden="1"/>
    </xf>
    <xf numFmtId="167" fontId="5" fillId="0" borderId="5" xfId="0" applyNumberFormat="1" applyFont="1" applyBorder="1" applyProtection="1">
      <protection hidden="1"/>
    </xf>
    <xf numFmtId="167" fontId="0" fillId="0" borderId="0" xfId="0" applyNumberFormat="1" applyProtection="1">
      <protection hidden="1"/>
    </xf>
    <xf numFmtId="17" fontId="0" fillId="0" borderId="0" xfId="0" applyNumberFormat="1" applyProtection="1">
      <protection hidden="1"/>
    </xf>
    <xf numFmtId="1" fontId="5" fillId="0" borderId="0" xfId="1" applyNumberFormat="1" applyFont="1" applyProtection="1">
      <protection hidden="1"/>
    </xf>
    <xf numFmtId="1" fontId="5" fillId="0" borderId="5" xfId="1" applyNumberFormat="1" applyFont="1" applyBorder="1" applyProtection="1">
      <protection hidden="1"/>
    </xf>
    <xf numFmtId="1" fontId="0" fillId="2" borderId="0" xfId="1" applyNumberFormat="1" applyFont="1" applyFill="1" applyProtection="1">
      <protection hidden="1"/>
    </xf>
    <xf numFmtId="1" fontId="5" fillId="2" borderId="0" xfId="1" applyNumberFormat="1" applyFont="1" applyFill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</cellXfs>
  <cellStyles count="3">
    <cellStyle name="Normal" xfId="0" builtinId="0"/>
    <cellStyle name="Normal 2" xfId="2" xr:uid="{3012ADA0-AC55-A549-9379-3D4DAEC7EC4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 </a:t>
            </a:r>
            <a:r>
              <a:rPr lang="en-US" baseline="0"/>
              <a:t>Customer Churn </a:t>
            </a:r>
          </a:p>
          <a:p>
            <a:pPr>
              <a:defRPr/>
            </a:pPr>
            <a:r>
              <a:rPr lang="en-US" baseline="0"/>
              <a:t>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Summary!$A$98</c:f>
              <c:strCache>
                <c:ptCount val="1"/>
                <c:pt idx="0">
                  <c:v>Cumulative Customer Churn (2018)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Lbl>
              <c:idx val="1"/>
              <c:layout>
                <c:manualLayout>
                  <c:x val="-1.3863216770606224E-3"/>
                  <c:y val="-6.7164192259997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F3F-7C46-ABFC-7DD774C27EE4}"/>
                </c:ext>
              </c:extLst>
            </c:dLbl>
            <c:dLbl>
              <c:idx val="2"/>
              <c:layout>
                <c:manualLayout>
                  <c:x val="0"/>
                  <c:y val="-6.7164192259997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F3F-7C46-ABFC-7DD774C27EE4}"/>
                </c:ext>
              </c:extLst>
            </c:dLbl>
            <c:dLbl>
              <c:idx val="3"/>
              <c:layout>
                <c:manualLayout>
                  <c:x val="-5.0831207619108145E-17"/>
                  <c:y val="-7.4626880288886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F3F-7C46-ABFC-7DD774C27EE4}"/>
                </c:ext>
              </c:extLst>
            </c:dLbl>
            <c:dLbl>
              <c:idx val="4"/>
              <c:layout>
                <c:manualLayout>
                  <c:x val="-1.3863216770606224E-3"/>
                  <c:y val="-0.109452757757033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3F-7C46-ABFC-7DD774C27EE4}"/>
                </c:ext>
              </c:extLst>
            </c:dLbl>
            <c:dLbl>
              <c:idx val="5"/>
              <c:layout>
                <c:manualLayout>
                  <c:x val="-1.0166241523821629E-16"/>
                  <c:y val="-0.131840821843699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3F-7C46-ABFC-7DD774C27EE4}"/>
                </c:ext>
              </c:extLst>
            </c:dLbl>
            <c:dLbl>
              <c:idx val="6"/>
              <c:layout>
                <c:manualLayout>
                  <c:x val="-1.3863216770606224E-3"/>
                  <c:y val="-0.151741323254068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3F-7C46-ABFC-7DD774C27EE4}"/>
                </c:ext>
              </c:extLst>
            </c:dLbl>
            <c:dLbl>
              <c:idx val="7"/>
              <c:layout>
                <c:manualLayout>
                  <c:x val="-2.7726433541212449E-3"/>
                  <c:y val="-0.189054763398512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3F-7C46-ABFC-7DD774C27EE4}"/>
                </c:ext>
              </c:extLst>
            </c:dLbl>
            <c:dLbl>
              <c:idx val="8"/>
              <c:layout>
                <c:manualLayout>
                  <c:x val="-4.158965031181969E-3"/>
                  <c:y val="-0.221393078190362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3F-7C46-ABFC-7DD774C27EE4}"/>
                </c:ext>
              </c:extLst>
            </c:dLbl>
            <c:dLbl>
              <c:idx val="9"/>
              <c:layout>
                <c:manualLayout>
                  <c:x val="-6.9316083853032144E-3"/>
                  <c:y val="-0.26119408101110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3F-7C46-ABFC-7DD774C27EE4}"/>
                </c:ext>
              </c:extLst>
            </c:dLbl>
            <c:dLbl>
              <c:idx val="10"/>
              <c:layout>
                <c:manualLayout>
                  <c:x val="-4.1589650311818676E-3"/>
                  <c:y val="-0.300995083831841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3F-7C46-ABFC-7DD774C27EE4}"/>
                </c:ext>
              </c:extLst>
            </c:dLbl>
            <c:dLbl>
              <c:idx val="11"/>
              <c:layout>
                <c:manualLayout>
                  <c:x val="0"/>
                  <c:y val="-0.358209025386654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3F-7C46-ABFC-7DD774C27E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Summary!$F$34:$Q$34</c:f>
              <c:numCache>
                <c:formatCode>mmm\-yy</c:formatCode>
                <c:ptCount val="1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</c:numCache>
            </c:numRef>
          </c:cat>
          <c:val>
            <c:numRef>
              <c:f>Summary!$F$98:$Q$98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14</c:v>
                </c:pt>
                <c:pt idx="8">
                  <c:v>17</c:v>
                </c:pt>
                <c:pt idx="9">
                  <c:v>20</c:v>
                </c:pt>
                <c:pt idx="10">
                  <c:v>24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8B-424D-8DE7-98C7CC1EA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637296"/>
        <c:axId val="387732672"/>
      </c:areaChart>
      <c:barChart>
        <c:barDir val="col"/>
        <c:grouping val="clustered"/>
        <c:varyColors val="0"/>
        <c:ser>
          <c:idx val="1"/>
          <c:order val="1"/>
          <c:tx>
            <c:v>Customer Churn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6.34600743252387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F3F-7C46-ABFC-7DD774C27E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Summary!$F$34:$Q$34</c:f>
              <c:numCache>
                <c:formatCode>mmm\-yy</c:formatCode>
                <c:ptCount val="1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</c:numCache>
            </c:numRef>
          </c:cat>
          <c:val>
            <c:numRef>
              <c:f>Summary!$F$43:$Q$43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B-424D-8DE7-98C7CC1EA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8"/>
        <c:overlap val="37"/>
        <c:axId val="400933408"/>
        <c:axId val="683036496"/>
      </c:barChart>
      <c:dateAx>
        <c:axId val="4009334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036496"/>
        <c:crosses val="autoZero"/>
        <c:auto val="1"/>
        <c:lblOffset val="100"/>
        <c:baseTimeUnit val="months"/>
      </c:dateAx>
      <c:valAx>
        <c:axId val="683036496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Customers</a:t>
                </a:r>
              </a:p>
            </c:rich>
          </c:tx>
          <c:layout>
            <c:manualLayout>
              <c:xMode val="edge"/>
              <c:yMode val="edge"/>
              <c:x val="9.7042517394243574E-3"/>
              <c:y val="0.376075601534767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33408"/>
        <c:crosses val="autoZero"/>
        <c:crossBetween val="between"/>
      </c:valAx>
      <c:valAx>
        <c:axId val="38773267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369637296"/>
        <c:crosses val="max"/>
        <c:crossBetween val="between"/>
      </c:valAx>
      <c:dateAx>
        <c:axId val="36963729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387732672"/>
        <c:crosses val="autoZero"/>
        <c:auto val="1"/>
        <c:lblOffset val="100"/>
        <c:baseTimeUnit val="months"/>
        <c:majorUnit val="1"/>
        <c:minorUnit val="1"/>
      </c:date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 ARR</a:t>
            </a:r>
            <a:r>
              <a:rPr lang="en-US" baseline="0"/>
              <a:t> &amp; </a:t>
            </a:r>
            <a:r>
              <a:rPr lang="en-US"/>
              <a:t>Total</a:t>
            </a:r>
            <a:r>
              <a:rPr lang="en-US" baseline="0"/>
              <a:t> Customers </a:t>
            </a:r>
          </a:p>
          <a:p>
            <a:pPr>
              <a:defRPr/>
            </a:pPr>
            <a:r>
              <a:rPr lang="en-US" baseline="0"/>
              <a:t>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ARR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&quot;$&quot;#,##0.0,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Summary!$F$34:$Q$34</c:f>
              <c:numCache>
                <c:formatCode>mmm\-yy</c:formatCode>
                <c:ptCount val="1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</c:numCache>
            </c:numRef>
          </c:cat>
          <c:val>
            <c:numRef>
              <c:f>Summary!$F$80:$Q$80</c:f>
              <c:numCache>
                <c:formatCode>"$"#,##0</c:formatCode>
                <c:ptCount val="12"/>
                <c:pt idx="0">
                  <c:v>622944</c:v>
                </c:pt>
                <c:pt idx="1">
                  <c:v>767580</c:v>
                </c:pt>
                <c:pt idx="2">
                  <c:v>888671</c:v>
                </c:pt>
                <c:pt idx="3">
                  <c:v>1047972</c:v>
                </c:pt>
                <c:pt idx="4">
                  <c:v>1207808.689135721</c:v>
                </c:pt>
                <c:pt idx="5">
                  <c:v>1365881.9775048823</c:v>
                </c:pt>
                <c:pt idx="6">
                  <c:v>1531343.1247349838</c:v>
                </c:pt>
                <c:pt idx="7">
                  <c:v>1701027.6088510763</c:v>
                </c:pt>
                <c:pt idx="8">
                  <c:v>1875320.3793932465</c:v>
                </c:pt>
                <c:pt idx="9">
                  <c:v>2053401.1245926907</c:v>
                </c:pt>
                <c:pt idx="10">
                  <c:v>2235083.11308295</c:v>
                </c:pt>
                <c:pt idx="11">
                  <c:v>2425077.1498934776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9-9B4D-BE7D-3D6BF3556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7"/>
        <c:overlap val="-10"/>
        <c:axId val="400933408"/>
        <c:axId val="683036496"/>
      </c:barChart>
      <c:lineChart>
        <c:grouping val="standard"/>
        <c:varyColors val="0"/>
        <c:ser>
          <c:idx val="0"/>
          <c:order val="0"/>
          <c:tx>
            <c:strRef>
              <c:f>Summary!$A$42</c:f>
              <c:strCache>
                <c:ptCount val="1"/>
                <c:pt idx="0">
                  <c:v>Total Customers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Summary!$F$34:$Q$34</c:f>
              <c:numCache>
                <c:formatCode>mmm\-yy</c:formatCode>
                <c:ptCount val="1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</c:numCache>
            </c:numRef>
          </c:cat>
          <c:val>
            <c:numRef>
              <c:f>Summary!$F$46:$Q$46</c:f>
              <c:numCache>
                <c:formatCode>General</c:formatCode>
                <c:ptCount val="12"/>
                <c:pt idx="0">
                  <c:v>234</c:v>
                </c:pt>
                <c:pt idx="1">
                  <c:v>277</c:v>
                </c:pt>
                <c:pt idx="2">
                  <c:v>323</c:v>
                </c:pt>
                <c:pt idx="3" formatCode="0">
                  <c:v>372</c:v>
                </c:pt>
                <c:pt idx="4" formatCode="0">
                  <c:v>435</c:v>
                </c:pt>
                <c:pt idx="5" formatCode="0">
                  <c:v>497</c:v>
                </c:pt>
                <c:pt idx="6" formatCode="0">
                  <c:v>561</c:v>
                </c:pt>
                <c:pt idx="7" formatCode="0">
                  <c:v>625</c:v>
                </c:pt>
                <c:pt idx="8" formatCode="0">
                  <c:v>691</c:v>
                </c:pt>
                <c:pt idx="9" formatCode="0">
                  <c:v>759</c:v>
                </c:pt>
                <c:pt idx="10" formatCode="0">
                  <c:v>827</c:v>
                </c:pt>
                <c:pt idx="11" formatCode="0">
                  <c:v>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9-9B4D-BE7D-3D6BF3556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1297552"/>
        <c:axId val="487334640"/>
      </c:lineChart>
      <c:dateAx>
        <c:axId val="4009334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036496"/>
        <c:crosses val="autoZero"/>
        <c:auto val="1"/>
        <c:lblOffset val="100"/>
        <c:baseTimeUnit val="months"/>
      </c:dateAx>
      <c:valAx>
        <c:axId val="683036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ARR ($M)</a:t>
                </a:r>
              </a:p>
            </c:rich>
          </c:tx>
          <c:layout>
            <c:manualLayout>
              <c:xMode val="edge"/>
              <c:yMode val="edge"/>
              <c:x val="9.7042517394243574E-3"/>
              <c:y val="0.376075601534767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33408"/>
        <c:crosses val="autoZero"/>
        <c:crossBetween val="between"/>
      </c:valAx>
      <c:valAx>
        <c:axId val="487334640"/>
        <c:scaling>
          <c:orientation val="minMax"/>
          <c:max val="15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Total Customers</a:t>
                </a:r>
              </a:p>
            </c:rich>
          </c:tx>
          <c:layout>
            <c:manualLayout>
              <c:xMode val="edge"/>
              <c:yMode val="edge"/>
              <c:x val="0.95361498659579758"/>
              <c:y val="0.33608793357776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297552"/>
        <c:crosses val="max"/>
        <c:crossBetween val="between"/>
        <c:majorUnit val="250"/>
      </c:valAx>
      <c:dateAx>
        <c:axId val="48129755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87334640"/>
        <c:crosses val="autoZero"/>
        <c:auto val="1"/>
        <c:lblOffset val="100"/>
        <c:baseTimeUnit val="months"/>
      </c:date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</a:t>
            </a:r>
            <a:r>
              <a:rPr lang="en-US" baseline="0"/>
              <a:t>8 </a:t>
            </a:r>
            <a:r>
              <a:rPr lang="en-US"/>
              <a:t>Expansion</a:t>
            </a:r>
            <a:r>
              <a:rPr lang="en-US" baseline="0"/>
              <a:t> vs. Contraction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Customer Contraction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Summary!$F$34:$Q$34</c:f>
              <c:numCache>
                <c:formatCode>mmm\-yy</c:formatCode>
                <c:ptCount val="1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</c:numCache>
            </c:numRef>
          </c:cat>
          <c:val>
            <c:numRef>
              <c:f>Summary!$F$39:$Q$39</c:f>
              <c:numCache>
                <c:formatCode>General</c:formatCode>
                <c:ptCount val="12"/>
                <c:pt idx="0">
                  <c:v>26</c:v>
                </c:pt>
                <c:pt idx="1">
                  <c:v>14</c:v>
                </c:pt>
                <c:pt idx="2">
                  <c:v>34</c:v>
                </c:pt>
                <c:pt idx="3">
                  <c:v>31</c:v>
                </c:pt>
                <c:pt idx="4" formatCode="0">
                  <c:v>40</c:v>
                </c:pt>
                <c:pt idx="5" formatCode="0">
                  <c:v>46</c:v>
                </c:pt>
                <c:pt idx="6" formatCode="0">
                  <c:v>51</c:v>
                </c:pt>
                <c:pt idx="7" formatCode="0">
                  <c:v>57</c:v>
                </c:pt>
                <c:pt idx="8" formatCode="0">
                  <c:v>62</c:v>
                </c:pt>
                <c:pt idx="9" formatCode="0">
                  <c:v>68</c:v>
                </c:pt>
                <c:pt idx="10" formatCode="0">
                  <c:v>74</c:v>
                </c:pt>
                <c:pt idx="11" formatCode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5-F747-A1DD-2BD3FA6DE4C7}"/>
            </c:ext>
          </c:extLst>
        </c:ser>
        <c:ser>
          <c:idx val="0"/>
          <c:order val="1"/>
          <c:tx>
            <c:v>Customer Expansion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Summary!$F$34:$Q$34</c:f>
              <c:numCache>
                <c:formatCode>mmm\-yy</c:formatCode>
                <c:ptCount val="1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</c:numCache>
            </c:numRef>
          </c:cat>
          <c:val>
            <c:numRef>
              <c:f>Summary!$F$38:$Q$38</c:f>
              <c:numCache>
                <c:formatCode>General</c:formatCode>
                <c:ptCount val="12"/>
                <c:pt idx="0">
                  <c:v>24</c:v>
                </c:pt>
                <c:pt idx="1">
                  <c:v>44</c:v>
                </c:pt>
                <c:pt idx="2">
                  <c:v>41</c:v>
                </c:pt>
                <c:pt idx="3">
                  <c:v>60</c:v>
                </c:pt>
                <c:pt idx="4" formatCode="0">
                  <c:v>69</c:v>
                </c:pt>
                <c:pt idx="5" formatCode="0">
                  <c:v>80</c:v>
                </c:pt>
                <c:pt idx="6" formatCode="0">
                  <c:v>91</c:v>
                </c:pt>
                <c:pt idx="7" formatCode="0">
                  <c:v>102</c:v>
                </c:pt>
                <c:pt idx="8" formatCode="0">
                  <c:v>112</c:v>
                </c:pt>
                <c:pt idx="9" formatCode="0">
                  <c:v>123</c:v>
                </c:pt>
                <c:pt idx="10" formatCode="0">
                  <c:v>134</c:v>
                </c:pt>
                <c:pt idx="11" formatCode="0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65-F747-A1DD-2BD3FA6DE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7"/>
        <c:overlap val="-24"/>
        <c:axId val="400933408"/>
        <c:axId val="683036496"/>
      </c:barChart>
      <c:dateAx>
        <c:axId val="4009334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036496"/>
        <c:crosses val="autoZero"/>
        <c:auto val="1"/>
        <c:lblOffset val="100"/>
        <c:baseTimeUnit val="months"/>
      </c:dateAx>
      <c:valAx>
        <c:axId val="683036496"/>
        <c:scaling>
          <c:orientation val="minMax"/>
          <c:max val="1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Customers</a:t>
                </a:r>
              </a:p>
            </c:rich>
          </c:tx>
          <c:layout>
            <c:manualLayout>
              <c:xMode val="edge"/>
              <c:yMode val="edge"/>
              <c:x val="9.7042517394243574E-3"/>
              <c:y val="0.376075601534767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33408"/>
        <c:crosses val="autoZero"/>
        <c:crossBetween val="between"/>
        <c:majorUnit val="25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Growth_Analysis!$A$11</c:f>
              <c:strCache>
                <c:ptCount val="1"/>
                <c:pt idx="0">
                  <c:v>MoM Customer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796042936493404"/>
                  <c:y val="0.150580694580559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Growth_Analysis!$D$10:$I$10</c:f>
              <c:numCache>
                <c:formatCode>0.0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Growth_Analysis!$D$11:$I$11</c:f>
              <c:numCache>
                <c:formatCode>0</c:formatCode>
                <c:ptCount val="6"/>
                <c:pt idx="0">
                  <c:v>93</c:v>
                </c:pt>
                <c:pt idx="1">
                  <c:v>182</c:v>
                </c:pt>
                <c:pt idx="2">
                  <c:v>234</c:v>
                </c:pt>
                <c:pt idx="3">
                  <c:v>277</c:v>
                </c:pt>
                <c:pt idx="4">
                  <c:v>323</c:v>
                </c:pt>
                <c:pt idx="5">
                  <c:v>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1-CB4A-A24B-0D76A4792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376159"/>
        <c:axId val="1668689279"/>
      </c:lineChart>
      <c:catAx>
        <c:axId val="1645376159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689279"/>
        <c:crosses val="autoZero"/>
        <c:auto val="1"/>
        <c:lblAlgn val="ctr"/>
        <c:lblOffset val="100"/>
        <c:noMultiLvlLbl val="1"/>
      </c:catAx>
      <c:valAx>
        <c:axId val="16686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7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Growth_Analysis!$A$12</c:f>
              <c:strCache>
                <c:ptCount val="1"/>
                <c:pt idx="0">
                  <c:v>New (# of New Customers/ Total # of Customers)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0910002528753671E-2"/>
                  <c:y val="0.15314408660290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Growth_Analysis!$D$10:$I$10</c:f>
              <c:numCache>
                <c:formatCode>0.0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Growth_Analysis!$D$12:$I$12</c:f>
              <c:numCache>
                <c:formatCode>0</c:formatCode>
                <c:ptCount val="6"/>
                <c:pt idx="0">
                  <c:v>62</c:v>
                </c:pt>
                <c:pt idx="1">
                  <c:v>85</c:v>
                </c:pt>
                <c:pt idx="2">
                  <c:v>51</c:v>
                </c:pt>
                <c:pt idx="3">
                  <c:v>50</c:v>
                </c:pt>
                <c:pt idx="4">
                  <c:v>61</c:v>
                </c:pt>
                <c:pt idx="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45-504E-971D-8FE12DBF0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376159"/>
        <c:axId val="1668689279"/>
      </c:lineChart>
      <c:catAx>
        <c:axId val="1645376159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689279"/>
        <c:crosses val="autoZero"/>
        <c:auto val="1"/>
        <c:lblAlgn val="ctr"/>
        <c:lblOffset val="100"/>
        <c:noMultiLvlLbl val="1"/>
      </c:catAx>
      <c:valAx>
        <c:axId val="16686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7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006644518272424E-2"/>
          <c:y val="0.12187421851238553"/>
          <c:w val="0.92655592469545955"/>
          <c:h val="0.86241762698117674"/>
        </c:manualLayout>
      </c:layout>
      <c:lineChart>
        <c:grouping val="standard"/>
        <c:varyColors val="0"/>
        <c:ser>
          <c:idx val="0"/>
          <c:order val="0"/>
          <c:tx>
            <c:strRef>
              <c:f>Growth_Analysis!$A$13</c:f>
              <c:strCache>
                <c:ptCount val="1"/>
                <c:pt idx="0">
                  <c:v>Legacy to New Team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Growth_Analysis!$D$10:$I$10</c:f>
              <c:numCache>
                <c:formatCode>0.0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Growth_Analysis!$D$13:$I$13</c:f>
              <c:numCache>
                <c:formatCode>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B1-2D4C-900C-E2D7D0383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376159"/>
        <c:axId val="1668689279"/>
      </c:lineChart>
      <c:catAx>
        <c:axId val="1645376159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689279"/>
        <c:crosses val="autoZero"/>
        <c:auto val="1"/>
        <c:lblAlgn val="ctr"/>
        <c:lblOffset val="100"/>
        <c:noMultiLvlLbl val="1"/>
      </c:catAx>
      <c:valAx>
        <c:axId val="16686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7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Growth_Analysis!$A$14</c:f>
              <c:strCache>
                <c:ptCount val="1"/>
                <c:pt idx="0">
                  <c:v>Customers that remained same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Growth_Analysis!$D$10:$I$10</c:f>
              <c:numCache>
                <c:formatCode>0.0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Growth_Analysis!$D$14:$I$14</c:f>
              <c:numCache>
                <c:formatCode>0</c:formatCode>
                <c:ptCount val="6"/>
                <c:pt idx="0">
                  <c:v>22</c:v>
                </c:pt>
                <c:pt idx="1">
                  <c:v>67</c:v>
                </c:pt>
                <c:pt idx="2">
                  <c:v>131</c:v>
                </c:pt>
                <c:pt idx="3">
                  <c:v>169</c:v>
                </c:pt>
                <c:pt idx="4">
                  <c:v>190</c:v>
                </c:pt>
                <c:pt idx="5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F4-784C-92DA-C3544C56B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376159"/>
        <c:axId val="1668689279"/>
      </c:lineChart>
      <c:catAx>
        <c:axId val="1645376159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689279"/>
        <c:crosses val="autoZero"/>
        <c:auto val="1"/>
        <c:lblAlgn val="ctr"/>
        <c:lblOffset val="100"/>
        <c:noMultiLvlLbl val="1"/>
      </c:catAx>
      <c:valAx>
        <c:axId val="16686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7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Growth_Analysis!$A$15</c:f>
              <c:strCache>
                <c:ptCount val="1"/>
                <c:pt idx="0">
                  <c:v>Customers that Expand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647360940347571"/>
                  <c:y val="-6.5989433724217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Growth_Analysis!$D$10:$I$10</c:f>
              <c:numCache>
                <c:formatCode>0.0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Growth_Analysis!$D$15:$I$15</c:f>
              <c:numCache>
                <c:formatCode>0</c:formatCode>
                <c:ptCount val="6"/>
                <c:pt idx="0">
                  <c:v>5</c:v>
                </c:pt>
                <c:pt idx="1">
                  <c:v>14</c:v>
                </c:pt>
                <c:pt idx="2">
                  <c:v>24</c:v>
                </c:pt>
                <c:pt idx="3">
                  <c:v>44</c:v>
                </c:pt>
                <c:pt idx="4">
                  <c:v>41</c:v>
                </c:pt>
                <c:pt idx="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C3-9B4A-85A8-D54A902F5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376159"/>
        <c:axId val="1668689279"/>
      </c:lineChart>
      <c:catAx>
        <c:axId val="1645376159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689279"/>
        <c:crosses val="autoZero"/>
        <c:auto val="1"/>
        <c:lblAlgn val="ctr"/>
        <c:lblOffset val="100"/>
        <c:noMultiLvlLbl val="1"/>
      </c:catAx>
      <c:valAx>
        <c:axId val="16686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7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Growth_Analysis!$A$16</c:f>
              <c:strCache>
                <c:ptCount val="1"/>
                <c:pt idx="0">
                  <c:v>Customers that Contracted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486776362257043"/>
                  <c:y val="-4.92958444572110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Growth_Analysis!$D$10:$I$10</c:f>
              <c:numCache>
                <c:formatCode>0.0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Growth_Analysis!$D$16:$I$16</c:f>
              <c:numCache>
                <c:formatCode>0</c:formatCode>
                <c:ptCount val="6"/>
                <c:pt idx="0">
                  <c:v>2</c:v>
                </c:pt>
                <c:pt idx="1">
                  <c:v>14</c:v>
                </c:pt>
                <c:pt idx="2">
                  <c:v>26</c:v>
                </c:pt>
                <c:pt idx="3">
                  <c:v>14</c:v>
                </c:pt>
                <c:pt idx="4">
                  <c:v>34</c:v>
                </c:pt>
                <c:pt idx="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5D-4F42-96C4-558D1005D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376159"/>
        <c:axId val="1668689279"/>
      </c:lineChart>
      <c:catAx>
        <c:axId val="1645376159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689279"/>
        <c:crosses val="autoZero"/>
        <c:auto val="1"/>
        <c:lblAlgn val="ctr"/>
        <c:lblOffset val="100"/>
        <c:noMultiLvlLbl val="1"/>
      </c:catAx>
      <c:valAx>
        <c:axId val="16686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7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Growth_Analysis!$A$17</c:f>
              <c:strCache>
                <c:ptCount val="1"/>
                <c:pt idx="0">
                  <c:v>Old Team to New Team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Growth_Analysis!$D$10:$I$10</c:f>
              <c:numCache>
                <c:formatCode>0.0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Growth_Analysis!$D$17:$I$17</c:f>
              <c:numCache>
                <c:formatCode>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00-9B46-898E-238AA5CDF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376159"/>
        <c:axId val="1668689279"/>
      </c:lineChart>
      <c:catAx>
        <c:axId val="1645376159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689279"/>
        <c:crosses val="autoZero"/>
        <c:auto val="1"/>
        <c:lblAlgn val="ctr"/>
        <c:lblOffset val="100"/>
        <c:noMultiLvlLbl val="1"/>
      </c:catAx>
      <c:valAx>
        <c:axId val="16686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7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Growth_Analysis!$A$18</c:f>
              <c:strCache>
                <c:ptCount val="1"/>
                <c:pt idx="0">
                  <c:v>Failed Churn - Reactivition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Growth_Analysis!$D$10:$I$10</c:f>
              <c:numCache>
                <c:formatCode>0.0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Growth_Analysis!$D$18:$I$18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FB-6B4B-A7FE-2DCE39CA7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376159"/>
        <c:axId val="1668689279"/>
      </c:lineChart>
      <c:catAx>
        <c:axId val="1645376159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689279"/>
        <c:crosses val="autoZero"/>
        <c:auto val="1"/>
        <c:lblAlgn val="ctr"/>
        <c:lblOffset val="100"/>
        <c:noMultiLvlLbl val="1"/>
      </c:catAx>
      <c:valAx>
        <c:axId val="16686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7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Growth_Analysis!$A$19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Growth_Analysis!$D$10:$J$10</c:f>
              <c:numCache>
                <c:formatCode>0.0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Growth_Analysis!$D$19:$J$19</c:f>
              <c:numCache>
                <c:formatCode>0</c:formatCode>
                <c:ptCount val="7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EA-2A44-B3D1-B1A3E84C6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376159"/>
        <c:axId val="1668689279"/>
      </c:lineChart>
      <c:catAx>
        <c:axId val="1645376159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689279"/>
        <c:crosses val="autoZero"/>
        <c:auto val="1"/>
        <c:lblAlgn val="ctr"/>
        <c:lblOffset val="100"/>
        <c:noMultiLvlLbl val="1"/>
      </c:catAx>
      <c:valAx>
        <c:axId val="16686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7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Growth_Analysis!$A$20</c:f>
              <c:strCache>
                <c:ptCount val="1"/>
                <c:pt idx="0">
                  <c:v>Churn -Failed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Growth_Analysis!$D$10:$I$10</c:f>
              <c:numCache>
                <c:formatCode>0.0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Growth_Analysis!$D$20:$I$20</c:f>
              <c:numCache>
                <c:formatCode>0</c:formatCode>
                <c:ptCount val="6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87-5D48-853C-25082512E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376159"/>
        <c:axId val="1668689279"/>
      </c:lineChart>
      <c:catAx>
        <c:axId val="1645376159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689279"/>
        <c:crosses val="autoZero"/>
        <c:auto val="1"/>
        <c:lblAlgn val="ctr"/>
        <c:lblOffset val="100"/>
        <c:noMultiLvlLbl val="1"/>
      </c:catAx>
      <c:valAx>
        <c:axId val="16686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7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127000</xdr:colOff>
      <xdr:row>2</xdr:row>
      <xdr:rowOff>18143</xdr:rowOff>
    </xdr:from>
    <xdr:to>
      <xdr:col>30</xdr:col>
      <xdr:colOff>563033</xdr:colOff>
      <xdr:row>28</xdr:row>
      <xdr:rowOff>170542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CB594EE-F7CA-A64D-A3C4-6AF1846B6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732367</xdr:colOff>
      <xdr:row>2</xdr:row>
      <xdr:rowOff>50800</xdr:rowOff>
    </xdr:from>
    <xdr:to>
      <xdr:col>9</xdr:col>
      <xdr:colOff>88900</xdr:colOff>
      <xdr:row>29</xdr:row>
      <xdr:rowOff>12699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274748-D195-014C-BE5C-E061E0CEF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25400</xdr:colOff>
      <xdr:row>5</xdr:row>
      <xdr:rowOff>63500</xdr:rowOff>
    </xdr:from>
    <xdr:to>
      <xdr:col>2</xdr:col>
      <xdr:colOff>50800</xdr:colOff>
      <xdr:row>25</xdr:row>
      <xdr:rowOff>177800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D0B0DAC-FFA1-8B4D-B58C-CF31100994CF}"/>
            </a:ext>
          </a:extLst>
        </xdr:cNvPr>
        <xdr:cNvCxnSpPr/>
      </xdr:nvCxnSpPr>
      <xdr:spPr>
        <a:xfrm>
          <a:off x="4051300" y="1016000"/>
          <a:ext cx="25400" cy="3924300"/>
        </a:xfrm>
        <a:prstGeom prst="line">
          <a:avLst/>
        </a:prstGeom>
        <a:ln w="28575"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87875</xdr:colOff>
      <xdr:row>6</xdr:row>
      <xdr:rowOff>39527</xdr:rowOff>
    </xdr:from>
    <xdr:to>
      <xdr:col>2</xdr:col>
      <xdr:colOff>376207</xdr:colOff>
      <xdr:row>11</xdr:row>
      <xdr:rowOff>95176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2D439CF-903D-F640-8978-16529ABAC81C}"/>
            </a:ext>
          </a:extLst>
        </xdr:cNvPr>
        <xdr:cNvSpPr txBox="1"/>
      </xdr:nvSpPr>
      <xdr:spPr>
        <a:xfrm rot="16200000">
          <a:off x="3753866" y="1542436"/>
          <a:ext cx="1008149" cy="2883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Projected</a:t>
          </a:r>
        </a:p>
      </xdr:txBody>
    </xdr:sp>
    <xdr:clientData/>
  </xdr:twoCellAnchor>
  <xdr:twoCellAnchor>
    <xdr:from>
      <xdr:col>9</xdr:col>
      <xdr:colOff>317500</xdr:colOff>
      <xdr:row>2</xdr:row>
      <xdr:rowOff>50800</xdr:rowOff>
    </xdr:from>
    <xdr:to>
      <xdr:col>19</xdr:col>
      <xdr:colOff>817033</xdr:colOff>
      <xdr:row>29</xdr:row>
      <xdr:rowOff>12699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2296291-3916-7B48-8DA0-97488CC2A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575733</xdr:colOff>
      <xdr:row>4</xdr:row>
      <xdr:rowOff>152400</xdr:rowOff>
    </xdr:from>
    <xdr:to>
      <xdr:col>23</xdr:col>
      <xdr:colOff>601133</xdr:colOff>
      <xdr:row>25</xdr:row>
      <xdr:rowOff>76200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ED05330-EBD6-8642-BFE5-F5AF9C9567E3}"/>
            </a:ext>
          </a:extLst>
        </xdr:cNvPr>
        <xdr:cNvCxnSpPr/>
      </xdr:nvCxnSpPr>
      <xdr:spPr>
        <a:xfrm>
          <a:off x="23283333" y="914400"/>
          <a:ext cx="25400" cy="3924300"/>
        </a:xfrm>
        <a:prstGeom prst="line">
          <a:avLst/>
        </a:prstGeom>
        <a:ln w="28575"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638210</xdr:colOff>
      <xdr:row>5</xdr:row>
      <xdr:rowOff>103027</xdr:rowOff>
    </xdr:from>
    <xdr:to>
      <xdr:col>24</xdr:col>
      <xdr:colOff>101042</xdr:colOff>
      <xdr:row>10</xdr:row>
      <xdr:rowOff>158676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3E7985D-98F2-E14D-8F70-286F86A78837}"/>
            </a:ext>
          </a:extLst>
        </xdr:cNvPr>
        <xdr:cNvSpPr txBox="1"/>
      </xdr:nvSpPr>
      <xdr:spPr>
        <a:xfrm rot="16200000">
          <a:off x="22985901" y="1415436"/>
          <a:ext cx="1008149" cy="2883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Projected</a:t>
          </a:r>
        </a:p>
      </xdr:txBody>
    </xdr:sp>
    <xdr:clientData/>
  </xdr:twoCellAnchor>
  <xdr:twoCellAnchor>
    <xdr:from>
      <xdr:col>13</xdr:col>
      <xdr:colOff>482600</xdr:colOff>
      <xdr:row>5</xdr:row>
      <xdr:rowOff>25400</xdr:rowOff>
    </xdr:from>
    <xdr:to>
      <xdr:col>13</xdr:col>
      <xdr:colOff>508000</xdr:colOff>
      <xdr:row>25</xdr:row>
      <xdr:rowOff>139700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264C716-9B34-A748-B922-BDE84BCAE500}"/>
            </a:ext>
          </a:extLst>
        </xdr:cNvPr>
        <xdr:cNvCxnSpPr/>
      </xdr:nvCxnSpPr>
      <xdr:spPr>
        <a:xfrm>
          <a:off x="13589000" y="977900"/>
          <a:ext cx="25400" cy="3924300"/>
        </a:xfrm>
        <a:prstGeom prst="line">
          <a:avLst/>
        </a:prstGeom>
        <a:ln w="28575"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494274</xdr:colOff>
      <xdr:row>6</xdr:row>
      <xdr:rowOff>39527</xdr:rowOff>
    </xdr:from>
    <xdr:to>
      <xdr:col>13</xdr:col>
      <xdr:colOff>782606</xdr:colOff>
      <xdr:row>11</xdr:row>
      <xdr:rowOff>95176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2B340B3-F92D-AB45-B2D2-3738059FA4AE}"/>
            </a:ext>
          </a:extLst>
        </xdr:cNvPr>
        <xdr:cNvSpPr txBox="1"/>
      </xdr:nvSpPr>
      <xdr:spPr>
        <a:xfrm rot="16200000">
          <a:off x="13240765" y="1542436"/>
          <a:ext cx="1008149" cy="2883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Projected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24</xdr:row>
      <xdr:rowOff>31750</xdr:rowOff>
    </xdr:from>
    <xdr:to>
      <xdr:col>2</xdr:col>
      <xdr:colOff>165100</xdr:colOff>
      <xdr:row>47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4139C-1E2D-4E46-9B9D-884A34ADE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2</xdr:col>
      <xdr:colOff>292100</xdr:colOff>
      <xdr:row>73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FD3B03-A61C-784E-8014-7A6DB623B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77</xdr:row>
      <xdr:rowOff>25400</xdr:rowOff>
    </xdr:from>
    <xdr:to>
      <xdr:col>4</xdr:col>
      <xdr:colOff>139700</xdr:colOff>
      <xdr:row>100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4E5117-FC55-4E43-9BC3-1065F9065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558800</xdr:colOff>
      <xdr:row>49</xdr:row>
      <xdr:rowOff>114300</xdr:rowOff>
    </xdr:from>
    <xdr:to>
      <xdr:col>9</xdr:col>
      <xdr:colOff>514350</xdr:colOff>
      <xdr:row>72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90D844-0287-114F-8822-9B3F5DBD0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596900</xdr:colOff>
      <xdr:row>24</xdr:row>
      <xdr:rowOff>0</xdr:rowOff>
    </xdr:from>
    <xdr:to>
      <xdr:col>9</xdr:col>
      <xdr:colOff>552450</xdr:colOff>
      <xdr:row>47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7557C5-D6FC-DF48-B450-FDBBE9FC6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23</xdr:row>
      <xdr:rowOff>177800</xdr:rowOff>
    </xdr:from>
    <xdr:to>
      <xdr:col>16</xdr:col>
      <xdr:colOff>781050</xdr:colOff>
      <xdr:row>47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BAC1EF-489F-904E-9E8E-1230B4EAB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24</xdr:row>
      <xdr:rowOff>0</xdr:rowOff>
    </xdr:from>
    <xdr:to>
      <xdr:col>24</xdr:col>
      <xdr:colOff>781050</xdr:colOff>
      <xdr:row>47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BC4977D-69BA-2548-83A7-B0A38B7BF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762000</xdr:colOff>
      <xdr:row>49</xdr:row>
      <xdr:rowOff>165100</xdr:rowOff>
    </xdr:from>
    <xdr:to>
      <xdr:col>16</xdr:col>
      <xdr:colOff>717550</xdr:colOff>
      <xdr:row>73</xdr:row>
      <xdr:rowOff>31750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56A6025-101E-A741-85C2-DFFE98406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0</xdr:colOff>
      <xdr:row>24</xdr:row>
      <xdr:rowOff>0</xdr:rowOff>
    </xdr:from>
    <xdr:to>
      <xdr:col>32</xdr:col>
      <xdr:colOff>781050</xdr:colOff>
      <xdr:row>47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5534155-FCA7-E34D-B1D6-EB9DA02B2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101600</xdr:colOff>
      <xdr:row>49</xdr:row>
      <xdr:rowOff>114300</xdr:rowOff>
    </xdr:from>
    <xdr:to>
      <xdr:col>25</xdr:col>
      <xdr:colOff>57150</xdr:colOff>
      <xdr:row>72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81EA50-922A-334C-9E92-E6253A041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E802-A79B-014B-BBA4-3ADE5571C19C}">
  <dimension ref="A1:D216"/>
  <sheetViews>
    <sheetView showGridLines="0" tabSelected="1" workbookViewId="0">
      <selection activeCell="B32" sqref="B32"/>
    </sheetView>
  </sheetViews>
  <sheetFormatPr defaultColWidth="10.85546875" defaultRowHeight="15"/>
  <cols>
    <col min="1" max="1" width="41" style="4" customWidth="1"/>
    <col min="2" max="3" width="19.85546875" style="4" customWidth="1"/>
    <col min="4" max="4" width="167.28515625" style="4" customWidth="1"/>
    <col min="5" max="5" width="2.85546875" style="4" customWidth="1"/>
    <col min="6" max="25" width="9.42578125" style="4" customWidth="1"/>
    <col min="26" max="16384" width="10.85546875" style="4"/>
  </cols>
  <sheetData>
    <row r="1" spans="1:4">
      <c r="A1" s="3" t="s">
        <v>0</v>
      </c>
    </row>
    <row r="3" spans="1:4">
      <c r="A3" s="5" t="s">
        <v>1</v>
      </c>
    </row>
    <row r="4" spans="1:4">
      <c r="A4" s="6" t="s">
        <v>2</v>
      </c>
    </row>
    <row r="5" spans="1:4">
      <c r="A5" s="7" t="s">
        <v>3</v>
      </c>
    </row>
    <row r="7" spans="1:4">
      <c r="A7" s="8" t="s">
        <v>4</v>
      </c>
    </row>
    <row r="8" spans="1:4" s="11" customFormat="1" ht="15" customHeight="1">
      <c r="A8" s="9" t="s">
        <v>5</v>
      </c>
      <c r="B8" s="10" t="s">
        <v>1</v>
      </c>
      <c r="C8" s="10" t="s">
        <v>6</v>
      </c>
      <c r="D8" s="10" t="s">
        <v>7</v>
      </c>
    </row>
    <row r="9" spans="1:4" ht="15" customHeight="1">
      <c r="A9" s="12" t="s">
        <v>8</v>
      </c>
      <c r="B9" s="13">
        <v>62</v>
      </c>
      <c r="C9" s="14">
        <f>AVERAGE(Model!D4:I4)</f>
        <v>62.166666666666664</v>
      </c>
      <c r="D9" s="12" t="s">
        <v>9</v>
      </c>
    </row>
    <row r="10" spans="1:4" ht="15" customHeight="1">
      <c r="A10" s="12" t="s">
        <v>10</v>
      </c>
      <c r="B10" s="13">
        <v>3</v>
      </c>
      <c r="C10" s="14">
        <f>AVERAGE(Model!D5:I5)</f>
        <v>2.6666666666666665</v>
      </c>
      <c r="D10" s="12" t="s">
        <v>11</v>
      </c>
    </row>
    <row r="11" spans="1:4" ht="15" customHeight="1">
      <c r="A11" s="12" t="s">
        <v>12</v>
      </c>
      <c r="B11" s="13">
        <v>69</v>
      </c>
      <c r="C11" s="15">
        <f>Growth_Analysis!$J$15</f>
        <v>69</v>
      </c>
      <c r="D11" s="12" t="s">
        <v>13</v>
      </c>
    </row>
    <row r="12" spans="1:4" ht="15" customHeight="1">
      <c r="A12" s="12" t="s">
        <v>14</v>
      </c>
      <c r="B12" s="13">
        <v>40</v>
      </c>
      <c r="C12" s="15">
        <f>Growth_Analysis!$J$16</f>
        <v>40</v>
      </c>
      <c r="D12" s="12" t="s">
        <v>15</v>
      </c>
    </row>
    <row r="13" spans="1:4" ht="15" customHeight="1">
      <c r="A13" s="12" t="s">
        <v>16</v>
      </c>
      <c r="B13" s="13">
        <v>1</v>
      </c>
      <c r="C13" s="14">
        <f>AVERAGE(Model!F9:I9)</f>
        <v>1</v>
      </c>
      <c r="D13" s="12" t="s">
        <v>11</v>
      </c>
    </row>
    <row r="14" spans="1:4" ht="15" customHeight="1">
      <c r="A14" s="12" t="s">
        <v>17</v>
      </c>
      <c r="B14" s="16">
        <v>0.75</v>
      </c>
      <c r="C14" s="17">
        <f>AVERAGE(Model!F22:I22)</f>
        <v>0.22222222222222221</v>
      </c>
      <c r="D14" s="12" t="s">
        <v>18</v>
      </c>
    </row>
    <row r="15" spans="1:4" ht="15" customHeight="1">
      <c r="A15" s="12" t="s">
        <v>19</v>
      </c>
      <c r="B15" s="16">
        <f>C15</f>
        <v>4.8816490889900151E-3</v>
      </c>
      <c r="C15" s="17">
        <f>AVERAGE(Model!F43:I43)</f>
        <v>4.8816490889900151E-3</v>
      </c>
      <c r="D15" s="12" t="s">
        <v>20</v>
      </c>
    </row>
    <row r="16" spans="1:4" ht="15" customHeight="1">
      <c r="A16" s="12" t="s">
        <v>21</v>
      </c>
      <c r="B16" s="16">
        <v>5.0000000000000001E-3</v>
      </c>
      <c r="C16" s="17">
        <f>AVERAGE(Model!F44:I44)</f>
        <v>1.5580078477553638E-2</v>
      </c>
      <c r="D16" s="12" t="s">
        <v>22</v>
      </c>
    </row>
    <row r="18" spans="1:3" ht="15.95">
      <c r="A18" s="9" t="s">
        <v>23</v>
      </c>
      <c r="B18" s="10" t="s">
        <v>24</v>
      </c>
    </row>
    <row r="19" spans="1:3" ht="15.95">
      <c r="A19" s="18" t="s">
        <v>25</v>
      </c>
      <c r="B19" s="19">
        <v>0.03</v>
      </c>
    </row>
    <row r="20" spans="1:3" ht="15.95">
      <c r="A20" s="18" t="s">
        <v>10</v>
      </c>
      <c r="B20" s="19">
        <v>0</v>
      </c>
    </row>
    <row r="21" spans="1:3" ht="15.95">
      <c r="A21" s="18" t="s">
        <v>16</v>
      </c>
      <c r="B21" s="19">
        <v>0</v>
      </c>
    </row>
    <row r="22" spans="1:3" ht="15.95">
      <c r="A22" s="20"/>
      <c r="B22" s="21"/>
    </row>
    <row r="23" spans="1:3" ht="15.95">
      <c r="A23" s="9" t="s">
        <v>26</v>
      </c>
      <c r="B23" s="10" t="s">
        <v>1</v>
      </c>
      <c r="C23" s="10" t="s">
        <v>6</v>
      </c>
    </row>
    <row r="24" spans="1:3" ht="15.95">
      <c r="A24" s="18" t="s">
        <v>27</v>
      </c>
      <c r="B24" s="22">
        <v>2451.3961740597879</v>
      </c>
      <c r="C24" s="23">
        <f>AVERAGE(Summary!F83:I83)</f>
        <v>2451.3961740597879</v>
      </c>
    </row>
    <row r="25" spans="1:3" ht="15.95">
      <c r="A25" s="18" t="s">
        <v>28</v>
      </c>
      <c r="B25" s="22">
        <v>2476</v>
      </c>
      <c r="C25" s="23">
        <f>AVERAGE(Summary!F84:I84)</f>
        <v>2476</v>
      </c>
    </row>
    <row r="26" spans="1:3" ht="15.95">
      <c r="A26" s="18" t="s">
        <v>29</v>
      </c>
      <c r="B26" s="22">
        <v>0</v>
      </c>
      <c r="C26" s="23">
        <f>AVERAGE(Summary!F85:I85)</f>
        <v>0</v>
      </c>
    </row>
    <row r="27" spans="1:3" ht="15.95">
      <c r="A27" s="18" t="s">
        <v>30</v>
      </c>
      <c r="B27" s="22">
        <v>2207.1888673318554</v>
      </c>
      <c r="C27" s="23">
        <f>AVERAGE(Summary!F86:I86)</f>
        <v>2207.1888673318554</v>
      </c>
    </row>
    <row r="28" spans="1:3" ht="15.95">
      <c r="A28" s="18" t="s">
        <v>31</v>
      </c>
      <c r="B28" s="22">
        <v>-2800.3313176387182</v>
      </c>
      <c r="C28" s="23">
        <f>AVERAGE(Summary!F87:I87)</f>
        <v>-2800.3313176387182</v>
      </c>
    </row>
    <row r="29" spans="1:3" ht="15.95">
      <c r="A29" s="18" t="s">
        <v>32</v>
      </c>
      <c r="B29" s="24">
        <v>1360</v>
      </c>
      <c r="C29" s="23">
        <f>AVERAGE(Summary!F88:I88)</f>
        <v>1360</v>
      </c>
    </row>
    <row r="30" spans="1:3" ht="15.95">
      <c r="A30" s="18" t="s">
        <v>33</v>
      </c>
      <c r="B30" s="22">
        <v>2088</v>
      </c>
      <c r="C30" s="23">
        <f>AVERAGE(Summary!F89:I89)</f>
        <v>2088</v>
      </c>
    </row>
    <row r="31" spans="1:3" ht="15.95">
      <c r="A31" s="18" t="s">
        <v>34</v>
      </c>
      <c r="B31" s="22">
        <v>-5536</v>
      </c>
      <c r="C31" s="23">
        <f>AVERAGE(Summary!F90:I90)</f>
        <v>-5536</v>
      </c>
    </row>
    <row r="32" spans="1:3" ht="15.95">
      <c r="A32" s="18" t="s">
        <v>35</v>
      </c>
      <c r="B32" s="22">
        <v>-3229.75</v>
      </c>
      <c r="C32" s="23">
        <f>AVERAGE(Summary!F91:I91)</f>
        <v>-3229.75</v>
      </c>
    </row>
    <row r="33" spans="1:1" ht="15.95">
      <c r="A33" s="20"/>
    </row>
    <row r="34" spans="1:1" ht="15.95">
      <c r="A34" s="25" t="s">
        <v>36</v>
      </c>
    </row>
    <row r="35" spans="1:1">
      <c r="A35" s="4" t="s">
        <v>37</v>
      </c>
    </row>
    <row r="36" spans="1:1">
      <c r="A36" s="4" t="s">
        <v>38</v>
      </c>
    </row>
    <row r="37" spans="1:1">
      <c r="A37" s="26" t="s">
        <v>39</v>
      </c>
    </row>
    <row r="38" spans="1:1">
      <c r="A38" s="26" t="s">
        <v>40</v>
      </c>
    </row>
    <row r="39" spans="1:1">
      <c r="A39" s="4" t="s">
        <v>41</v>
      </c>
    </row>
    <row r="41" spans="1:1">
      <c r="A41" s="27"/>
    </row>
    <row r="42" spans="1:1" ht="15.95">
      <c r="A42" s="20"/>
    </row>
    <row r="43" spans="1:1" ht="15.95">
      <c r="A43" s="20"/>
    </row>
    <row r="44" spans="1:1" ht="15.95">
      <c r="A44" s="20"/>
    </row>
    <row r="45" spans="1:1" ht="15.95">
      <c r="A45" s="20"/>
    </row>
    <row r="46" spans="1:1" ht="15.95">
      <c r="A46" s="20"/>
    </row>
    <row r="47" spans="1:1" ht="15.95">
      <c r="A47" s="20"/>
    </row>
    <row r="48" spans="1:1" ht="15.95">
      <c r="A48" s="20"/>
    </row>
    <row r="49" spans="1:1" ht="15.95">
      <c r="A49" s="20"/>
    </row>
    <row r="50" spans="1:1" ht="15.95">
      <c r="A50" s="20"/>
    </row>
    <row r="51" spans="1:1">
      <c r="A51" s="27"/>
    </row>
    <row r="166" spans="1:1" ht="15.95">
      <c r="A166" s="20"/>
    </row>
    <row r="167" spans="1:1" ht="15.95">
      <c r="A167" s="20"/>
    </row>
    <row r="168" spans="1:1" ht="15.95">
      <c r="A168" s="20"/>
    </row>
    <row r="169" spans="1:1" ht="15.95">
      <c r="A169" s="20"/>
    </row>
    <row r="170" spans="1:1" ht="15.95">
      <c r="A170" s="20"/>
    </row>
    <row r="171" spans="1:1" ht="15.95">
      <c r="A171" s="20"/>
    </row>
    <row r="172" spans="1:1" ht="15.95">
      <c r="A172" s="20"/>
    </row>
    <row r="173" spans="1:1" ht="15.95">
      <c r="A173" s="20"/>
    </row>
    <row r="174" spans="1:1" ht="15.95">
      <c r="A174" s="20"/>
    </row>
    <row r="175" spans="1:1" ht="15.95">
      <c r="A175" s="20"/>
    </row>
    <row r="176" spans="1:1" ht="15.95">
      <c r="A176" s="20"/>
    </row>
    <row r="177" spans="1:1" ht="15.95">
      <c r="A177" s="20"/>
    </row>
    <row r="178" spans="1:1" ht="15.95">
      <c r="A178" s="20"/>
    </row>
    <row r="179" spans="1:1" ht="15.95">
      <c r="A179" s="20"/>
    </row>
    <row r="180" spans="1:1" ht="15.95">
      <c r="A180" s="20"/>
    </row>
    <row r="181" spans="1:1" ht="15.95">
      <c r="A181" s="20"/>
    </row>
    <row r="182" spans="1:1" ht="15.95">
      <c r="A182" s="20"/>
    </row>
    <row r="183" spans="1:1" ht="15.95">
      <c r="A183" s="20"/>
    </row>
    <row r="184" spans="1:1" ht="15.95">
      <c r="A184" s="20"/>
    </row>
    <row r="185" spans="1:1" ht="15.95">
      <c r="A185" s="20"/>
    </row>
    <row r="186" spans="1:1" ht="15.95">
      <c r="A186" s="20"/>
    </row>
    <row r="187" spans="1:1" ht="15.95">
      <c r="A187" s="20"/>
    </row>
    <row r="188" spans="1:1" ht="15.95">
      <c r="A188" s="20"/>
    </row>
    <row r="189" spans="1:1" ht="15.95">
      <c r="A189" s="20"/>
    </row>
    <row r="190" spans="1:1" ht="15.95">
      <c r="A190" s="20"/>
    </row>
    <row r="191" spans="1:1" ht="15.95">
      <c r="A191" s="20"/>
    </row>
    <row r="192" spans="1:1" ht="15.95">
      <c r="A192" s="20"/>
    </row>
    <row r="193" spans="1:1" ht="15.95">
      <c r="A193" s="20"/>
    </row>
    <row r="194" spans="1:1" ht="15.95">
      <c r="A194" s="20"/>
    </row>
    <row r="195" spans="1:1" ht="15.95">
      <c r="A195" s="20"/>
    </row>
    <row r="196" spans="1:1" ht="15.95">
      <c r="A196" s="20"/>
    </row>
    <row r="197" spans="1:1" ht="15.95">
      <c r="A197" s="20"/>
    </row>
    <row r="198" spans="1:1" ht="15.95">
      <c r="A198" s="20"/>
    </row>
    <row r="199" spans="1:1" ht="15.95">
      <c r="A199" s="20"/>
    </row>
    <row r="200" spans="1:1" ht="15.95">
      <c r="A200" s="20"/>
    </row>
    <row r="201" spans="1:1" ht="15.95">
      <c r="A201" s="20"/>
    </row>
    <row r="202" spans="1:1" ht="15.95">
      <c r="A202" s="20"/>
    </row>
    <row r="203" spans="1:1" ht="15.95">
      <c r="A203" s="20"/>
    </row>
    <row r="204" spans="1:1" ht="15.95">
      <c r="A204" s="20"/>
    </row>
    <row r="205" spans="1:1" ht="15.95">
      <c r="A205" s="20"/>
    </row>
    <row r="206" spans="1:1" ht="15.95">
      <c r="A206" s="20"/>
    </row>
    <row r="207" spans="1:1" ht="15.95">
      <c r="A207" s="20"/>
    </row>
    <row r="208" spans="1:1" ht="15.95">
      <c r="A208" s="20"/>
    </row>
    <row r="209" spans="1:1" ht="15.95">
      <c r="A209" s="20"/>
    </row>
    <row r="210" spans="1:1" ht="15.95">
      <c r="A210" s="20"/>
    </row>
    <row r="211" spans="1:1" ht="15.95">
      <c r="A211" s="20"/>
    </row>
    <row r="212" spans="1:1" ht="15.95">
      <c r="A212" s="20"/>
    </row>
    <row r="213" spans="1:1" ht="15.95">
      <c r="A213" s="20"/>
    </row>
    <row r="214" spans="1:1" ht="15.95">
      <c r="A214" s="20"/>
    </row>
    <row r="215" spans="1:1" ht="15.95">
      <c r="A215" s="20"/>
    </row>
    <row r="216" spans="1:1" ht="15.95">
      <c r="A216" s="20"/>
    </row>
  </sheetData>
  <sheetProtection algorithmName="SHA-512" hashValue="DDX1/rPWX2swOYB38ysKhlfCrMYbljTkaTjyDJ6S5/2DwrsaIYcFHc7//sK5t5alrGjL9VrlJ2YgcHpeVw8log==" saltValue="pqwmGDmxb1udXUGy7Yjg9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6B52-946E-A14B-86A4-7801EE98239C}">
  <dimension ref="A33:V135"/>
  <sheetViews>
    <sheetView showGridLines="0" zoomScale="70" zoomScaleNormal="70" workbookViewId="0">
      <selection activeCell="D34" sqref="D34"/>
    </sheetView>
  </sheetViews>
  <sheetFormatPr defaultColWidth="10.85546875" defaultRowHeight="15" outlineLevelRow="1"/>
  <cols>
    <col min="1" max="1" width="42" style="4" customWidth="1"/>
    <col min="2" max="17" width="10.85546875" style="4"/>
    <col min="18" max="18" width="7.140625" style="4" customWidth="1"/>
    <col min="19" max="19" width="19.85546875" style="4" customWidth="1"/>
    <col min="20" max="21" width="17" style="4" customWidth="1"/>
    <col min="22" max="16384" width="10.85546875" style="4"/>
  </cols>
  <sheetData>
    <row r="33" spans="1:22">
      <c r="B33" s="109" t="str">
        <f>Model!B2</f>
        <v>Adjusted Actuals *</v>
      </c>
      <c r="C33" s="110">
        <f>Model!C2</f>
        <v>0</v>
      </c>
      <c r="D33" s="110">
        <f>Model!D2</f>
        <v>0</v>
      </c>
      <c r="E33" s="110">
        <f>Model!E2</f>
        <v>0</v>
      </c>
      <c r="F33" s="110">
        <f>Model!F2</f>
        <v>0</v>
      </c>
      <c r="G33" s="110">
        <f>Model!G2</f>
        <v>0</v>
      </c>
      <c r="H33" s="110">
        <f>Model!H2</f>
        <v>0</v>
      </c>
      <c r="I33" s="111">
        <f>Model!I2</f>
        <v>0</v>
      </c>
      <c r="J33" s="109" t="str">
        <f>Model!J2</f>
        <v>Projected</v>
      </c>
      <c r="K33" s="110"/>
      <c r="L33" s="110"/>
      <c r="M33" s="110"/>
      <c r="N33" s="110"/>
      <c r="O33" s="110"/>
      <c r="P33" s="110"/>
      <c r="Q33" s="111"/>
      <c r="S33" s="28" t="str">
        <f>Model!S2</f>
        <v>Apr 18' - Dec 18' CMGR</v>
      </c>
      <c r="T33" s="28" t="str">
        <f>Model!T2</f>
        <v>2H' CMGR</v>
      </c>
    </row>
    <row r="34" spans="1:22">
      <c r="A34" s="8" t="str">
        <f>Model!A3</f>
        <v>Customer Type</v>
      </c>
      <c r="B34" s="29">
        <f>Model!B3</f>
        <v>42979</v>
      </c>
      <c r="C34" s="29">
        <f>Model!C3</f>
        <v>43009</v>
      </c>
      <c r="D34" s="29">
        <f>Model!D3</f>
        <v>43040</v>
      </c>
      <c r="E34" s="29">
        <f>Model!E3</f>
        <v>43070</v>
      </c>
      <c r="F34" s="29">
        <f>Model!F3</f>
        <v>43101</v>
      </c>
      <c r="G34" s="29">
        <f>Model!G3</f>
        <v>43132</v>
      </c>
      <c r="H34" s="29">
        <f>Model!H3</f>
        <v>43160</v>
      </c>
      <c r="I34" s="30">
        <f>Model!I3</f>
        <v>43191</v>
      </c>
      <c r="J34" s="29">
        <f>Model!J3</f>
        <v>43221</v>
      </c>
      <c r="K34" s="29">
        <f>Model!K3</f>
        <v>43252</v>
      </c>
      <c r="L34" s="29">
        <f>Model!L3</f>
        <v>43282</v>
      </c>
      <c r="M34" s="29">
        <f>Model!M3</f>
        <v>43313</v>
      </c>
      <c r="N34" s="29">
        <f>Model!N3</f>
        <v>43344</v>
      </c>
      <c r="O34" s="29">
        <f>Model!O3</f>
        <v>43374</v>
      </c>
      <c r="P34" s="29">
        <f>Model!P3</f>
        <v>43405</v>
      </c>
      <c r="Q34" s="29">
        <f>Model!Q3</f>
        <v>43435</v>
      </c>
      <c r="S34" s="31">
        <f>Model!S3</f>
        <v>0</v>
      </c>
      <c r="T34" s="31">
        <f>Model!T3</f>
        <v>0</v>
      </c>
      <c r="V34" s="32"/>
    </row>
    <row r="35" spans="1:22">
      <c r="A35" s="33" t="str">
        <f>Model!A4</f>
        <v>New</v>
      </c>
      <c r="B35" s="34">
        <f>Model!B4</f>
        <v>2</v>
      </c>
      <c r="C35" s="34">
        <f>Model!C4</f>
        <v>26</v>
      </c>
      <c r="D35" s="34">
        <f>Model!D4</f>
        <v>62</v>
      </c>
      <c r="E35" s="34">
        <f>Model!E4</f>
        <v>85</v>
      </c>
      <c r="F35" s="34">
        <f>Model!F4</f>
        <v>51</v>
      </c>
      <c r="G35" s="34">
        <f>Model!G4</f>
        <v>50</v>
      </c>
      <c r="H35" s="34">
        <f>Model!H4</f>
        <v>61</v>
      </c>
      <c r="I35" s="35">
        <f>Model!I4</f>
        <v>64</v>
      </c>
      <c r="J35" s="36">
        <f>Model!J4</f>
        <v>62</v>
      </c>
      <c r="K35" s="37">
        <f>Model!K4</f>
        <v>64</v>
      </c>
      <c r="L35" s="37">
        <f>Model!L4</f>
        <v>66</v>
      </c>
      <c r="M35" s="37">
        <f>Model!M4</f>
        <v>68</v>
      </c>
      <c r="N35" s="37">
        <f>Model!N4</f>
        <v>70</v>
      </c>
      <c r="O35" s="37">
        <f>Model!O4</f>
        <v>72</v>
      </c>
      <c r="P35" s="37">
        <f>Model!P4</f>
        <v>74</v>
      </c>
      <c r="Q35" s="37">
        <f>Model!Q4</f>
        <v>76</v>
      </c>
      <c r="S35" s="38">
        <f>Model!S4</f>
        <v>2.171366584037537E-2</v>
      </c>
      <c r="T35" s="38">
        <f>Model!T4</f>
        <v>2.9055827476684254E-2</v>
      </c>
    </row>
    <row r="36" spans="1:22">
      <c r="A36" s="33" t="str">
        <f>Model!A5</f>
        <v>Legacy to New Team</v>
      </c>
      <c r="B36" s="34">
        <f>Model!B5</f>
        <v>0</v>
      </c>
      <c r="C36" s="34">
        <f>Model!C5</f>
        <v>1</v>
      </c>
      <c r="D36" s="34">
        <f>Model!D5</f>
        <v>4</v>
      </c>
      <c r="E36" s="34">
        <f>Model!E5</f>
        <v>4</v>
      </c>
      <c r="F36" s="34">
        <f>Model!F5</f>
        <v>5</v>
      </c>
      <c r="G36" s="34">
        <f>Model!G5</f>
        <v>2</v>
      </c>
      <c r="H36" s="34">
        <f>Model!H5</f>
        <v>1</v>
      </c>
      <c r="I36" s="35">
        <f>Model!I5</f>
        <v>0</v>
      </c>
      <c r="J36" s="36">
        <f>Model!J5</f>
        <v>3</v>
      </c>
      <c r="K36" s="4">
        <f>Model!K5</f>
        <v>3</v>
      </c>
      <c r="L36" s="4">
        <f>Model!L5</f>
        <v>3</v>
      </c>
      <c r="M36" s="4">
        <f>Model!M5</f>
        <v>3</v>
      </c>
      <c r="N36" s="4">
        <f>Model!N5</f>
        <v>3</v>
      </c>
      <c r="O36" s="4">
        <f>Model!O5</f>
        <v>3</v>
      </c>
      <c r="P36" s="4">
        <f>Model!P5</f>
        <v>3</v>
      </c>
      <c r="Q36" s="4">
        <f>Model!Q5</f>
        <v>3</v>
      </c>
      <c r="S36" s="38" t="str">
        <f>Model!S5</f>
        <v>N/A</v>
      </c>
      <c r="T36" s="38">
        <f>Model!T5</f>
        <v>8.3526939061644697E-15</v>
      </c>
    </row>
    <row r="37" spans="1:22">
      <c r="A37" s="33" t="str">
        <f>Model!A6</f>
        <v>No Change</v>
      </c>
      <c r="B37" s="34">
        <f>Model!B6</f>
        <v>0</v>
      </c>
      <c r="C37" s="34">
        <f>Model!C6</f>
        <v>1</v>
      </c>
      <c r="D37" s="34">
        <f>Model!D6</f>
        <v>22</v>
      </c>
      <c r="E37" s="34">
        <f>Model!E6</f>
        <v>67</v>
      </c>
      <c r="F37" s="34">
        <f>Model!F6</f>
        <v>131</v>
      </c>
      <c r="G37" s="34">
        <f>Model!G6</f>
        <v>169</v>
      </c>
      <c r="H37" s="34">
        <f>Model!H6</f>
        <v>190</v>
      </c>
      <c r="I37" s="35">
        <f>Model!I6</f>
        <v>223</v>
      </c>
      <c r="J37" s="37">
        <f>Model!J6</f>
        <v>259</v>
      </c>
      <c r="K37" s="37">
        <f>Model!K6</f>
        <v>305</v>
      </c>
      <c r="L37" s="37">
        <f>Model!L6</f>
        <v>351</v>
      </c>
      <c r="M37" s="37">
        <f>Model!M6</f>
        <v>398</v>
      </c>
      <c r="N37" s="37">
        <f>Model!N6</f>
        <v>447</v>
      </c>
      <c r="O37" s="37">
        <f>Model!O6</f>
        <v>496</v>
      </c>
      <c r="P37" s="37">
        <f>Model!P6</f>
        <v>547</v>
      </c>
      <c r="Q37" s="37">
        <f>Model!Q6</f>
        <v>599</v>
      </c>
      <c r="S37" s="38">
        <f>Model!S6</f>
        <v>0.13146270890955059</v>
      </c>
      <c r="T37" s="38">
        <f>Model!T6</f>
        <v>0.11906289806623571</v>
      </c>
    </row>
    <row r="38" spans="1:22">
      <c r="A38" s="33" t="str">
        <f>Model!A7</f>
        <v>Expansion</v>
      </c>
      <c r="B38" s="34">
        <f>Model!B7</f>
        <v>0</v>
      </c>
      <c r="C38" s="34">
        <f>Model!C7</f>
        <v>0</v>
      </c>
      <c r="D38" s="34">
        <f>Model!D7</f>
        <v>5</v>
      </c>
      <c r="E38" s="34">
        <f>Model!E7</f>
        <v>14</v>
      </c>
      <c r="F38" s="34">
        <f>Model!F7</f>
        <v>24</v>
      </c>
      <c r="G38" s="34">
        <f>Model!G7</f>
        <v>44</v>
      </c>
      <c r="H38" s="34">
        <f>Model!H7</f>
        <v>41</v>
      </c>
      <c r="I38" s="35">
        <f>Model!I7</f>
        <v>60</v>
      </c>
      <c r="J38" s="36">
        <f>Model!J7</f>
        <v>69</v>
      </c>
      <c r="K38" s="36">
        <f>Model!K7</f>
        <v>80</v>
      </c>
      <c r="L38" s="36">
        <f>Model!L7</f>
        <v>91</v>
      </c>
      <c r="M38" s="36">
        <f>Model!M7</f>
        <v>102</v>
      </c>
      <c r="N38" s="36">
        <f>Model!N7</f>
        <v>112</v>
      </c>
      <c r="O38" s="36">
        <f>Model!O7</f>
        <v>123</v>
      </c>
      <c r="P38" s="36">
        <f>Model!P7</f>
        <v>134</v>
      </c>
      <c r="Q38" s="36">
        <f>Model!Q7</f>
        <v>145</v>
      </c>
      <c r="S38" s="38">
        <f>Model!S7</f>
        <v>0.11661149392718126</v>
      </c>
      <c r="T38" s="38">
        <f>Model!T7</f>
        <v>0.10419642286521137</v>
      </c>
      <c r="U38" s="39"/>
    </row>
    <row r="39" spans="1:22">
      <c r="A39" s="33" t="str">
        <f>Model!A8</f>
        <v>Contraction</v>
      </c>
      <c r="B39" s="34">
        <f>Model!B8</f>
        <v>0</v>
      </c>
      <c r="C39" s="34">
        <f>Model!C8</f>
        <v>0</v>
      </c>
      <c r="D39" s="34">
        <f>Model!D8</f>
        <v>2</v>
      </c>
      <c r="E39" s="34">
        <f>Model!E8</f>
        <v>14</v>
      </c>
      <c r="F39" s="34">
        <f>Model!F8</f>
        <v>26</v>
      </c>
      <c r="G39" s="34">
        <f>Model!G8</f>
        <v>14</v>
      </c>
      <c r="H39" s="34">
        <f>Model!H8</f>
        <v>34</v>
      </c>
      <c r="I39" s="35">
        <f>Model!I8</f>
        <v>31</v>
      </c>
      <c r="J39" s="36">
        <f>Model!J8</f>
        <v>40</v>
      </c>
      <c r="K39" s="36">
        <f>Model!K8</f>
        <v>46</v>
      </c>
      <c r="L39" s="36">
        <f>Model!L8</f>
        <v>51</v>
      </c>
      <c r="M39" s="36">
        <f>Model!M8</f>
        <v>57</v>
      </c>
      <c r="N39" s="36">
        <f>Model!N8</f>
        <v>62</v>
      </c>
      <c r="O39" s="36">
        <f>Model!O8</f>
        <v>68</v>
      </c>
      <c r="P39" s="36">
        <f>Model!P8</f>
        <v>74</v>
      </c>
      <c r="Q39" s="36">
        <f>Model!Q8</f>
        <v>79</v>
      </c>
      <c r="S39" s="38">
        <f>Model!S8</f>
        <v>0.12404364523484307</v>
      </c>
      <c r="T39" s="38">
        <f>Model!T8</f>
        <v>9.4321360821255945E-2</v>
      </c>
      <c r="U39" s="39"/>
    </row>
    <row r="40" spans="1:22">
      <c r="A40" s="33" t="str">
        <f>Model!A9</f>
        <v>Old Team to New Team</v>
      </c>
      <c r="B40" s="34">
        <f>Model!B9</f>
        <v>0</v>
      </c>
      <c r="C40" s="34">
        <f>Model!C9</f>
        <v>0</v>
      </c>
      <c r="D40" s="34">
        <f>Model!D9</f>
        <v>0</v>
      </c>
      <c r="E40" s="34">
        <f>Model!E9</f>
        <v>1</v>
      </c>
      <c r="F40" s="34">
        <f>Model!F9</f>
        <v>0</v>
      </c>
      <c r="G40" s="34">
        <f>Model!G9</f>
        <v>3</v>
      </c>
      <c r="H40" s="34">
        <f>Model!H9</f>
        <v>0</v>
      </c>
      <c r="I40" s="35">
        <f>Model!I9</f>
        <v>1</v>
      </c>
      <c r="J40" s="36">
        <f>Model!J9</f>
        <v>1</v>
      </c>
      <c r="K40" s="4">
        <f>Model!K9</f>
        <v>1</v>
      </c>
      <c r="L40" s="4">
        <f>Model!L9</f>
        <v>1</v>
      </c>
      <c r="M40" s="4">
        <f>Model!M9</f>
        <v>1</v>
      </c>
      <c r="N40" s="4">
        <f>Model!N9</f>
        <v>1</v>
      </c>
      <c r="O40" s="4">
        <f>Model!O9</f>
        <v>1</v>
      </c>
      <c r="P40" s="4">
        <f>Model!P9</f>
        <v>1</v>
      </c>
      <c r="Q40" s="4">
        <f>Model!Q9</f>
        <v>1</v>
      </c>
      <c r="S40" s="38">
        <f>Model!S9</f>
        <v>3.1899074321543544E-12</v>
      </c>
      <c r="T40" s="38">
        <f>Model!T9</f>
        <v>8.2329817756500155E-15</v>
      </c>
    </row>
    <row r="41" spans="1:22">
      <c r="A41" s="33" t="str">
        <f>Model!A10</f>
        <v>Churn-Failed Reactivation</v>
      </c>
      <c r="B41" s="40">
        <f>Model!B10</f>
        <v>0</v>
      </c>
      <c r="C41" s="40">
        <f>Model!C10</f>
        <v>0</v>
      </c>
      <c r="D41" s="40">
        <f>Model!D10</f>
        <v>0</v>
      </c>
      <c r="E41" s="40">
        <f>Model!E10</f>
        <v>0</v>
      </c>
      <c r="F41" s="40">
        <f>Model!F10</f>
        <v>0</v>
      </c>
      <c r="G41" s="40">
        <f>Model!G10</f>
        <v>1</v>
      </c>
      <c r="H41" s="40">
        <f>Model!H10</f>
        <v>1</v>
      </c>
      <c r="I41" s="41">
        <f>Model!I10</f>
        <v>0</v>
      </c>
      <c r="J41" s="42">
        <f>Model!J10</f>
        <v>5</v>
      </c>
      <c r="K41" s="42">
        <f>Model!K10</f>
        <v>2</v>
      </c>
      <c r="L41" s="42">
        <f>Model!L10</f>
        <v>2</v>
      </c>
      <c r="M41" s="42">
        <f>Model!M10</f>
        <v>2</v>
      </c>
      <c r="N41" s="42">
        <f>Model!N10</f>
        <v>2</v>
      </c>
      <c r="O41" s="42">
        <f>Model!O10</f>
        <v>2</v>
      </c>
      <c r="P41" s="42">
        <f>Model!P10</f>
        <v>2</v>
      </c>
      <c r="Q41" s="42">
        <f>Model!Q10</f>
        <v>3</v>
      </c>
      <c r="S41" s="38" t="str">
        <f>Model!S10</f>
        <v>N/A</v>
      </c>
      <c r="T41" s="38">
        <f>Model!T10</f>
        <v>6.9913193933663256E-2</v>
      </c>
    </row>
    <row r="42" spans="1:22">
      <c r="A42" s="43" t="str">
        <f>Model!A11</f>
        <v>Total Customers</v>
      </c>
      <c r="B42" s="43">
        <f>Model!B11</f>
        <v>2</v>
      </c>
      <c r="C42" s="43">
        <f>Model!C11</f>
        <v>28</v>
      </c>
      <c r="D42" s="43">
        <f>Model!D11</f>
        <v>95</v>
      </c>
      <c r="E42" s="43">
        <f>Model!E11</f>
        <v>185</v>
      </c>
      <c r="F42" s="43">
        <f>Model!F11</f>
        <v>237</v>
      </c>
      <c r="G42" s="43">
        <f>Model!G11</f>
        <v>283</v>
      </c>
      <c r="H42" s="43">
        <f>Model!H11</f>
        <v>328</v>
      </c>
      <c r="I42" s="44">
        <f>Model!I11</f>
        <v>379</v>
      </c>
      <c r="J42" s="45">
        <f>Model!J11</f>
        <v>439</v>
      </c>
      <c r="K42" s="45">
        <f>Model!K11</f>
        <v>501</v>
      </c>
      <c r="L42" s="45">
        <f>Model!L11</f>
        <v>565</v>
      </c>
      <c r="M42" s="45">
        <f>Model!M11</f>
        <v>631</v>
      </c>
      <c r="N42" s="45">
        <f>Model!N11</f>
        <v>697</v>
      </c>
      <c r="O42" s="45">
        <f>Model!O11</f>
        <v>765</v>
      </c>
      <c r="P42" s="45">
        <f>Model!P11</f>
        <v>835</v>
      </c>
      <c r="Q42" s="45">
        <f>Model!Q11</f>
        <v>906</v>
      </c>
      <c r="S42" s="38">
        <f>Model!S11</f>
        <v>0.11509308710493318</v>
      </c>
      <c r="T42" s="38">
        <f>Model!T11</f>
        <v>0.10377802959817192</v>
      </c>
    </row>
    <row r="43" spans="1:22">
      <c r="A43" s="33" t="str">
        <f>Model!A12</f>
        <v>Churn</v>
      </c>
      <c r="B43" s="34">
        <f>Model!B12</f>
        <v>0</v>
      </c>
      <c r="C43" s="34">
        <f>Model!C12</f>
        <v>1</v>
      </c>
      <c r="D43" s="34">
        <f>Model!D12</f>
        <v>1</v>
      </c>
      <c r="E43" s="34">
        <f>Model!E12</f>
        <v>3</v>
      </c>
      <c r="F43" s="34">
        <f>Model!F12</f>
        <v>0</v>
      </c>
      <c r="G43" s="34">
        <f>Model!G12</f>
        <v>3</v>
      </c>
      <c r="H43" s="34">
        <f>Model!H12</f>
        <v>1</v>
      </c>
      <c r="I43" s="35">
        <f>Model!I12</f>
        <v>1</v>
      </c>
      <c r="J43" s="4">
        <f>Model!J12</f>
        <v>2</v>
      </c>
      <c r="K43" s="4">
        <f>Model!K12</f>
        <v>2</v>
      </c>
      <c r="L43" s="4">
        <f>Model!L12</f>
        <v>2</v>
      </c>
      <c r="M43" s="4">
        <f>Model!M12</f>
        <v>3</v>
      </c>
      <c r="N43" s="4">
        <f>Model!N12</f>
        <v>3</v>
      </c>
      <c r="O43" s="4">
        <f>Model!O12</f>
        <v>3</v>
      </c>
      <c r="P43" s="4">
        <f>Model!P12</f>
        <v>4</v>
      </c>
      <c r="Q43" s="4">
        <f>Model!Q12</f>
        <v>4</v>
      </c>
      <c r="R43" s="46"/>
      <c r="S43" s="38">
        <f>Model!S12</f>
        <v>0.18920711500041151</v>
      </c>
      <c r="T43" s="38">
        <f>Model!T12</f>
        <v>0.12246204830937299</v>
      </c>
      <c r="U43" s="47"/>
    </row>
    <row r="44" spans="1:22">
      <c r="A44" s="33" t="str">
        <f>Model!A13</f>
        <v>Churn-Failed</v>
      </c>
      <c r="B44" s="34">
        <f>Model!B13</f>
        <v>0</v>
      </c>
      <c r="C44" s="34">
        <f>Model!C13</f>
        <v>0</v>
      </c>
      <c r="D44" s="34">
        <f>Model!D13</f>
        <v>1</v>
      </c>
      <c r="E44" s="34">
        <f>Model!E13</f>
        <v>0</v>
      </c>
      <c r="F44" s="34">
        <f>Model!F13</f>
        <v>3</v>
      </c>
      <c r="G44" s="34">
        <f>Model!G13</f>
        <v>3</v>
      </c>
      <c r="H44" s="34">
        <f>Model!H13</f>
        <v>4</v>
      </c>
      <c r="I44" s="35">
        <f>Model!I13</f>
        <v>6</v>
      </c>
      <c r="J44" s="4">
        <f>Model!J13</f>
        <v>2</v>
      </c>
      <c r="K44" s="4">
        <f>Model!K13</f>
        <v>2</v>
      </c>
      <c r="L44" s="4">
        <f>Model!L13</f>
        <v>2</v>
      </c>
      <c r="M44" s="4">
        <f>Model!M13</f>
        <v>3</v>
      </c>
      <c r="N44" s="4">
        <f>Model!N13</f>
        <v>3</v>
      </c>
      <c r="O44" s="4">
        <f>Model!O13</f>
        <v>3</v>
      </c>
      <c r="P44" s="4">
        <f>Model!P13</f>
        <v>4</v>
      </c>
      <c r="Q44" s="4">
        <f>Model!Q13</f>
        <v>4</v>
      </c>
      <c r="R44" s="46"/>
      <c r="S44" s="38">
        <f>Model!S13</f>
        <v>-4.9420175045759629E-2</v>
      </c>
      <c r="T44" s="38">
        <f>Model!T13</f>
        <v>0.12246204830937299</v>
      </c>
    </row>
    <row r="45" spans="1:22">
      <c r="A45" s="48" t="str">
        <f>Model!A14</f>
        <v>Total Churn</v>
      </c>
      <c r="B45" s="49">
        <f>Model!B14</f>
        <v>0</v>
      </c>
      <c r="C45" s="49">
        <f>Model!C14</f>
        <v>1</v>
      </c>
      <c r="D45" s="49">
        <f>Model!D14</f>
        <v>2</v>
      </c>
      <c r="E45" s="49">
        <f>Model!E14</f>
        <v>3</v>
      </c>
      <c r="F45" s="49">
        <f>Model!F14</f>
        <v>3</v>
      </c>
      <c r="G45" s="49">
        <f>Model!G14</f>
        <v>6</v>
      </c>
      <c r="H45" s="49">
        <f>Model!H14</f>
        <v>5</v>
      </c>
      <c r="I45" s="50">
        <f>Model!I14</f>
        <v>7</v>
      </c>
      <c r="J45" s="49">
        <f>Model!J14</f>
        <v>4</v>
      </c>
      <c r="K45" s="49">
        <f>Model!K14</f>
        <v>4</v>
      </c>
      <c r="L45" s="51">
        <f>Model!L14</f>
        <v>4</v>
      </c>
      <c r="M45" s="51">
        <f>Model!M14</f>
        <v>6</v>
      </c>
      <c r="N45" s="51">
        <f>Model!N14</f>
        <v>6</v>
      </c>
      <c r="O45" s="51">
        <f>Model!O14</f>
        <v>6</v>
      </c>
      <c r="P45" s="51">
        <f>Model!P14</f>
        <v>8</v>
      </c>
      <c r="Q45" s="51">
        <f>Model!Q14</f>
        <v>8</v>
      </c>
      <c r="S45" s="38">
        <f>Model!S14</f>
        <v>1.6831504190602958E-2</v>
      </c>
      <c r="T45" s="38">
        <f>Model!T14</f>
        <v>0.12246204830937299</v>
      </c>
    </row>
    <row r="46" spans="1:22">
      <c r="A46" s="43" t="str">
        <f>Model!A15</f>
        <v>Total Customers</v>
      </c>
      <c r="B46" s="43">
        <f>Model!B15</f>
        <v>2</v>
      </c>
      <c r="C46" s="43">
        <f>Model!C15</f>
        <v>27</v>
      </c>
      <c r="D46" s="43">
        <f>Model!D15</f>
        <v>93</v>
      </c>
      <c r="E46" s="43">
        <f>Model!E15</f>
        <v>182</v>
      </c>
      <c r="F46" s="43">
        <f>Model!F15</f>
        <v>234</v>
      </c>
      <c r="G46" s="43">
        <f>Model!G15</f>
        <v>277</v>
      </c>
      <c r="H46" s="43">
        <f>Model!H15</f>
        <v>323</v>
      </c>
      <c r="I46" s="52">
        <f>Model!I15</f>
        <v>372</v>
      </c>
      <c r="J46" s="45">
        <f>Model!J15</f>
        <v>435</v>
      </c>
      <c r="K46" s="45">
        <f>Model!K15</f>
        <v>497</v>
      </c>
      <c r="L46" s="45">
        <f>Model!L15</f>
        <v>561</v>
      </c>
      <c r="M46" s="45">
        <f>Model!M15</f>
        <v>625</v>
      </c>
      <c r="N46" s="45">
        <f>Model!N15</f>
        <v>691</v>
      </c>
      <c r="O46" s="45">
        <f>Model!O15</f>
        <v>759</v>
      </c>
      <c r="P46" s="45">
        <f>Model!P15</f>
        <v>827</v>
      </c>
      <c r="Q46" s="45">
        <f>Model!Q15</f>
        <v>898</v>
      </c>
      <c r="S46" s="38">
        <f>Model!S15</f>
        <v>0.1164561608803176</v>
      </c>
      <c r="T46" s="38">
        <f>Model!T15</f>
        <v>0.10362109037267314</v>
      </c>
    </row>
    <row r="47" spans="1:22">
      <c r="A47" s="43"/>
      <c r="B47" s="43"/>
      <c r="C47" s="43"/>
      <c r="D47" s="43"/>
      <c r="E47" s="43"/>
      <c r="F47" s="43"/>
      <c r="G47" s="43"/>
      <c r="H47" s="43"/>
      <c r="I47" s="52"/>
      <c r="J47" s="45"/>
      <c r="K47" s="45"/>
      <c r="L47" s="45"/>
      <c r="M47" s="45"/>
      <c r="N47" s="45"/>
      <c r="O47" s="45"/>
      <c r="P47" s="45"/>
      <c r="Q47" s="45"/>
      <c r="S47" s="38"/>
      <c r="T47" s="38"/>
    </row>
    <row r="48" spans="1:22">
      <c r="A48" s="8" t="str">
        <f>Model!A53</f>
        <v>Revenue - Starting ARR</v>
      </c>
      <c r="I48" s="53"/>
      <c r="S48" s="54"/>
      <c r="T48" s="38"/>
    </row>
    <row r="49" spans="1:20" hidden="1" outlineLevel="1">
      <c r="A49" s="33" t="str">
        <f>Model!A54</f>
        <v>New</v>
      </c>
      <c r="B49" s="55">
        <f>Model!B54</f>
        <v>0</v>
      </c>
      <c r="C49" s="55">
        <f>Model!C54</f>
        <v>0</v>
      </c>
      <c r="D49" s="55">
        <f>Model!D54</f>
        <v>0</v>
      </c>
      <c r="E49" s="55">
        <f>Model!E54</f>
        <v>0</v>
      </c>
      <c r="F49" s="55">
        <f>Model!F54</f>
        <v>0</v>
      </c>
      <c r="G49" s="55">
        <f>Model!G54</f>
        <v>0</v>
      </c>
      <c r="H49" s="55">
        <f>Model!H54</f>
        <v>0</v>
      </c>
      <c r="I49" s="56">
        <f>Model!I54</f>
        <v>0</v>
      </c>
      <c r="J49" s="57">
        <f>Model!J54</f>
        <v>0</v>
      </c>
      <c r="K49" s="57">
        <f>Model!K54</f>
        <v>0</v>
      </c>
      <c r="L49" s="57">
        <f>Model!L54</f>
        <v>0</v>
      </c>
      <c r="M49" s="57">
        <f>Model!M54</f>
        <v>0</v>
      </c>
      <c r="N49" s="57">
        <f>Model!N54</f>
        <v>0</v>
      </c>
      <c r="O49" s="57">
        <f>Model!O54</f>
        <v>0</v>
      </c>
      <c r="P49" s="57">
        <f>Model!P54</f>
        <v>0</v>
      </c>
      <c r="Q49" s="57">
        <f>Model!Q54</f>
        <v>0</v>
      </c>
      <c r="R49" s="58"/>
      <c r="S49" s="54" t="str">
        <f>Model!S54</f>
        <v>N/A</v>
      </c>
      <c r="T49" s="38" t="str">
        <f>Model!T54</f>
        <v>N/A</v>
      </c>
    </row>
    <row r="50" spans="1:20" hidden="1" outlineLevel="1">
      <c r="A50" s="33" t="str">
        <f>Model!A55</f>
        <v>Legacy to New Team</v>
      </c>
      <c r="B50" s="55">
        <f>Model!B55</f>
        <v>0</v>
      </c>
      <c r="C50" s="55">
        <f>Model!C55</f>
        <v>0</v>
      </c>
      <c r="D50" s="55">
        <f>Model!D55</f>
        <v>0</v>
      </c>
      <c r="E50" s="55">
        <f>Model!E55</f>
        <v>0</v>
      </c>
      <c r="F50" s="55">
        <f>Model!F55</f>
        <v>0</v>
      </c>
      <c r="G50" s="55">
        <f>Model!G55</f>
        <v>0</v>
      </c>
      <c r="H50" s="55">
        <f>Model!H55</f>
        <v>0</v>
      </c>
      <c r="I50" s="56">
        <f>Model!I55</f>
        <v>0</v>
      </c>
      <c r="J50" s="57">
        <f>Model!J55</f>
        <v>0</v>
      </c>
      <c r="K50" s="57">
        <f>Model!K55</f>
        <v>0</v>
      </c>
      <c r="L50" s="57">
        <f>Model!L55</f>
        <v>0</v>
      </c>
      <c r="M50" s="57">
        <f>Model!M55</f>
        <v>0</v>
      </c>
      <c r="N50" s="57">
        <f>Model!N55</f>
        <v>0</v>
      </c>
      <c r="O50" s="57">
        <f>Model!O55</f>
        <v>0</v>
      </c>
      <c r="P50" s="57">
        <f>Model!P55</f>
        <v>0</v>
      </c>
      <c r="Q50" s="57">
        <f>Model!Q55</f>
        <v>0</v>
      </c>
      <c r="R50" s="58"/>
      <c r="S50" s="54" t="str">
        <f>Model!S55</f>
        <v>N/A</v>
      </c>
      <c r="T50" s="38" t="str">
        <f>Model!T55</f>
        <v>N/A</v>
      </c>
    </row>
    <row r="51" spans="1:20" hidden="1" outlineLevel="1">
      <c r="A51" s="33" t="str">
        <f>Model!A56</f>
        <v>No Change</v>
      </c>
      <c r="B51" s="55">
        <f>Model!B56</f>
        <v>0</v>
      </c>
      <c r="C51" s="55">
        <f>Model!C56</f>
        <v>1200</v>
      </c>
      <c r="D51" s="55">
        <f>Model!D56</f>
        <v>29520</v>
      </c>
      <c r="E51" s="55">
        <f>Model!E56</f>
        <v>94128</v>
      </c>
      <c r="F51" s="55">
        <f>Model!F56</f>
        <v>187908</v>
      </c>
      <c r="G51" s="55">
        <f>Model!G56</f>
        <v>241536</v>
      </c>
      <c r="H51" s="55">
        <f>Model!H56</f>
        <v>277992</v>
      </c>
      <c r="I51" s="56">
        <f>Model!I56</f>
        <v>332340</v>
      </c>
      <c r="J51" s="57">
        <f>Model!J56</f>
        <v>412912.4903880239</v>
      </c>
      <c r="K51" s="57">
        <f>Model!K56</f>
        <v>475889.90330211597</v>
      </c>
      <c r="L51" s="57">
        <f>Model!L56</f>
        <v>538172.51692570001</v>
      </c>
      <c r="M51" s="57">
        <f>Model!M56</f>
        <v>603366.0281695507</v>
      </c>
      <c r="N51" s="57">
        <f>Model!N56</f>
        <v>670223.58058181254</v>
      </c>
      <c r="O51" s="57">
        <f>Model!O56</f>
        <v>738896.84851377632</v>
      </c>
      <c r="P51" s="57">
        <f>Model!P56</f>
        <v>809062.62010925566</v>
      </c>
      <c r="Q51" s="57">
        <f>Model!Q56</f>
        <v>880647.32115676568</v>
      </c>
      <c r="R51" s="58"/>
      <c r="S51" s="54">
        <f>Model!S56</f>
        <v>0.12954210750007997</v>
      </c>
      <c r="T51" s="38">
        <f>Model!T56</f>
        <v>0.10802422251782055</v>
      </c>
    </row>
    <row r="52" spans="1:20" hidden="1" outlineLevel="1">
      <c r="A52" s="33" t="str">
        <f>Model!A57</f>
        <v>Expansion</v>
      </c>
      <c r="B52" s="55">
        <f>Model!B57</f>
        <v>0</v>
      </c>
      <c r="C52" s="55">
        <f>Model!C57</f>
        <v>0</v>
      </c>
      <c r="D52" s="55">
        <f>Model!D57</f>
        <v>25668</v>
      </c>
      <c r="E52" s="55">
        <f>Model!E57</f>
        <v>86640</v>
      </c>
      <c r="F52" s="55">
        <f>Model!F57</f>
        <v>151416</v>
      </c>
      <c r="G52" s="55">
        <f>Model!G57</f>
        <v>224292</v>
      </c>
      <c r="H52" s="55">
        <f>Model!H57</f>
        <v>184872</v>
      </c>
      <c r="I52" s="56">
        <f>Model!I57</f>
        <v>301727</v>
      </c>
      <c r="J52" s="57">
        <f>Model!J57</f>
        <v>374877.67643770622</v>
      </c>
      <c r="K52" s="57">
        <f>Model!K57</f>
        <v>432054.01953913929</v>
      </c>
      <c r="L52" s="57">
        <f>Model!L57</f>
        <v>488599.56374327705</v>
      </c>
      <c r="M52" s="57">
        <f>Model!M57</f>
        <v>547787.8726049047</v>
      </c>
      <c r="N52" s="57">
        <f>Model!N57</f>
        <v>608486.94198173122</v>
      </c>
      <c r="O52" s="57">
        <f>Model!O57</f>
        <v>670834.474969959</v>
      </c>
      <c r="P52" s="57">
        <f>Model!P57</f>
        <v>734537.03188814281</v>
      </c>
      <c r="Q52" s="57">
        <f>Model!Q57</f>
        <v>799527.81570279668</v>
      </c>
      <c r="R52" s="58"/>
      <c r="S52" s="54">
        <f>Model!S57</f>
        <v>0.12954210750008011</v>
      </c>
      <c r="T52" s="38">
        <f>Model!T57</f>
        <v>0.10802422251782043</v>
      </c>
    </row>
    <row r="53" spans="1:20" hidden="1" outlineLevel="1">
      <c r="A53" s="33" t="str">
        <f>Model!A58</f>
        <v>Contraction</v>
      </c>
      <c r="B53" s="55">
        <f>Model!B58</f>
        <v>0</v>
      </c>
      <c r="C53" s="55">
        <f>Model!C58</f>
        <v>0</v>
      </c>
      <c r="D53" s="55">
        <f>Model!D58</f>
        <v>31236</v>
      </c>
      <c r="E53" s="55">
        <f>Model!E58</f>
        <v>245712</v>
      </c>
      <c r="F53" s="55">
        <f>Model!F58</f>
        <v>227472</v>
      </c>
      <c r="G53" s="55">
        <f>Model!G58</f>
        <v>119220</v>
      </c>
      <c r="H53" s="55">
        <f>Model!H58</f>
        <v>223116</v>
      </c>
      <c r="I53" s="56">
        <f>Model!I58</f>
        <v>167832</v>
      </c>
      <c r="J53" s="57">
        <f>Model!J58</f>
        <v>208521.18037793474</v>
      </c>
      <c r="K53" s="57">
        <f>Model!K58</f>
        <v>240324.83074863313</v>
      </c>
      <c r="L53" s="57">
        <f>Model!L58</f>
        <v>271777.6068504366</v>
      </c>
      <c r="M53" s="57">
        <f>Model!M58</f>
        <v>304700.38887811289</v>
      </c>
      <c r="N53" s="57">
        <f>Model!N58</f>
        <v>338463.5131979502</v>
      </c>
      <c r="O53" s="57">
        <f>Model!O58</f>
        <v>373143.57549426524</v>
      </c>
      <c r="P53" s="57">
        <f>Model!P58</f>
        <v>408577.3534879238</v>
      </c>
      <c r="Q53" s="57">
        <f>Model!Q58</f>
        <v>444727.69213571138</v>
      </c>
      <c r="R53" s="58"/>
      <c r="S53" s="54">
        <f>Model!S58</f>
        <v>0.12954210750005771</v>
      </c>
      <c r="T53" s="38">
        <f>Model!T58</f>
        <v>0.1080242225178204</v>
      </c>
    </row>
    <row r="54" spans="1:20" hidden="1" outlineLevel="1">
      <c r="A54" s="33" t="str">
        <f>Model!A59</f>
        <v>Old Team to New Team</v>
      </c>
      <c r="B54" s="55">
        <f>Model!B59</f>
        <v>0</v>
      </c>
      <c r="C54" s="55">
        <f>Model!C59</f>
        <v>0</v>
      </c>
      <c r="D54" s="55">
        <f>Model!D59</f>
        <v>0</v>
      </c>
      <c r="E54" s="55">
        <f>Model!E59</f>
        <v>0</v>
      </c>
      <c r="F54" s="55">
        <f>Model!F59</f>
        <v>0</v>
      </c>
      <c r="G54" s="55">
        <f>Model!G59</f>
        <v>0</v>
      </c>
      <c r="H54" s="55">
        <f>Model!H59</f>
        <v>0</v>
      </c>
      <c r="I54" s="56">
        <f>Model!I59</f>
        <v>0</v>
      </c>
      <c r="J54" s="57">
        <f>Model!J59</f>
        <v>0</v>
      </c>
      <c r="K54" s="57">
        <f>Model!K59</f>
        <v>0</v>
      </c>
      <c r="L54" s="57">
        <f>Model!L59</f>
        <v>0</v>
      </c>
      <c r="M54" s="57">
        <f>Model!M59</f>
        <v>0</v>
      </c>
      <c r="N54" s="57">
        <f>Model!N59</f>
        <v>0</v>
      </c>
      <c r="O54" s="57">
        <f>Model!O59</f>
        <v>0</v>
      </c>
      <c r="P54" s="57">
        <f>Model!P59</f>
        <v>0</v>
      </c>
      <c r="Q54" s="57">
        <f>Model!Q59</f>
        <v>0</v>
      </c>
      <c r="R54" s="58"/>
      <c r="S54" s="54" t="str">
        <f>Model!S59</f>
        <v>N/A</v>
      </c>
      <c r="T54" s="38" t="str">
        <f>Model!T59</f>
        <v>N/A</v>
      </c>
    </row>
    <row r="55" spans="1:20" hidden="1" outlineLevel="1">
      <c r="A55" s="33" t="str">
        <f>Model!A60</f>
        <v>Churn-Failed Reactivation</v>
      </c>
      <c r="B55" s="55">
        <f>Model!B60</f>
        <v>0</v>
      </c>
      <c r="C55" s="55">
        <f>Model!C60</f>
        <v>0</v>
      </c>
      <c r="D55" s="55">
        <f>Model!D60</f>
        <v>0</v>
      </c>
      <c r="E55" s="55">
        <f>Model!E60</f>
        <v>0</v>
      </c>
      <c r="F55" s="55">
        <f>Model!F60</f>
        <v>0</v>
      </c>
      <c r="G55" s="55">
        <f>Model!G60</f>
        <v>0</v>
      </c>
      <c r="H55" s="55">
        <f>Model!H60</f>
        <v>0</v>
      </c>
      <c r="I55" s="56">
        <f>Model!I60</f>
        <v>0</v>
      </c>
      <c r="J55" s="57">
        <f>Model!J60</f>
        <v>0</v>
      </c>
      <c r="K55" s="57">
        <f>Model!K60</f>
        <v>0</v>
      </c>
      <c r="L55" s="57">
        <f>Model!L60</f>
        <v>0</v>
      </c>
      <c r="M55" s="57">
        <f>Model!M60</f>
        <v>0</v>
      </c>
      <c r="N55" s="57">
        <f>Model!N60</f>
        <v>0</v>
      </c>
      <c r="O55" s="57">
        <f>Model!O60</f>
        <v>0</v>
      </c>
      <c r="P55" s="57">
        <f>Model!P60</f>
        <v>0</v>
      </c>
      <c r="Q55" s="57">
        <f>Model!Q60</f>
        <v>0</v>
      </c>
      <c r="R55" s="58"/>
      <c r="S55" s="54" t="str">
        <f>Model!S60</f>
        <v>N/A</v>
      </c>
      <c r="T55" s="38" t="str">
        <f>Model!T60</f>
        <v>N/A</v>
      </c>
    </row>
    <row r="56" spans="1:20" hidden="1" outlineLevel="1">
      <c r="A56" s="33" t="str">
        <f>Model!A61</f>
        <v>Churn</v>
      </c>
      <c r="B56" s="55">
        <f>Model!B61</f>
        <v>0</v>
      </c>
      <c r="C56" s="55">
        <f>Model!C61</f>
        <v>9804</v>
      </c>
      <c r="D56" s="55">
        <f>Model!D61</f>
        <v>1728</v>
      </c>
      <c r="E56" s="55">
        <f>Model!E61</f>
        <v>14712</v>
      </c>
      <c r="F56" s="55">
        <f>Model!F61</f>
        <v>0</v>
      </c>
      <c r="G56" s="55">
        <f>Model!G61</f>
        <v>4752</v>
      </c>
      <c r="H56" s="55">
        <f>Model!H61</f>
        <v>1440</v>
      </c>
      <c r="I56" s="56">
        <f>Model!I61</f>
        <v>13584</v>
      </c>
      <c r="J56" s="57">
        <f>Model!J61</f>
        <v>11072</v>
      </c>
      <c r="K56" s="57">
        <f>Model!K61</f>
        <v>11072</v>
      </c>
      <c r="L56" s="57">
        <f>Model!L61</f>
        <v>11072</v>
      </c>
      <c r="M56" s="57">
        <f>Model!M61</f>
        <v>16608</v>
      </c>
      <c r="N56" s="57">
        <f>Model!N61</f>
        <v>16608</v>
      </c>
      <c r="O56" s="57">
        <f>Model!O61</f>
        <v>16608</v>
      </c>
      <c r="P56" s="57">
        <f>Model!P61</f>
        <v>22144</v>
      </c>
      <c r="Q56" s="57">
        <f>Model!Q61</f>
        <v>22144</v>
      </c>
      <c r="R56" s="58"/>
      <c r="S56" s="54">
        <f>Model!S61</f>
        <v>6.2988460531878634E-2</v>
      </c>
      <c r="T56" s="38">
        <f>Model!T61</f>
        <v>0.12246204830937307</v>
      </c>
    </row>
    <row r="57" spans="1:20" hidden="1" outlineLevel="1">
      <c r="A57" s="33" t="str">
        <f>Model!A62</f>
        <v>Churn-Failed</v>
      </c>
      <c r="B57" s="59">
        <f>Model!B62</f>
        <v>0</v>
      </c>
      <c r="C57" s="59">
        <f>Model!C62</f>
        <v>0</v>
      </c>
      <c r="D57" s="59">
        <f>Model!D62</f>
        <v>1440</v>
      </c>
      <c r="E57" s="59">
        <f>Model!E62</f>
        <v>0</v>
      </c>
      <c r="F57" s="59">
        <f>Model!F62</f>
        <v>7380</v>
      </c>
      <c r="G57" s="59">
        <f>Model!G62</f>
        <v>4320</v>
      </c>
      <c r="H57" s="59">
        <f>Model!H62</f>
        <v>17412</v>
      </c>
      <c r="I57" s="60">
        <f>Model!I62</f>
        <v>27996</v>
      </c>
      <c r="J57" s="61">
        <f>Model!J62</f>
        <v>6459.5</v>
      </c>
      <c r="K57" s="61">
        <f>Model!K62</f>
        <v>6459.5</v>
      </c>
      <c r="L57" s="61">
        <f>Model!L62</f>
        <v>6459.5</v>
      </c>
      <c r="M57" s="61">
        <f>Model!M62</f>
        <v>9689.25</v>
      </c>
      <c r="N57" s="61">
        <f>Model!N62</f>
        <v>9689.25</v>
      </c>
      <c r="O57" s="61">
        <f>Model!O62</f>
        <v>9689.25</v>
      </c>
      <c r="P57" s="61">
        <f>Model!P62</f>
        <v>12919</v>
      </c>
      <c r="Q57" s="61">
        <f>Model!Q62</f>
        <v>12919</v>
      </c>
      <c r="R57" s="58"/>
      <c r="S57" s="54">
        <f>Model!S62</f>
        <v>-9.2144739984185667E-2</v>
      </c>
      <c r="T57" s="38">
        <f>Model!T62</f>
        <v>0.12246204830937295</v>
      </c>
    </row>
    <row r="58" spans="1:20" collapsed="1">
      <c r="A58" s="43" t="str">
        <f>Model!A63</f>
        <v>Total Starting ARR</v>
      </c>
      <c r="B58" s="62">
        <f>Model!B63</f>
        <v>0</v>
      </c>
      <c r="C58" s="62">
        <f>Model!C63</f>
        <v>11004</v>
      </c>
      <c r="D58" s="62">
        <f>Model!D63</f>
        <v>89592</v>
      </c>
      <c r="E58" s="62">
        <f>Model!E63</f>
        <v>441192</v>
      </c>
      <c r="F58" s="62">
        <f>Model!F63</f>
        <v>574176</v>
      </c>
      <c r="G58" s="62">
        <f>Model!G63</f>
        <v>594120</v>
      </c>
      <c r="H58" s="62">
        <f>Model!H63</f>
        <v>704832</v>
      </c>
      <c r="I58" s="63">
        <f>Model!I63</f>
        <v>843479</v>
      </c>
      <c r="J58" s="64">
        <f>Model!J63</f>
        <v>1013842.8472036648</v>
      </c>
      <c r="K58" s="64">
        <f>Model!K63</f>
        <v>1165800.2535898886</v>
      </c>
      <c r="L58" s="64">
        <f>Model!L63</f>
        <v>1316081.1875194137</v>
      </c>
      <c r="M58" s="64">
        <f>Model!M63</f>
        <v>1482151.5396525683</v>
      </c>
      <c r="N58" s="64">
        <f>Model!N63</f>
        <v>1643471.2857614937</v>
      </c>
      <c r="O58" s="64">
        <f>Model!O63</f>
        <v>1809172.1489780005</v>
      </c>
      <c r="P58" s="64">
        <f>Model!P63</f>
        <v>1987240.0054853223</v>
      </c>
      <c r="Q58" s="64">
        <f>Model!Q63</f>
        <v>2159965.8289952734</v>
      </c>
      <c r="S58" s="54">
        <f>Model!S63</f>
        <v>0.12472558831409579</v>
      </c>
      <c r="T58" s="38">
        <f>Model!T63</f>
        <v>0.10824842437430501</v>
      </c>
    </row>
    <row r="59" spans="1:20">
      <c r="A59" s="8" t="str">
        <f>Model!A65</f>
        <v>Revenue - Change in ARR</v>
      </c>
      <c r="B59" s="57"/>
      <c r="C59" s="57"/>
      <c r="D59" s="57"/>
      <c r="E59" s="57"/>
      <c r="F59" s="57"/>
      <c r="G59" s="57"/>
      <c r="H59" s="57"/>
      <c r="I59" s="65"/>
      <c r="J59" s="57"/>
      <c r="K59" s="57"/>
      <c r="L59" s="57"/>
      <c r="M59" s="57"/>
      <c r="N59" s="57"/>
      <c r="O59" s="57"/>
      <c r="P59" s="57"/>
      <c r="Q59" s="57"/>
      <c r="S59" s="54">
        <f>Model!S65</f>
        <v>0</v>
      </c>
      <c r="T59" s="38">
        <f>Model!T65</f>
        <v>0</v>
      </c>
    </row>
    <row r="60" spans="1:20" hidden="1" outlineLevel="1">
      <c r="A60" s="33" t="str">
        <f>Model!A66</f>
        <v>New</v>
      </c>
      <c r="B60" s="55">
        <f>Model!B66</f>
        <v>11004</v>
      </c>
      <c r="C60" s="55">
        <f>Model!C66</f>
        <v>81816</v>
      </c>
      <c r="D60" s="55">
        <f>Model!D66</f>
        <v>320772</v>
      </c>
      <c r="E60" s="55">
        <f>Model!E66</f>
        <v>195756</v>
      </c>
      <c r="F60" s="55">
        <f>Model!F66</f>
        <v>80688</v>
      </c>
      <c r="G60" s="55">
        <f>Model!G66</f>
        <v>130092</v>
      </c>
      <c r="H60" s="55">
        <f>Model!H66</f>
        <v>173507</v>
      </c>
      <c r="I60" s="56">
        <f>Model!I66</f>
        <v>177744</v>
      </c>
      <c r="J60" s="57">
        <f>Model!J66</f>
        <v>151986.56279170685</v>
      </c>
      <c r="K60" s="57">
        <f>Model!K66</f>
        <v>156889.35513982642</v>
      </c>
      <c r="L60" s="57">
        <f>Model!L66</f>
        <v>161792.147487946</v>
      </c>
      <c r="M60" s="57">
        <f>Model!M66</f>
        <v>166694.93983606558</v>
      </c>
      <c r="N60" s="57">
        <f>Model!N66</f>
        <v>171597.73218418515</v>
      </c>
      <c r="O60" s="57">
        <f>Model!O66</f>
        <v>176500.52453230473</v>
      </c>
      <c r="P60" s="57">
        <f>Model!P66</f>
        <v>181403.3168804243</v>
      </c>
      <c r="Q60" s="57">
        <f>Model!Q66</f>
        <v>186306.10922854388</v>
      </c>
      <c r="S60" s="54">
        <f>Model!S66</f>
        <v>5.8981706956901933E-3</v>
      </c>
      <c r="T60" s="38">
        <f>Model!T66</f>
        <v>2.9055827476684254E-2</v>
      </c>
    </row>
    <row r="61" spans="1:20" hidden="1" outlineLevel="1">
      <c r="A61" s="33" t="str">
        <f>Model!A67</f>
        <v>Legacy to New Team</v>
      </c>
      <c r="B61" s="55">
        <f>Model!B67</f>
        <v>0</v>
      </c>
      <c r="C61" s="55">
        <f>Model!C67</f>
        <v>3456</v>
      </c>
      <c r="D61" s="55">
        <f>Model!D67</f>
        <v>38232</v>
      </c>
      <c r="E61" s="55">
        <f>Model!E67</f>
        <v>18960</v>
      </c>
      <c r="F61" s="55">
        <f>Model!F67</f>
        <v>20220</v>
      </c>
      <c r="G61" s="55">
        <f>Model!G67</f>
        <v>3888</v>
      </c>
      <c r="H61" s="55">
        <f>Model!H67</f>
        <v>1440</v>
      </c>
      <c r="I61" s="56">
        <f>Model!I67</f>
        <v>0</v>
      </c>
      <c r="J61" s="57">
        <f>Model!J67</f>
        <v>7428</v>
      </c>
      <c r="K61" s="57">
        <f>Model!K67</f>
        <v>7428</v>
      </c>
      <c r="L61" s="57">
        <f>Model!L67</f>
        <v>7428</v>
      </c>
      <c r="M61" s="57">
        <f>Model!M67</f>
        <v>7428</v>
      </c>
      <c r="N61" s="57">
        <f>Model!N67</f>
        <v>7428</v>
      </c>
      <c r="O61" s="57">
        <f>Model!O67</f>
        <v>7428</v>
      </c>
      <c r="P61" s="57">
        <f>Model!P67</f>
        <v>7428</v>
      </c>
      <c r="Q61" s="57">
        <f>Model!Q67</f>
        <v>7428</v>
      </c>
      <c r="S61" s="54" t="str">
        <f>Model!S67</f>
        <v>N/A</v>
      </c>
      <c r="T61" s="38">
        <f>Model!T67</f>
        <v>8.3301817192639735E-15</v>
      </c>
    </row>
    <row r="62" spans="1:20" hidden="1" outlineLevel="1">
      <c r="A62" s="33" t="str">
        <f>Model!A68</f>
        <v>No Change</v>
      </c>
      <c r="B62" s="55">
        <f>Model!B68</f>
        <v>0</v>
      </c>
      <c r="C62" s="55">
        <f>Model!C68</f>
        <v>0</v>
      </c>
      <c r="D62" s="55">
        <f>Model!D68</f>
        <v>0</v>
      </c>
      <c r="E62" s="55">
        <f>Model!E68</f>
        <v>0</v>
      </c>
      <c r="F62" s="55">
        <f>Model!F68</f>
        <v>0</v>
      </c>
      <c r="G62" s="55">
        <f>Model!G68</f>
        <v>0</v>
      </c>
      <c r="H62" s="55">
        <f>Model!H68</f>
        <v>0</v>
      </c>
      <c r="I62" s="56">
        <f>Model!I68</f>
        <v>0</v>
      </c>
      <c r="J62" s="58">
        <f>Model!J68</f>
        <v>0</v>
      </c>
      <c r="K62" s="58">
        <f>Model!K68</f>
        <v>0</v>
      </c>
      <c r="L62" s="58">
        <f>Model!L68</f>
        <v>0</v>
      </c>
      <c r="M62" s="58">
        <f>Model!M68</f>
        <v>0</v>
      </c>
      <c r="N62" s="58">
        <f>Model!N68</f>
        <v>0</v>
      </c>
      <c r="O62" s="58">
        <f>Model!O68</f>
        <v>0</v>
      </c>
      <c r="P62" s="58">
        <f>Model!P68</f>
        <v>0</v>
      </c>
      <c r="Q62" s="58">
        <f>Model!Q68</f>
        <v>0</v>
      </c>
      <c r="S62" s="54" t="str">
        <f>Model!S68</f>
        <v>N/A</v>
      </c>
      <c r="T62" s="38" t="str">
        <f>Model!T68</f>
        <v>N/A</v>
      </c>
    </row>
    <row r="63" spans="1:20" hidden="1" outlineLevel="1">
      <c r="A63" s="33" t="str">
        <f>Model!A69</f>
        <v>Expansion</v>
      </c>
      <c r="B63" s="55">
        <f>Model!B69</f>
        <v>0</v>
      </c>
      <c r="C63" s="55">
        <f>Model!C69</f>
        <v>0</v>
      </c>
      <c r="D63" s="55">
        <f>Model!D69</f>
        <v>16200</v>
      </c>
      <c r="E63" s="55">
        <f>Model!E69</f>
        <v>82008</v>
      </c>
      <c r="F63" s="55">
        <f>Model!F69</f>
        <v>73272</v>
      </c>
      <c r="G63" s="55">
        <f>Model!G69</f>
        <v>98016</v>
      </c>
      <c r="H63" s="55">
        <f>Model!H69</f>
        <v>68712</v>
      </c>
      <c r="I63" s="56">
        <f>Model!I69</f>
        <v>112333</v>
      </c>
      <c r="J63" s="57">
        <f>Model!J69</f>
        <v>152296.03184589802</v>
      </c>
      <c r="K63" s="57">
        <f>Model!K69</f>
        <v>176575.10938654843</v>
      </c>
      <c r="L63" s="57">
        <f>Model!L69</f>
        <v>200854.18692719884</v>
      </c>
      <c r="M63" s="57">
        <f>Model!M69</f>
        <v>225133.26446784925</v>
      </c>
      <c r="N63" s="57">
        <f>Model!N69</f>
        <v>247205.1531411678</v>
      </c>
      <c r="O63" s="57">
        <f>Model!O69</f>
        <v>271484.23068181821</v>
      </c>
      <c r="P63" s="57">
        <f>Model!P69</f>
        <v>295763.30822246859</v>
      </c>
      <c r="Q63" s="57">
        <f>Model!Q69</f>
        <v>320042.38576311903</v>
      </c>
      <c r="S63" s="54">
        <f>Model!S69</f>
        <v>0.1398232665276592</v>
      </c>
      <c r="T63" s="38">
        <f>Model!T69</f>
        <v>0.1041964228652114</v>
      </c>
    </row>
    <row r="64" spans="1:20" hidden="1" outlineLevel="1">
      <c r="A64" s="33" t="str">
        <f>Model!A70</f>
        <v>Contraction</v>
      </c>
      <c r="B64" s="55">
        <f>Model!B70</f>
        <v>0</v>
      </c>
      <c r="C64" s="55">
        <f>Model!C70</f>
        <v>0</v>
      </c>
      <c r="D64" s="55">
        <f>Model!D70</f>
        <v>-8976</v>
      </c>
      <c r="E64" s="55">
        <f>Model!E70</f>
        <v>-143112</v>
      </c>
      <c r="F64" s="55">
        <f>Model!F70</f>
        <v>-118032</v>
      </c>
      <c r="G64" s="55">
        <f>Model!G70</f>
        <v>-54744</v>
      </c>
      <c r="H64" s="55">
        <f>Model!H70</f>
        <v>-43704</v>
      </c>
      <c r="I64" s="56">
        <f>Model!I70</f>
        <v>-45444</v>
      </c>
      <c r="J64" s="57">
        <f>Model!J70</f>
        <v>-112013.25270554873</v>
      </c>
      <c r="K64" s="57">
        <f>Model!K70</f>
        <v>-128815.24061138104</v>
      </c>
      <c r="L64" s="57">
        <f>Model!L70</f>
        <v>-142816.89719957463</v>
      </c>
      <c r="M64" s="57">
        <f>Model!M70</f>
        <v>-159618.88510540695</v>
      </c>
      <c r="N64" s="57">
        <f>Model!N70</f>
        <v>-173620.54169360053</v>
      </c>
      <c r="O64" s="57">
        <f>Model!O70</f>
        <v>-190422.52959943283</v>
      </c>
      <c r="P64" s="57">
        <f>Model!P70</f>
        <v>-207224.51750526516</v>
      </c>
      <c r="Q64" s="57">
        <f>Model!Q70</f>
        <v>-221226.17409345874</v>
      </c>
      <c r="S64" s="54">
        <f>Model!S70</f>
        <v>0.21876505851543424</v>
      </c>
      <c r="T64" s="38">
        <f>Model!T70</f>
        <v>9.4321360821255293E-2</v>
      </c>
    </row>
    <row r="65" spans="1:20" hidden="1" outlineLevel="1">
      <c r="A65" s="33" t="str">
        <f>Model!A71</f>
        <v>Old Team to New Team</v>
      </c>
      <c r="B65" s="55">
        <f>Model!B71</f>
        <v>0</v>
      </c>
      <c r="C65" s="55">
        <f>Model!C71</f>
        <v>0</v>
      </c>
      <c r="D65" s="55">
        <f>Model!D71</f>
        <v>0</v>
      </c>
      <c r="E65" s="55">
        <f>Model!E71</f>
        <v>1200</v>
      </c>
      <c r="F65" s="55">
        <f>Model!F71</f>
        <v>0</v>
      </c>
      <c r="G65" s="55">
        <f>Model!G71</f>
        <v>3840</v>
      </c>
      <c r="H65" s="55">
        <f>Model!H71</f>
        <v>0</v>
      </c>
      <c r="I65" s="56">
        <f>Model!I71</f>
        <v>1440</v>
      </c>
      <c r="J65" s="57">
        <f>Model!J71</f>
        <v>1360</v>
      </c>
      <c r="K65" s="57">
        <f>Model!K71</f>
        <v>1360</v>
      </c>
      <c r="L65" s="57">
        <f>Model!L71</f>
        <v>1360</v>
      </c>
      <c r="M65" s="57">
        <f>Model!M71</f>
        <v>1360</v>
      </c>
      <c r="N65" s="57">
        <f>Model!N71</f>
        <v>1360</v>
      </c>
      <c r="O65" s="57">
        <f>Model!O71</f>
        <v>1360</v>
      </c>
      <c r="P65" s="57">
        <f>Model!P71</f>
        <v>1360</v>
      </c>
      <c r="Q65" s="57">
        <f>Model!Q71</f>
        <v>1360</v>
      </c>
      <c r="S65" s="54">
        <f>Model!S71</f>
        <v>-7.1193383138896376E-3</v>
      </c>
      <c r="T65" s="38">
        <f>Model!T71</f>
        <v>8.3593552218294516E-15</v>
      </c>
    </row>
    <row r="66" spans="1:20" hidden="1" outlineLevel="1">
      <c r="A66" s="33" t="str">
        <f>Model!A72</f>
        <v>Churn-Failed Reactivation</v>
      </c>
      <c r="B66" s="55">
        <f>Model!B72</f>
        <v>0</v>
      </c>
      <c r="C66" s="55">
        <f>Model!C72</f>
        <v>0</v>
      </c>
      <c r="D66" s="55">
        <f>Model!D72</f>
        <v>0</v>
      </c>
      <c r="E66" s="55">
        <f>Model!E72</f>
        <v>0</v>
      </c>
      <c r="F66" s="55">
        <f>Model!F72</f>
        <v>0</v>
      </c>
      <c r="G66" s="55">
        <f>Model!G72</f>
        <v>1440</v>
      </c>
      <c r="H66" s="55">
        <f>Model!H72</f>
        <v>2736</v>
      </c>
      <c r="I66" s="56">
        <f>Model!I72</f>
        <v>0</v>
      </c>
      <c r="J66" s="57">
        <f>Model!J72</f>
        <v>10440</v>
      </c>
      <c r="K66" s="57">
        <f>Model!K72</f>
        <v>4176</v>
      </c>
      <c r="L66" s="57">
        <f>Model!L72</f>
        <v>4176</v>
      </c>
      <c r="M66" s="57">
        <f>Model!M72</f>
        <v>4176</v>
      </c>
      <c r="N66" s="57">
        <f>Model!N72</f>
        <v>4176</v>
      </c>
      <c r="O66" s="57">
        <f>Model!O72</f>
        <v>4176</v>
      </c>
      <c r="P66" s="57">
        <f>Model!P72</f>
        <v>4176</v>
      </c>
      <c r="Q66" s="57">
        <f>Model!Q72</f>
        <v>6264</v>
      </c>
      <c r="S66" s="54" t="str">
        <f>Model!S72</f>
        <v>N/A</v>
      </c>
      <c r="T66" s="38">
        <f>Model!T72</f>
        <v>6.9913193933663451E-2</v>
      </c>
    </row>
    <row r="67" spans="1:20" hidden="1" outlineLevel="1">
      <c r="A67" s="33" t="str">
        <f>Model!A73</f>
        <v>Churn</v>
      </c>
      <c r="B67" s="55">
        <f>Model!B73</f>
        <v>0</v>
      </c>
      <c r="C67" s="55">
        <f>Model!C73</f>
        <v>-9804</v>
      </c>
      <c r="D67" s="55">
        <f>Model!D73</f>
        <v>-1728</v>
      </c>
      <c r="E67" s="55">
        <f>Model!E73</f>
        <v>-14712</v>
      </c>
      <c r="F67" s="55">
        <f>Model!F73</f>
        <v>0</v>
      </c>
      <c r="G67" s="55">
        <f>Model!G73</f>
        <v>-4752</v>
      </c>
      <c r="H67" s="55">
        <f>Model!H73</f>
        <v>-1440</v>
      </c>
      <c r="I67" s="56">
        <f>Model!I73</f>
        <v>-13584</v>
      </c>
      <c r="J67" s="57">
        <f>Model!J73</f>
        <v>-11072</v>
      </c>
      <c r="K67" s="57">
        <f>Model!K73</f>
        <v>-11072</v>
      </c>
      <c r="L67" s="57">
        <f>Model!L73</f>
        <v>-11072</v>
      </c>
      <c r="M67" s="57">
        <f>Model!M73</f>
        <v>-16608</v>
      </c>
      <c r="N67" s="57">
        <f>Model!N73</f>
        <v>-16608</v>
      </c>
      <c r="O67" s="57">
        <f>Model!O73</f>
        <v>-16608</v>
      </c>
      <c r="P67" s="57">
        <f>Model!P73</f>
        <v>-22144</v>
      </c>
      <c r="Q67" s="57">
        <f>Model!Q73</f>
        <v>-22144</v>
      </c>
      <c r="S67" s="54">
        <f>Model!S73</f>
        <v>6.2988460531797033E-2</v>
      </c>
      <c r="T67" s="38">
        <f>Model!T73</f>
        <v>0.12246204830937299</v>
      </c>
    </row>
    <row r="68" spans="1:20" hidden="1" outlineLevel="1">
      <c r="A68" s="33" t="str">
        <f>Model!A74</f>
        <v>Churn-Failed</v>
      </c>
      <c r="B68" s="59">
        <f>Model!B74</f>
        <v>0</v>
      </c>
      <c r="C68" s="59">
        <f>Model!C74</f>
        <v>0</v>
      </c>
      <c r="D68" s="59">
        <f>Model!D74</f>
        <v>-1440</v>
      </c>
      <c r="E68" s="59">
        <f>Model!E74</f>
        <v>0</v>
      </c>
      <c r="F68" s="59">
        <f>Model!F74</f>
        <v>-7380</v>
      </c>
      <c r="G68" s="59">
        <f>Model!G74</f>
        <v>-4320</v>
      </c>
      <c r="H68" s="59">
        <f>Model!H74</f>
        <v>-17412</v>
      </c>
      <c r="I68" s="60">
        <f>Model!I74</f>
        <v>-27996</v>
      </c>
      <c r="J68" s="61">
        <f>Model!J74</f>
        <v>-6459.5</v>
      </c>
      <c r="K68" s="61">
        <f>Model!K74</f>
        <v>-6459.5</v>
      </c>
      <c r="L68" s="61">
        <f>Model!L74</f>
        <v>-6459.5</v>
      </c>
      <c r="M68" s="61">
        <f>Model!M74</f>
        <v>-9689.25</v>
      </c>
      <c r="N68" s="61">
        <f>Model!N74</f>
        <v>-9689.25</v>
      </c>
      <c r="O68" s="61">
        <f>Model!O74</f>
        <v>-9689.25</v>
      </c>
      <c r="P68" s="61">
        <f>Model!P74</f>
        <v>-12919</v>
      </c>
      <c r="Q68" s="61">
        <f>Model!Q74</f>
        <v>-12919</v>
      </c>
      <c r="S68" s="54">
        <f>Model!S74</f>
        <v>-9.2144739984185695E-2</v>
      </c>
      <c r="T68" s="38">
        <f>Model!T74</f>
        <v>0.12246204830937286</v>
      </c>
    </row>
    <row r="69" spans="1:20" collapsed="1">
      <c r="A69" s="43" t="str">
        <f>Model!A75</f>
        <v>Total Change in ARR</v>
      </c>
      <c r="B69" s="62">
        <f>Model!B75</f>
        <v>11004</v>
      </c>
      <c r="C69" s="62">
        <f>Model!C75</f>
        <v>75468</v>
      </c>
      <c r="D69" s="62">
        <f>Model!D75</f>
        <v>363060</v>
      </c>
      <c r="E69" s="62">
        <f>Model!E75</f>
        <v>140100</v>
      </c>
      <c r="F69" s="62">
        <f>Model!F75</f>
        <v>48768</v>
      </c>
      <c r="G69" s="62">
        <f>Model!G75</f>
        <v>173460</v>
      </c>
      <c r="H69" s="62">
        <f>Model!H75</f>
        <v>183839</v>
      </c>
      <c r="I69" s="63">
        <f>Model!I75</f>
        <v>204493</v>
      </c>
      <c r="J69" s="64">
        <f>Model!J75</f>
        <v>193965.84193205618</v>
      </c>
      <c r="K69" s="64">
        <f>Model!K75</f>
        <v>200081.72391499378</v>
      </c>
      <c r="L69" s="64">
        <f>Model!L75</f>
        <v>215261.93721557024</v>
      </c>
      <c r="M69" s="64">
        <f>Model!M75</f>
        <v>218876.06919850784</v>
      </c>
      <c r="N69" s="64">
        <f>Model!N75</f>
        <v>231849.09363175242</v>
      </c>
      <c r="O69" s="64">
        <f>Model!O75</f>
        <v>244228.97561469011</v>
      </c>
      <c r="P69" s="64">
        <f>Model!P75</f>
        <v>247843.10759762768</v>
      </c>
      <c r="Q69" s="64">
        <f>Model!Q75</f>
        <v>265111.32089820417</v>
      </c>
      <c r="R69" s="64"/>
      <c r="S69" s="54">
        <f>Model!S75</f>
        <v>3.2984317948577681E-2</v>
      </c>
      <c r="T69" s="38">
        <f>Model!T75</f>
        <v>4.8021379170925457E-2</v>
      </c>
    </row>
    <row r="70" spans="1:20" ht="15.95" thickBot="1">
      <c r="A70" s="66" t="str">
        <f>Model!A77</f>
        <v>Revenue - Ending ARR</v>
      </c>
      <c r="B70" s="57"/>
      <c r="C70" s="57"/>
      <c r="D70" s="57"/>
      <c r="E70" s="57"/>
      <c r="F70" s="57"/>
      <c r="G70" s="57"/>
      <c r="H70" s="57"/>
      <c r="I70" s="65"/>
      <c r="J70" s="57"/>
      <c r="K70" s="57"/>
      <c r="L70" s="57"/>
      <c r="M70" s="57"/>
      <c r="N70" s="57"/>
      <c r="O70" s="57"/>
      <c r="P70" s="57"/>
      <c r="Q70" s="57"/>
      <c r="S70" s="54"/>
      <c r="T70" s="38"/>
    </row>
    <row r="71" spans="1:20" hidden="1" outlineLevel="1">
      <c r="A71" s="33" t="str">
        <f>Model!A78</f>
        <v>New</v>
      </c>
      <c r="B71" s="55">
        <f>Model!B78</f>
        <v>11004</v>
      </c>
      <c r="C71" s="55">
        <f>Model!C78</f>
        <v>81816</v>
      </c>
      <c r="D71" s="55">
        <f>Model!D78</f>
        <v>320772</v>
      </c>
      <c r="E71" s="55">
        <f>Model!E78</f>
        <v>195756</v>
      </c>
      <c r="F71" s="55">
        <f>Model!F78</f>
        <v>80688</v>
      </c>
      <c r="G71" s="55">
        <f>Model!G78</f>
        <v>130092</v>
      </c>
      <c r="H71" s="55">
        <f>Model!H78</f>
        <v>173507</v>
      </c>
      <c r="I71" s="56">
        <f>Model!I78</f>
        <v>177744</v>
      </c>
      <c r="J71" s="57">
        <f>Model!J78</f>
        <v>151986.56279170685</v>
      </c>
      <c r="K71" s="57">
        <f>Model!K78</f>
        <v>156889.35513982642</v>
      </c>
      <c r="L71" s="57">
        <f>Model!L78</f>
        <v>161792.147487946</v>
      </c>
      <c r="M71" s="57">
        <f>Model!M78</f>
        <v>166694.93983606558</v>
      </c>
      <c r="N71" s="57">
        <f>Model!N78</f>
        <v>171597.73218418515</v>
      </c>
      <c r="O71" s="57">
        <f>Model!O78</f>
        <v>176500.52453230473</v>
      </c>
      <c r="P71" s="57">
        <f>Model!P78</f>
        <v>181403.3168804243</v>
      </c>
      <c r="Q71" s="57">
        <f>Model!Q78</f>
        <v>186306.10922854388</v>
      </c>
      <c r="S71" s="54">
        <f>Model!S78</f>
        <v>5.8981706956901933E-3</v>
      </c>
      <c r="T71" s="38">
        <f>Model!T78</f>
        <v>2.9055827476684254E-2</v>
      </c>
    </row>
    <row r="72" spans="1:20" hidden="1" outlineLevel="1">
      <c r="A72" s="33" t="str">
        <f>Model!A79</f>
        <v>Legacy to New Team</v>
      </c>
      <c r="B72" s="55">
        <f>Model!B79</f>
        <v>0</v>
      </c>
      <c r="C72" s="55">
        <f>Model!C79</f>
        <v>3456</v>
      </c>
      <c r="D72" s="55">
        <f>Model!D79</f>
        <v>38232</v>
      </c>
      <c r="E72" s="55">
        <f>Model!E79</f>
        <v>18960</v>
      </c>
      <c r="F72" s="55">
        <f>Model!F79</f>
        <v>20220</v>
      </c>
      <c r="G72" s="55">
        <f>Model!G79</f>
        <v>3888</v>
      </c>
      <c r="H72" s="55">
        <f>Model!H79</f>
        <v>1440</v>
      </c>
      <c r="I72" s="56">
        <f>Model!I79</f>
        <v>0</v>
      </c>
      <c r="J72" s="57">
        <f>Model!J79</f>
        <v>7428</v>
      </c>
      <c r="K72" s="57">
        <f>Model!K79</f>
        <v>7428</v>
      </c>
      <c r="L72" s="57">
        <f>Model!L79</f>
        <v>7428</v>
      </c>
      <c r="M72" s="57">
        <f>Model!M79</f>
        <v>7428</v>
      </c>
      <c r="N72" s="57">
        <f>Model!N79</f>
        <v>7428</v>
      </c>
      <c r="O72" s="57">
        <f>Model!O79</f>
        <v>7428</v>
      </c>
      <c r="P72" s="57">
        <f>Model!P79</f>
        <v>7428</v>
      </c>
      <c r="Q72" s="57">
        <f>Model!Q79</f>
        <v>7428</v>
      </c>
      <c r="S72" s="54" t="str">
        <f>Model!S79</f>
        <v>N/A</v>
      </c>
      <c r="T72" s="38">
        <f>Model!T79</f>
        <v>8.3301817192639735E-15</v>
      </c>
    </row>
    <row r="73" spans="1:20" hidden="1" outlineLevel="1">
      <c r="A73" s="33" t="str">
        <f>Model!A80</f>
        <v>No Change</v>
      </c>
      <c r="B73" s="55">
        <f>Model!B80</f>
        <v>0</v>
      </c>
      <c r="C73" s="55">
        <f>Model!C80</f>
        <v>1200</v>
      </c>
      <c r="D73" s="55">
        <f>Model!D80</f>
        <v>29520</v>
      </c>
      <c r="E73" s="55">
        <f>Model!E80</f>
        <v>94128</v>
      </c>
      <c r="F73" s="55">
        <f>Model!F80</f>
        <v>187908</v>
      </c>
      <c r="G73" s="55">
        <f>Model!G80</f>
        <v>241536</v>
      </c>
      <c r="H73" s="55">
        <f>Model!H80</f>
        <v>277992</v>
      </c>
      <c r="I73" s="56">
        <f>Model!I80</f>
        <v>332340</v>
      </c>
      <c r="J73" s="57">
        <f>Model!J80</f>
        <v>412912.4903880239</v>
      </c>
      <c r="K73" s="57">
        <f>Model!K80</f>
        <v>475889.90330211597</v>
      </c>
      <c r="L73" s="57">
        <f>Model!L80</f>
        <v>538172.51692570001</v>
      </c>
      <c r="M73" s="57">
        <f>Model!M80</f>
        <v>603366.0281695507</v>
      </c>
      <c r="N73" s="57">
        <f>Model!N80</f>
        <v>670223.58058181254</v>
      </c>
      <c r="O73" s="57">
        <f>Model!O80</f>
        <v>738896.84851377632</v>
      </c>
      <c r="P73" s="57">
        <f>Model!P80</f>
        <v>809062.62010925566</v>
      </c>
      <c r="Q73" s="57">
        <f>Model!Q80</f>
        <v>880647.32115676568</v>
      </c>
      <c r="S73" s="54">
        <f>Model!S80</f>
        <v>0.12954210750007997</v>
      </c>
      <c r="T73" s="38">
        <f>Model!T80</f>
        <v>0.10802422251782055</v>
      </c>
    </row>
    <row r="74" spans="1:20" hidden="1" outlineLevel="1">
      <c r="A74" s="33" t="str">
        <f>Model!A81</f>
        <v>Expansion</v>
      </c>
      <c r="B74" s="55">
        <f>Model!B81</f>
        <v>0</v>
      </c>
      <c r="C74" s="55">
        <f>Model!C81</f>
        <v>0</v>
      </c>
      <c r="D74" s="55">
        <f>Model!D81</f>
        <v>41868</v>
      </c>
      <c r="E74" s="55">
        <f>Model!E81</f>
        <v>168648</v>
      </c>
      <c r="F74" s="55">
        <f>Model!F81</f>
        <v>224688</v>
      </c>
      <c r="G74" s="55">
        <f>Model!G81</f>
        <v>322308</v>
      </c>
      <c r="H74" s="55">
        <f>Model!H81</f>
        <v>253584</v>
      </c>
      <c r="I74" s="56">
        <f>Model!I81</f>
        <v>414060</v>
      </c>
      <c r="J74" s="57">
        <f>Model!J81</f>
        <v>527173.70828360424</v>
      </c>
      <c r="K74" s="57">
        <f>Model!K81</f>
        <v>608629.12892568775</v>
      </c>
      <c r="L74" s="57">
        <f>Model!L81</f>
        <v>689453.75067047589</v>
      </c>
      <c r="M74" s="57">
        <f>Model!M81</f>
        <v>772921.13707275398</v>
      </c>
      <c r="N74" s="57">
        <f>Model!N81</f>
        <v>855692.09512289905</v>
      </c>
      <c r="O74" s="57">
        <f>Model!O81</f>
        <v>942318.70565177721</v>
      </c>
      <c r="P74" s="57">
        <f>Model!P81</f>
        <v>1030300.3401106114</v>
      </c>
      <c r="Q74" s="57">
        <f>Model!Q81</f>
        <v>1119570.2014659157</v>
      </c>
      <c r="S74" s="54">
        <f>Model!S81</f>
        <v>0.13239646932982702</v>
      </c>
      <c r="T74" s="38">
        <f>Model!T81</f>
        <v>0.10692050569482438</v>
      </c>
    </row>
    <row r="75" spans="1:20" hidden="1" outlineLevel="1">
      <c r="A75" s="33" t="str">
        <f>Model!A82</f>
        <v>Contraction</v>
      </c>
      <c r="B75" s="55">
        <f>Model!B82</f>
        <v>0</v>
      </c>
      <c r="C75" s="55">
        <f>Model!C82</f>
        <v>0</v>
      </c>
      <c r="D75" s="55">
        <f>Model!D82</f>
        <v>22260</v>
      </c>
      <c r="E75" s="55">
        <f>Model!E82</f>
        <v>102600</v>
      </c>
      <c r="F75" s="55">
        <f>Model!F82</f>
        <v>109440</v>
      </c>
      <c r="G75" s="55">
        <f>Model!G82</f>
        <v>64476</v>
      </c>
      <c r="H75" s="55">
        <f>Model!H82</f>
        <v>179412</v>
      </c>
      <c r="I75" s="56">
        <f>Model!I82</f>
        <v>122388</v>
      </c>
      <c r="J75" s="57">
        <f>Model!J82</f>
        <v>96507.927672386009</v>
      </c>
      <c r="K75" s="57">
        <f>Model!K82</f>
        <v>111509.59013725209</v>
      </c>
      <c r="L75" s="57">
        <f>Model!L82</f>
        <v>128960.70965086197</v>
      </c>
      <c r="M75" s="57">
        <f>Model!M82</f>
        <v>145081.50377270594</v>
      </c>
      <c r="N75" s="57">
        <f>Model!N82</f>
        <v>164842.97150434967</v>
      </c>
      <c r="O75" s="57">
        <f>Model!O82</f>
        <v>182721.04589483241</v>
      </c>
      <c r="P75" s="57">
        <f>Model!P82</f>
        <v>201352.83598265864</v>
      </c>
      <c r="Q75" s="57">
        <f>Model!Q82</f>
        <v>223501.51804225263</v>
      </c>
      <c r="S75" s="54">
        <f>Model!S82</f>
        <v>7.8183558630118541E-2</v>
      </c>
      <c r="T75" s="38">
        <f>Model!T82</f>
        <v>0.12286628752717063</v>
      </c>
    </row>
    <row r="76" spans="1:20" hidden="1" outlineLevel="1">
      <c r="A76" s="33" t="str">
        <f>Model!A83</f>
        <v>Old Team to New Team</v>
      </c>
      <c r="B76" s="55">
        <f>Model!B83</f>
        <v>0</v>
      </c>
      <c r="C76" s="55">
        <f>Model!C83</f>
        <v>0</v>
      </c>
      <c r="D76" s="55">
        <f>Model!D83</f>
        <v>0</v>
      </c>
      <c r="E76" s="55">
        <f>Model!E83</f>
        <v>1200</v>
      </c>
      <c r="F76" s="55">
        <f>Model!F83</f>
        <v>0</v>
      </c>
      <c r="G76" s="55">
        <f>Model!G83</f>
        <v>3840</v>
      </c>
      <c r="H76" s="55">
        <f>Model!H83</f>
        <v>0</v>
      </c>
      <c r="I76" s="56">
        <f>Model!I83</f>
        <v>1440</v>
      </c>
      <c r="J76" s="57">
        <f>Model!J83</f>
        <v>1360</v>
      </c>
      <c r="K76" s="57">
        <f>Model!K83</f>
        <v>1360</v>
      </c>
      <c r="L76" s="57">
        <f>Model!L83</f>
        <v>1360</v>
      </c>
      <c r="M76" s="57">
        <f>Model!M83</f>
        <v>1360</v>
      </c>
      <c r="N76" s="57">
        <f>Model!N83</f>
        <v>1360</v>
      </c>
      <c r="O76" s="57">
        <f>Model!O83</f>
        <v>1360</v>
      </c>
      <c r="P76" s="57">
        <f>Model!P83</f>
        <v>1360</v>
      </c>
      <c r="Q76" s="57">
        <f>Model!Q83</f>
        <v>1360</v>
      </c>
      <c r="S76" s="54">
        <f>Model!S83</f>
        <v>-7.1193383138896376E-3</v>
      </c>
      <c r="T76" s="38">
        <f>Model!T83</f>
        <v>8.3593552218294516E-15</v>
      </c>
    </row>
    <row r="77" spans="1:20" hidden="1" outlineLevel="1">
      <c r="A77" s="33" t="str">
        <f>Model!A84</f>
        <v>Churn-Failed Reactivation</v>
      </c>
      <c r="B77" s="55">
        <f>Model!B84</f>
        <v>0</v>
      </c>
      <c r="C77" s="55">
        <f>Model!C84</f>
        <v>0</v>
      </c>
      <c r="D77" s="55">
        <f>Model!D84</f>
        <v>0</v>
      </c>
      <c r="E77" s="55">
        <f>Model!E84</f>
        <v>0</v>
      </c>
      <c r="F77" s="55">
        <f>Model!F84</f>
        <v>0</v>
      </c>
      <c r="G77" s="55">
        <f>Model!G84</f>
        <v>1440</v>
      </c>
      <c r="H77" s="55">
        <f>Model!H84</f>
        <v>2736</v>
      </c>
      <c r="I77" s="56">
        <f>Model!I84</f>
        <v>0</v>
      </c>
      <c r="J77" s="57">
        <f>Model!J84</f>
        <v>10440</v>
      </c>
      <c r="K77" s="57">
        <f>Model!K84</f>
        <v>4176</v>
      </c>
      <c r="L77" s="57">
        <f>Model!L84</f>
        <v>4176</v>
      </c>
      <c r="M77" s="57">
        <f>Model!M84</f>
        <v>4176</v>
      </c>
      <c r="N77" s="57">
        <f>Model!N84</f>
        <v>4176</v>
      </c>
      <c r="O77" s="57">
        <f>Model!O84</f>
        <v>4176</v>
      </c>
      <c r="P77" s="57">
        <f>Model!P84</f>
        <v>4176</v>
      </c>
      <c r="Q77" s="57">
        <f>Model!Q84</f>
        <v>6264</v>
      </c>
      <c r="S77" s="54" t="str">
        <f>Model!S84</f>
        <v>N/A</v>
      </c>
      <c r="T77" s="38">
        <f>Model!T84</f>
        <v>6.9913193933663451E-2</v>
      </c>
    </row>
    <row r="78" spans="1:20" hidden="1" outlineLevel="1">
      <c r="A78" s="33" t="str">
        <f>Model!A85</f>
        <v>Churn</v>
      </c>
      <c r="B78" s="55">
        <f>Model!B85</f>
        <v>0</v>
      </c>
      <c r="C78" s="55">
        <f>Model!C85</f>
        <v>0</v>
      </c>
      <c r="D78" s="55">
        <f>Model!D85</f>
        <v>0</v>
      </c>
      <c r="E78" s="55">
        <f>Model!E85</f>
        <v>0</v>
      </c>
      <c r="F78" s="55">
        <f>Model!F85</f>
        <v>0</v>
      </c>
      <c r="G78" s="55">
        <f>Model!G85</f>
        <v>0</v>
      </c>
      <c r="H78" s="55">
        <f>Model!H85</f>
        <v>0</v>
      </c>
      <c r="I78" s="56">
        <f>Model!I85</f>
        <v>0</v>
      </c>
      <c r="J78" s="57">
        <f>Model!J85</f>
        <v>0</v>
      </c>
      <c r="K78" s="57">
        <f>Model!K85</f>
        <v>0</v>
      </c>
      <c r="L78" s="57">
        <f>Model!L85</f>
        <v>0</v>
      </c>
      <c r="M78" s="57">
        <f>Model!M85</f>
        <v>0</v>
      </c>
      <c r="N78" s="57">
        <f>Model!N85</f>
        <v>0</v>
      </c>
      <c r="O78" s="57">
        <f>Model!O85</f>
        <v>0</v>
      </c>
      <c r="P78" s="57">
        <f>Model!P85</f>
        <v>0</v>
      </c>
      <c r="Q78" s="57">
        <f>Model!Q85</f>
        <v>0</v>
      </c>
      <c r="S78" s="54" t="str">
        <f>Model!S85</f>
        <v>N/A</v>
      </c>
      <c r="T78" s="38" t="str">
        <f>Model!T85</f>
        <v>N/A</v>
      </c>
    </row>
    <row r="79" spans="1:20" ht="15.95" hidden="1" outlineLevel="1" thickBot="1">
      <c r="A79" s="33" t="str">
        <f>Model!A86</f>
        <v>Churn-Failed</v>
      </c>
      <c r="B79" s="59">
        <f>Model!B86</f>
        <v>0</v>
      </c>
      <c r="C79" s="59">
        <f>Model!C86</f>
        <v>0</v>
      </c>
      <c r="D79" s="59">
        <f>Model!D86</f>
        <v>0</v>
      </c>
      <c r="E79" s="59">
        <f>Model!E86</f>
        <v>0</v>
      </c>
      <c r="F79" s="59">
        <f>Model!F86</f>
        <v>0</v>
      </c>
      <c r="G79" s="59">
        <f>Model!G86</f>
        <v>0</v>
      </c>
      <c r="H79" s="59">
        <f>Model!H86</f>
        <v>0</v>
      </c>
      <c r="I79" s="60">
        <f>Model!I86</f>
        <v>0</v>
      </c>
      <c r="J79" s="61">
        <f>Model!J86</f>
        <v>0</v>
      </c>
      <c r="K79" s="61">
        <f>Model!K86</f>
        <v>0</v>
      </c>
      <c r="L79" s="61">
        <f>Model!L86</f>
        <v>0</v>
      </c>
      <c r="M79" s="61">
        <f>Model!M86</f>
        <v>0</v>
      </c>
      <c r="N79" s="61">
        <f>Model!N86</f>
        <v>0</v>
      </c>
      <c r="O79" s="61">
        <f>Model!O86</f>
        <v>0</v>
      </c>
      <c r="P79" s="61">
        <f>Model!P86</f>
        <v>0</v>
      </c>
      <c r="Q79" s="57">
        <f>Model!Q86</f>
        <v>0</v>
      </c>
      <c r="S79" s="54" t="str">
        <f>Model!S86</f>
        <v>N/A</v>
      </c>
      <c r="T79" s="38" t="str">
        <f>Model!T86</f>
        <v>N/A</v>
      </c>
    </row>
    <row r="80" spans="1:20" ht="15.95" collapsed="1" thickBot="1">
      <c r="A80" s="43" t="str">
        <f>Model!A87</f>
        <v>Total Ending ARR</v>
      </c>
      <c r="B80" s="62">
        <f>Model!B87</f>
        <v>11004</v>
      </c>
      <c r="C80" s="62">
        <f>Model!C87</f>
        <v>86472</v>
      </c>
      <c r="D80" s="62">
        <f>Model!D87</f>
        <v>452652</v>
      </c>
      <c r="E80" s="62">
        <f>Model!E87</f>
        <v>581292</v>
      </c>
      <c r="F80" s="62">
        <f>Model!F87</f>
        <v>622944</v>
      </c>
      <c r="G80" s="62">
        <f>Model!G87</f>
        <v>767580</v>
      </c>
      <c r="H80" s="62">
        <f>Model!H87</f>
        <v>888671</v>
      </c>
      <c r="I80" s="63">
        <f>Model!I87</f>
        <v>1047972</v>
      </c>
      <c r="J80" s="64">
        <f>Model!J87</f>
        <v>1207808.689135721</v>
      </c>
      <c r="K80" s="64">
        <f>Model!K87</f>
        <v>1365881.9775048823</v>
      </c>
      <c r="L80" s="64">
        <f>Model!L87</f>
        <v>1531343.1247349838</v>
      </c>
      <c r="M80" s="64">
        <f>Model!M87</f>
        <v>1701027.6088510763</v>
      </c>
      <c r="N80" s="64">
        <f>Model!N87</f>
        <v>1875320.3793932465</v>
      </c>
      <c r="O80" s="64">
        <f>Model!O87</f>
        <v>2053401.1245926907</v>
      </c>
      <c r="P80" s="64">
        <f>Model!P87</f>
        <v>2235083.11308295</v>
      </c>
      <c r="Q80" s="67">
        <f>Model!Q87</f>
        <v>2425077.1498934776</v>
      </c>
      <c r="S80" s="54">
        <f>Model!S87</f>
        <v>0.11057267842171431</v>
      </c>
      <c r="T80" s="38">
        <f>Model!T87</f>
        <v>0.10040375613313357</v>
      </c>
    </row>
    <row r="81" spans="1:21">
      <c r="I81" s="53"/>
      <c r="S81" s="54"/>
      <c r="T81" s="38"/>
    </row>
    <row r="82" spans="1:21">
      <c r="A82" s="27" t="str">
        <f>Model!A122</f>
        <v>Pricing</v>
      </c>
      <c r="B82" s="57"/>
      <c r="I82" s="53"/>
      <c r="S82" s="54"/>
      <c r="T82" s="38"/>
    </row>
    <row r="83" spans="1:21" hidden="1" outlineLevel="1">
      <c r="A83" s="33" t="str">
        <f>Model!A123</f>
        <v>ARR of New Customer</v>
      </c>
      <c r="B83" s="68">
        <f>Model!B123</f>
        <v>5502</v>
      </c>
      <c r="C83" s="68">
        <f>Model!C123</f>
        <v>3146.7692307692309</v>
      </c>
      <c r="D83" s="68">
        <f>Model!D123</f>
        <v>5173.7419354838712</v>
      </c>
      <c r="E83" s="68">
        <f>Model!E123</f>
        <v>2303.0117647058823</v>
      </c>
      <c r="F83" s="68">
        <f>Model!F123</f>
        <v>1582.1176470588234</v>
      </c>
      <c r="G83" s="68">
        <f>Model!G123</f>
        <v>2601.84</v>
      </c>
      <c r="H83" s="68">
        <f>Model!H123</f>
        <v>2844.377049180328</v>
      </c>
      <c r="I83" s="69">
        <f>Model!I123</f>
        <v>2777.25</v>
      </c>
      <c r="J83" s="55">
        <f>Model!J123</f>
        <v>2451.3961740597879</v>
      </c>
      <c r="K83" s="57">
        <f>Model!K123</f>
        <v>2451.3961740597879</v>
      </c>
      <c r="L83" s="57">
        <f>Model!L123</f>
        <v>2451.3961740597879</v>
      </c>
      <c r="M83" s="57">
        <f>Model!M123</f>
        <v>2451.3961740597879</v>
      </c>
      <c r="N83" s="57">
        <f>Model!N123</f>
        <v>2451.3961740597879</v>
      </c>
      <c r="O83" s="57">
        <f>Model!O123</f>
        <v>2451.3961740597879</v>
      </c>
      <c r="P83" s="57">
        <f>Model!P123</f>
        <v>2451.3961740597879</v>
      </c>
      <c r="Q83" s="57">
        <f>Model!Q123</f>
        <v>2451.3961740597879</v>
      </c>
      <c r="S83" s="54">
        <f>Model!S123</f>
        <v>-1.5479381037396251E-2</v>
      </c>
      <c r="T83" s="38">
        <f>Model!T123</f>
        <v>8.4363112688759582E-15</v>
      </c>
    </row>
    <row r="84" spans="1:21" hidden="1" outlineLevel="1">
      <c r="A84" s="33" t="str">
        <f>Model!A124</f>
        <v>ARR of Legacy to New Team</v>
      </c>
      <c r="B84" s="68" t="str">
        <f>Model!B124</f>
        <v>N/A</v>
      </c>
      <c r="C84" s="68">
        <f>Model!C124</f>
        <v>3456</v>
      </c>
      <c r="D84" s="68">
        <f>Model!D124</f>
        <v>9558</v>
      </c>
      <c r="E84" s="68">
        <f>Model!E124</f>
        <v>4740</v>
      </c>
      <c r="F84" s="68">
        <f>Model!F124</f>
        <v>4044</v>
      </c>
      <c r="G84" s="68">
        <f>Model!G124</f>
        <v>1944</v>
      </c>
      <c r="H84" s="68">
        <f>Model!H124</f>
        <v>1440</v>
      </c>
      <c r="I84" s="69" t="str">
        <f>Model!I124</f>
        <v>N/A</v>
      </c>
      <c r="J84" s="55">
        <f>Model!J124</f>
        <v>2476</v>
      </c>
      <c r="K84" s="57">
        <f>Model!K124</f>
        <v>2476</v>
      </c>
      <c r="L84" s="57">
        <f>Model!L124</f>
        <v>2476</v>
      </c>
      <c r="M84" s="57">
        <f>Model!M124</f>
        <v>2476</v>
      </c>
      <c r="N84" s="57">
        <f>Model!N124</f>
        <v>2476</v>
      </c>
      <c r="O84" s="57">
        <f>Model!O124</f>
        <v>2476</v>
      </c>
      <c r="P84" s="57">
        <f>Model!P124</f>
        <v>2476</v>
      </c>
      <c r="Q84" s="57">
        <f>Model!Q124</f>
        <v>2476</v>
      </c>
      <c r="S84" s="54" t="str">
        <f>Model!S124</f>
        <v>N/A</v>
      </c>
      <c r="T84" s="38">
        <f>Model!T124</f>
        <v>8.2550107008891913E-15</v>
      </c>
    </row>
    <row r="85" spans="1:21" hidden="1" outlineLevel="1">
      <c r="A85" s="33" t="str">
        <f>Model!A125</f>
        <v>ARR No Change</v>
      </c>
      <c r="B85" s="68" t="str">
        <f>Model!B125</f>
        <v>N/A</v>
      </c>
      <c r="C85" s="68">
        <f>Model!C125</f>
        <v>0</v>
      </c>
      <c r="D85" s="68">
        <f>Model!D125</f>
        <v>0</v>
      </c>
      <c r="E85" s="68">
        <f>Model!E125</f>
        <v>0</v>
      </c>
      <c r="F85" s="68">
        <f>Model!F125</f>
        <v>0</v>
      </c>
      <c r="G85" s="68">
        <f>Model!G125</f>
        <v>0</v>
      </c>
      <c r="H85" s="68">
        <f>Model!H125</f>
        <v>0</v>
      </c>
      <c r="I85" s="69">
        <f>Model!I125</f>
        <v>0</v>
      </c>
      <c r="J85" s="55">
        <f>Model!J125</f>
        <v>0</v>
      </c>
      <c r="K85" s="57">
        <f>Model!K125</f>
        <v>0</v>
      </c>
      <c r="L85" s="57">
        <f>Model!L125</f>
        <v>0</v>
      </c>
      <c r="M85" s="57">
        <f>Model!M125</f>
        <v>0</v>
      </c>
      <c r="N85" s="57">
        <f>Model!N125</f>
        <v>0</v>
      </c>
      <c r="O85" s="57">
        <f>Model!O125</f>
        <v>0</v>
      </c>
      <c r="P85" s="57">
        <f>Model!P125</f>
        <v>0</v>
      </c>
      <c r="Q85" s="57">
        <f>Model!Q125</f>
        <v>0</v>
      </c>
      <c r="S85" s="54" t="str">
        <f>Model!S125</f>
        <v>N/A</v>
      </c>
      <c r="T85" s="38" t="str">
        <f>Model!T125</f>
        <v>N/A</v>
      </c>
    </row>
    <row r="86" spans="1:21" hidden="1" outlineLevel="1">
      <c r="A86" s="33" t="str">
        <f>Model!A126</f>
        <v>Increase in ARR of Expansion</v>
      </c>
      <c r="B86" s="68" t="str">
        <f>Model!B126</f>
        <v>N/A</v>
      </c>
      <c r="C86" s="68" t="str">
        <f>Model!C126</f>
        <v>N/A</v>
      </c>
      <c r="D86" s="68">
        <f>Model!D126</f>
        <v>3240</v>
      </c>
      <c r="E86" s="68">
        <f>Model!E126</f>
        <v>5857.7142857142853</v>
      </c>
      <c r="F86" s="68">
        <f>Model!F126</f>
        <v>3053</v>
      </c>
      <c r="G86" s="68">
        <f>Model!G126</f>
        <v>2227.6363636363635</v>
      </c>
      <c r="H86" s="68">
        <f>Model!H126</f>
        <v>1675.9024390243903</v>
      </c>
      <c r="I86" s="69">
        <f>Model!I126</f>
        <v>1872.2166666666667</v>
      </c>
      <c r="J86" s="55">
        <f>Model!J126</f>
        <v>2207.1888673318554</v>
      </c>
      <c r="K86" s="57">
        <f>Model!K126</f>
        <v>2207.1888673318554</v>
      </c>
      <c r="L86" s="57">
        <f>Model!L126</f>
        <v>2207.1888673318554</v>
      </c>
      <c r="M86" s="57">
        <f>Model!M126</f>
        <v>2207.1888673318554</v>
      </c>
      <c r="N86" s="57">
        <f>Model!N126</f>
        <v>2207.1888673318554</v>
      </c>
      <c r="O86" s="57">
        <f>Model!O126</f>
        <v>2207.1888673318554</v>
      </c>
      <c r="P86" s="57">
        <f>Model!P126</f>
        <v>2207.1888673318554</v>
      </c>
      <c r="Q86" s="57">
        <f>Model!Q126</f>
        <v>2207.1888673318554</v>
      </c>
      <c r="S86" s="54">
        <f>Model!S126</f>
        <v>2.0787689117259398E-2</v>
      </c>
      <c r="T86" s="38">
        <f>Model!T126</f>
        <v>8.3407736394151056E-15</v>
      </c>
    </row>
    <row r="87" spans="1:21" hidden="1" outlineLevel="1">
      <c r="A87" s="33" t="str">
        <f>Model!A127</f>
        <v>Decrease in ARR of Contraction</v>
      </c>
      <c r="B87" s="68" t="str">
        <f>Model!B127</f>
        <v>N/A</v>
      </c>
      <c r="C87" s="68" t="str">
        <f>Model!C127</f>
        <v>N/A</v>
      </c>
      <c r="D87" s="68">
        <f>Model!D127</f>
        <v>-4488</v>
      </c>
      <c r="E87" s="68">
        <f>Model!E127</f>
        <v>-10222.285714285714</v>
      </c>
      <c r="F87" s="68">
        <f>Model!F127</f>
        <v>-4539.6923076923076</v>
      </c>
      <c r="G87" s="68">
        <f>Model!G127</f>
        <v>-3910.2857142857142</v>
      </c>
      <c r="H87" s="68">
        <f>Model!H127</f>
        <v>-1285.4117647058824</v>
      </c>
      <c r="I87" s="69">
        <f>Model!I127</f>
        <v>-1465.9354838709678</v>
      </c>
      <c r="J87" s="55">
        <f>Model!J127</f>
        <v>-2800.3313176387182</v>
      </c>
      <c r="K87" s="57">
        <f>Model!K127</f>
        <v>-2800.3313176387182</v>
      </c>
      <c r="L87" s="57">
        <f>Model!L127</f>
        <v>-2800.3313176387182</v>
      </c>
      <c r="M87" s="57">
        <f>Model!M127</f>
        <v>-2800.3313176387182</v>
      </c>
      <c r="N87" s="57">
        <f>Model!N127</f>
        <v>-2800.3313176387182</v>
      </c>
      <c r="O87" s="57">
        <f>Model!O127</f>
        <v>-2800.3313176387182</v>
      </c>
      <c r="P87" s="57">
        <f>Model!P127</f>
        <v>-2800.3313176387182</v>
      </c>
      <c r="Q87" s="57">
        <f>Model!Q127</f>
        <v>-2800.3313176387182</v>
      </c>
      <c r="S87" s="54">
        <f>Model!S127</f>
        <v>8.426844783308779E-2</v>
      </c>
      <c r="T87" s="38">
        <f>Model!T127</f>
        <v>6.6320872014345867E-15</v>
      </c>
    </row>
    <row r="88" spans="1:21" hidden="1" outlineLevel="1">
      <c r="A88" s="33" t="str">
        <f>Model!A128</f>
        <v>Increase in ARR Old Team to New Team</v>
      </c>
      <c r="B88" s="68" t="str">
        <f>Model!B128</f>
        <v>N/A</v>
      </c>
      <c r="C88" s="68" t="str">
        <f>Model!C128</f>
        <v>N/A</v>
      </c>
      <c r="D88" s="68" t="str">
        <f>Model!D128</f>
        <v>N/A</v>
      </c>
      <c r="E88" s="68">
        <f>Model!E128</f>
        <v>1200</v>
      </c>
      <c r="F88" s="68" t="str">
        <f>Model!F128</f>
        <v>N/A</v>
      </c>
      <c r="G88" s="68">
        <f>Model!G128</f>
        <v>1280</v>
      </c>
      <c r="H88" s="68" t="str">
        <f>Model!H128</f>
        <v>N/A</v>
      </c>
      <c r="I88" s="69">
        <f>Model!I128</f>
        <v>1440</v>
      </c>
      <c r="J88" s="55">
        <f>Model!J128</f>
        <v>1360</v>
      </c>
      <c r="K88" s="57">
        <f>Model!K128</f>
        <v>1360</v>
      </c>
      <c r="L88" s="57">
        <f>Model!L128</f>
        <v>1360</v>
      </c>
      <c r="M88" s="57">
        <f>Model!M128</f>
        <v>1360</v>
      </c>
      <c r="N88" s="57">
        <f>Model!N128</f>
        <v>1360</v>
      </c>
      <c r="O88" s="57">
        <f>Model!O128</f>
        <v>1360</v>
      </c>
      <c r="P88" s="57">
        <f>Model!P128</f>
        <v>1360</v>
      </c>
      <c r="Q88" s="57">
        <f>Model!Q128</f>
        <v>1360</v>
      </c>
      <c r="S88" s="54">
        <f>Model!S128</f>
        <v>-7.1193383138896376E-3</v>
      </c>
      <c r="T88" s="38">
        <f>Model!T128</f>
        <v>8.3593552218294516E-15</v>
      </c>
    </row>
    <row r="89" spans="1:21" hidden="1" outlineLevel="1">
      <c r="A89" s="33" t="str">
        <f>Model!A129</f>
        <v>Increase in ARR Churn - Failed Reactivation</v>
      </c>
      <c r="B89" s="68" t="str">
        <f>Model!B129</f>
        <v>N/A</v>
      </c>
      <c r="C89" s="68" t="str">
        <f>Model!C129</f>
        <v>N/A</v>
      </c>
      <c r="D89" s="68" t="str">
        <f>Model!D129</f>
        <v>N/A</v>
      </c>
      <c r="E89" s="68" t="str">
        <f>Model!E129</f>
        <v>N/A</v>
      </c>
      <c r="F89" s="68" t="str">
        <f>Model!F129</f>
        <v>N/A</v>
      </c>
      <c r="G89" s="68">
        <f>Model!G129</f>
        <v>1440</v>
      </c>
      <c r="H89" s="68">
        <f>Model!H129</f>
        <v>2736</v>
      </c>
      <c r="I89" s="69" t="str">
        <f>Model!I129</f>
        <v>N/A</v>
      </c>
      <c r="J89" s="55">
        <f>Model!J129</f>
        <v>2088</v>
      </c>
      <c r="K89" s="57">
        <f>Model!K129</f>
        <v>2088</v>
      </c>
      <c r="L89" s="57">
        <f>Model!L129</f>
        <v>2088</v>
      </c>
      <c r="M89" s="57">
        <f>Model!M129</f>
        <v>2088</v>
      </c>
      <c r="N89" s="57">
        <f>Model!N129</f>
        <v>2088</v>
      </c>
      <c r="O89" s="57">
        <f>Model!O129</f>
        <v>2088</v>
      </c>
      <c r="P89" s="57">
        <f>Model!P129</f>
        <v>2088</v>
      </c>
      <c r="Q89" s="57">
        <f>Model!Q129</f>
        <v>2088</v>
      </c>
      <c r="S89" s="54" t="str">
        <f>Model!S129</f>
        <v>N/A</v>
      </c>
      <c r="T89" s="38">
        <f>Model!T129</f>
        <v>8.3767913574119635E-15</v>
      </c>
    </row>
    <row r="90" spans="1:21" hidden="1" outlineLevel="1">
      <c r="A90" s="33" t="str">
        <f>Model!A130</f>
        <v>Churn Decrease in ARR</v>
      </c>
      <c r="B90" s="68" t="str">
        <f>Model!B130</f>
        <v>N/A</v>
      </c>
      <c r="C90" s="68">
        <f>Model!C130</f>
        <v>-9804</v>
      </c>
      <c r="D90" s="68">
        <f>Model!D130</f>
        <v>-1728</v>
      </c>
      <c r="E90" s="68">
        <f>Model!E130</f>
        <v>-4904</v>
      </c>
      <c r="F90" s="68" t="str">
        <f>Model!F130</f>
        <v>N/A</v>
      </c>
      <c r="G90" s="68">
        <f>Model!G130</f>
        <v>-1584</v>
      </c>
      <c r="H90" s="68">
        <f>Model!H130</f>
        <v>-1440</v>
      </c>
      <c r="I90" s="69">
        <f>Model!I130</f>
        <v>-13584</v>
      </c>
      <c r="J90" s="55">
        <f>Model!J130</f>
        <v>-5536</v>
      </c>
      <c r="K90" s="57">
        <f>Model!K130</f>
        <v>-5536</v>
      </c>
      <c r="L90" s="57">
        <f>Model!L130</f>
        <v>-5536</v>
      </c>
      <c r="M90" s="57">
        <f>Model!M130</f>
        <v>-5536</v>
      </c>
      <c r="N90" s="57">
        <f>Model!N130</f>
        <v>-5536</v>
      </c>
      <c r="O90" s="57">
        <f>Model!O130</f>
        <v>-5536</v>
      </c>
      <c r="P90" s="57">
        <f>Model!P130</f>
        <v>-5536</v>
      </c>
      <c r="Q90" s="57">
        <f>Model!Q130</f>
        <v>-5536</v>
      </c>
      <c r="S90" s="54">
        <f>Model!S130</f>
        <v>-0.10613681408287944</v>
      </c>
      <c r="T90" s="38">
        <f>Model!T130</f>
        <v>6.5709602261057311E-15</v>
      </c>
    </row>
    <row r="91" spans="1:21" hidden="1" outlineLevel="1">
      <c r="A91" s="33" t="str">
        <f>Model!A131</f>
        <v>Churn - Failed Decrease in ARR</v>
      </c>
      <c r="B91" s="68" t="str">
        <f>Model!B131</f>
        <v>N/A</v>
      </c>
      <c r="C91" s="68" t="str">
        <f>Model!C131</f>
        <v>N/A</v>
      </c>
      <c r="D91" s="68">
        <f>Model!D131</f>
        <v>-1440</v>
      </c>
      <c r="E91" s="68" t="str">
        <f>Model!E131</f>
        <v>N/A</v>
      </c>
      <c r="F91" s="68">
        <f>Model!F131</f>
        <v>-2460</v>
      </c>
      <c r="G91" s="68">
        <f>Model!G131</f>
        <v>-1440</v>
      </c>
      <c r="H91" s="68">
        <f>Model!H131</f>
        <v>-4353</v>
      </c>
      <c r="I91" s="69">
        <f>Model!I131</f>
        <v>-4666</v>
      </c>
      <c r="J91" s="55">
        <f>Model!J131</f>
        <v>-3229.75</v>
      </c>
      <c r="K91" s="57">
        <f>Model!K131</f>
        <v>-3229.75</v>
      </c>
      <c r="L91" s="57">
        <f>Model!L131</f>
        <v>-3229.75</v>
      </c>
      <c r="M91" s="57">
        <f>Model!M131</f>
        <v>-3229.75</v>
      </c>
      <c r="N91" s="57">
        <f>Model!N131</f>
        <v>-3229.75</v>
      </c>
      <c r="O91" s="57">
        <f>Model!O131</f>
        <v>-3229.75</v>
      </c>
      <c r="P91" s="57">
        <f>Model!P131</f>
        <v>-3229.75</v>
      </c>
      <c r="Q91" s="57">
        <f>Model!Q131</f>
        <v>-3229.75</v>
      </c>
      <c r="S91" s="54">
        <f>Model!S131</f>
        <v>-4.4945793942509318E-2</v>
      </c>
      <c r="T91" s="38">
        <f>Model!T131</f>
        <v>6.6076773550890046E-15</v>
      </c>
    </row>
    <row r="92" spans="1:21" collapsed="1"/>
    <row r="93" spans="1:21">
      <c r="A93" s="4" t="s">
        <v>42</v>
      </c>
    </row>
    <row r="94" spans="1:21" ht="27" customHeight="1">
      <c r="A94" s="8" t="s">
        <v>43</v>
      </c>
    </row>
    <row r="95" spans="1:21">
      <c r="A95" s="8"/>
      <c r="S95" s="70" t="s">
        <v>44</v>
      </c>
      <c r="T95" s="70" t="s">
        <v>45</v>
      </c>
      <c r="U95" s="70" t="s">
        <v>46</v>
      </c>
    </row>
    <row r="96" spans="1:21">
      <c r="A96" s="33" t="str">
        <f>Model!A11</f>
        <v>Total Customers</v>
      </c>
      <c r="B96" s="4">
        <f>Model!B15</f>
        <v>2</v>
      </c>
      <c r="C96" s="4">
        <f>Model!C15</f>
        <v>27</v>
      </c>
      <c r="D96" s="4">
        <f>Model!D15</f>
        <v>93</v>
      </c>
      <c r="E96" s="4">
        <f>Model!E15</f>
        <v>182</v>
      </c>
      <c r="F96" s="4">
        <f>Model!F15</f>
        <v>234</v>
      </c>
      <c r="G96" s="4">
        <f>Model!G15</f>
        <v>277</v>
      </c>
      <c r="H96" s="4">
        <f>Model!H15</f>
        <v>323</v>
      </c>
      <c r="I96" s="53">
        <f>Model!I15</f>
        <v>372</v>
      </c>
      <c r="J96" s="4">
        <f>Model!J15</f>
        <v>435</v>
      </c>
      <c r="K96" s="4">
        <f>Model!K15</f>
        <v>497</v>
      </c>
      <c r="L96" s="4">
        <f>Model!L15</f>
        <v>561</v>
      </c>
      <c r="M96" s="4">
        <f>Model!M15</f>
        <v>625</v>
      </c>
      <c r="N96" s="4">
        <f>Model!N15</f>
        <v>691</v>
      </c>
      <c r="O96" s="4">
        <f>Model!O15</f>
        <v>759</v>
      </c>
      <c r="P96" s="4">
        <f>Model!P15</f>
        <v>827</v>
      </c>
      <c r="Q96" s="4">
        <f>Model!Q15</f>
        <v>898</v>
      </c>
      <c r="S96" s="71">
        <f>AVERAGE(F96:I96)</f>
        <v>301.5</v>
      </c>
      <c r="T96" s="71">
        <f t="shared" ref="T96:T105" si="0">AVERAGE(J96:Q96)</f>
        <v>661.625</v>
      </c>
      <c r="U96" s="71">
        <f t="shared" ref="U96:U105" si="1">AVERAGE(L96:Q96)</f>
        <v>726.83333333333337</v>
      </c>
    </row>
    <row r="97" spans="1:21">
      <c r="A97" s="33" t="str">
        <f>Model!A4</f>
        <v>New</v>
      </c>
      <c r="B97" s="4">
        <f>Model!B4</f>
        <v>2</v>
      </c>
      <c r="C97" s="4">
        <f>Model!C4</f>
        <v>26</v>
      </c>
      <c r="D97" s="4">
        <f>Model!D4</f>
        <v>62</v>
      </c>
      <c r="E97" s="4">
        <f>Model!E4</f>
        <v>85</v>
      </c>
      <c r="F97" s="4">
        <f>Model!F4</f>
        <v>51</v>
      </c>
      <c r="G97" s="4">
        <f>Model!G4</f>
        <v>50</v>
      </c>
      <c r="H97" s="4">
        <f>Model!H4</f>
        <v>61</v>
      </c>
      <c r="I97" s="53">
        <f>Model!I4</f>
        <v>64</v>
      </c>
      <c r="J97" s="4">
        <f>Model!J4</f>
        <v>62</v>
      </c>
      <c r="K97" s="4">
        <f>Model!K4</f>
        <v>64</v>
      </c>
      <c r="L97" s="4">
        <f>Model!L4</f>
        <v>66</v>
      </c>
      <c r="M97" s="4">
        <f>Model!M4</f>
        <v>68</v>
      </c>
      <c r="N97" s="4">
        <f>Model!N4</f>
        <v>70</v>
      </c>
      <c r="O97" s="4">
        <f>Model!O4</f>
        <v>72</v>
      </c>
      <c r="P97" s="4">
        <f>Model!P4</f>
        <v>74</v>
      </c>
      <c r="Q97" s="4">
        <f>Model!Q4</f>
        <v>76</v>
      </c>
      <c r="S97" s="31">
        <f t="shared" ref="S97:S109" si="2">AVERAGE(F97:I97)</f>
        <v>56.5</v>
      </c>
      <c r="T97" s="71">
        <f t="shared" si="0"/>
        <v>69</v>
      </c>
      <c r="U97" s="31">
        <f t="shared" si="1"/>
        <v>71</v>
      </c>
    </row>
    <row r="98" spans="1:21">
      <c r="A98" s="33" t="str">
        <f>Model!A35</f>
        <v>Cumulative Customer Churn (2018)</v>
      </c>
      <c r="B98" s="4">
        <f>Model!B35</f>
        <v>0</v>
      </c>
      <c r="C98" s="4">
        <f>Model!C35</f>
        <v>0</v>
      </c>
      <c r="D98" s="4">
        <f>Model!D35</f>
        <v>0</v>
      </c>
      <c r="E98" s="4">
        <f>Model!E35</f>
        <v>0</v>
      </c>
      <c r="F98" s="4">
        <f>Model!F35</f>
        <v>0</v>
      </c>
      <c r="G98" s="4">
        <f>Model!G35</f>
        <v>3</v>
      </c>
      <c r="H98" s="4">
        <f>Model!H35</f>
        <v>4</v>
      </c>
      <c r="I98" s="53">
        <f>Model!I35</f>
        <v>5</v>
      </c>
      <c r="J98" s="4">
        <f>Model!J35</f>
        <v>7</v>
      </c>
      <c r="K98" s="4">
        <f>Model!K35</f>
        <v>9</v>
      </c>
      <c r="L98" s="4">
        <f>Model!L35</f>
        <v>11</v>
      </c>
      <c r="M98" s="4">
        <f>Model!M35</f>
        <v>14</v>
      </c>
      <c r="N98" s="4">
        <f>Model!N35</f>
        <v>17</v>
      </c>
      <c r="O98" s="4">
        <f>Model!O35</f>
        <v>20</v>
      </c>
      <c r="P98" s="4">
        <f>Model!P35</f>
        <v>24</v>
      </c>
      <c r="Q98" s="4">
        <f>Model!Q35</f>
        <v>28</v>
      </c>
      <c r="S98" s="31"/>
      <c r="T98" s="71"/>
      <c r="U98" s="31"/>
    </row>
    <row r="99" spans="1:21">
      <c r="A99" s="33" t="str">
        <f>Model!A43</f>
        <v>% Churn</v>
      </c>
      <c r="B99" s="32">
        <f>Model!B43</f>
        <v>0</v>
      </c>
      <c r="C99" s="32">
        <f>Model!C43</f>
        <v>0.5</v>
      </c>
      <c r="D99" s="32">
        <f>Model!D43</f>
        <v>3.7037037037037035E-2</v>
      </c>
      <c r="E99" s="32">
        <f>Model!E43</f>
        <v>3.2258064516129031E-2</v>
      </c>
      <c r="F99" s="32">
        <f>Model!F43</f>
        <v>0</v>
      </c>
      <c r="G99" s="32">
        <f>Model!G43</f>
        <v>1.282051282051282E-2</v>
      </c>
      <c r="H99" s="32">
        <f>Model!H43</f>
        <v>3.6101083032490976E-3</v>
      </c>
      <c r="I99" s="72">
        <f>Model!I43</f>
        <v>3.0959752321981426E-3</v>
      </c>
      <c r="J99" s="32">
        <f>Model!J43</f>
        <v>5.3763440860215058E-3</v>
      </c>
      <c r="K99" s="32">
        <f>Model!K43</f>
        <v>4.5977011494252873E-3</v>
      </c>
      <c r="L99" s="32">
        <f>Model!L43</f>
        <v>4.0241448692152921E-3</v>
      </c>
      <c r="M99" s="32">
        <f>Model!M43</f>
        <v>5.3475935828877002E-3</v>
      </c>
      <c r="N99" s="32">
        <f>Model!N43</f>
        <v>4.7999999999999996E-3</v>
      </c>
      <c r="O99" s="32">
        <f>Model!O43</f>
        <v>4.3415340086830683E-3</v>
      </c>
      <c r="P99" s="32">
        <f>Model!P43</f>
        <v>5.270092226613966E-3</v>
      </c>
      <c r="Q99" s="32">
        <f>Model!Q43</f>
        <v>4.8367593712212815E-3</v>
      </c>
      <c r="S99" s="73">
        <f t="shared" si="2"/>
        <v>4.8816490889900151E-3</v>
      </c>
      <c r="T99" s="73">
        <f t="shared" si="0"/>
        <v>4.8242711617585126E-3</v>
      </c>
      <c r="U99" s="73">
        <f t="shared" si="1"/>
        <v>4.7700206764368846E-3</v>
      </c>
    </row>
    <row r="100" spans="1:21">
      <c r="A100" s="33" t="str">
        <f>Model!A39</f>
        <v xml:space="preserve"> % Customers that Expand</v>
      </c>
      <c r="B100" s="47">
        <f>Model!B39</f>
        <v>0</v>
      </c>
      <c r="C100" s="47">
        <f>Model!C39</f>
        <v>0</v>
      </c>
      <c r="D100" s="47">
        <f>Model!D39</f>
        <v>0.18518518518518517</v>
      </c>
      <c r="E100" s="47">
        <f>Model!E39</f>
        <v>0.15053763440860216</v>
      </c>
      <c r="F100" s="47">
        <f>Model!F39</f>
        <v>0.13186813186813187</v>
      </c>
      <c r="G100" s="47">
        <f>Model!G39</f>
        <v>0.18803418803418803</v>
      </c>
      <c r="H100" s="47">
        <f>Model!H39</f>
        <v>0.14801444043321299</v>
      </c>
      <c r="I100" s="74">
        <f>Model!I39</f>
        <v>0.18575851393188855</v>
      </c>
      <c r="J100" s="32">
        <f>Model!J39</f>
        <v>0.18548387096774194</v>
      </c>
      <c r="K100" s="32">
        <f>Model!K39</f>
        <v>0.18390804597701149</v>
      </c>
      <c r="L100" s="32">
        <f>Model!L39</f>
        <v>0.18309859154929578</v>
      </c>
      <c r="M100" s="32">
        <f>Model!M39</f>
        <v>0.18181818181818182</v>
      </c>
      <c r="N100" s="32">
        <f>Model!N39</f>
        <v>0.1792</v>
      </c>
      <c r="O100" s="32">
        <f>Model!O39</f>
        <v>0.17800289435600578</v>
      </c>
      <c r="P100" s="32">
        <f>Model!P39</f>
        <v>0.17654808959156784</v>
      </c>
      <c r="Q100" s="32">
        <f>Model!Q39</f>
        <v>0.17533252720677148</v>
      </c>
      <c r="S100" s="73">
        <f t="shared" si="2"/>
        <v>0.16341881856685536</v>
      </c>
      <c r="T100" s="73">
        <f t="shared" si="0"/>
        <v>0.18042402518332201</v>
      </c>
      <c r="U100" s="73">
        <f t="shared" si="1"/>
        <v>0.17900004742030381</v>
      </c>
    </row>
    <row r="101" spans="1:21">
      <c r="A101" s="33" t="str">
        <f>Model!A40</f>
        <v>% Customers that Contracted</v>
      </c>
      <c r="B101" s="47">
        <f>Model!B40</f>
        <v>0</v>
      </c>
      <c r="C101" s="47">
        <f>Model!C40</f>
        <v>0</v>
      </c>
      <c r="D101" s="47">
        <f>Model!D40</f>
        <v>7.407407407407407E-2</v>
      </c>
      <c r="E101" s="47">
        <f>Model!E40</f>
        <v>0.15053763440860216</v>
      </c>
      <c r="F101" s="47">
        <f>Model!F40</f>
        <v>0.14285714285714285</v>
      </c>
      <c r="G101" s="47">
        <f>Model!G40</f>
        <v>5.9829059829059832E-2</v>
      </c>
      <c r="H101" s="47">
        <f>Model!H40</f>
        <v>0.12274368231046931</v>
      </c>
      <c r="I101" s="74">
        <f>Model!I40</f>
        <v>9.5975232198142413E-2</v>
      </c>
      <c r="J101" s="32">
        <f>Model!J40</f>
        <v>0.10752688172043011</v>
      </c>
      <c r="K101" s="32">
        <f>Model!K40</f>
        <v>0.10574712643678161</v>
      </c>
      <c r="L101" s="32">
        <f>Model!L40</f>
        <v>0.10261569416498995</v>
      </c>
      <c r="M101" s="32">
        <f>Model!M40</f>
        <v>0.10160427807486631</v>
      </c>
      <c r="N101" s="32">
        <f>Model!N40</f>
        <v>9.9199999999999997E-2</v>
      </c>
      <c r="O101" s="32">
        <f>Model!O40</f>
        <v>9.8408104196816212E-2</v>
      </c>
      <c r="P101" s="32">
        <f>Model!P40</f>
        <v>9.7496706192358368E-2</v>
      </c>
      <c r="Q101" s="32">
        <f>Model!Q40</f>
        <v>9.5525997581620309E-2</v>
      </c>
      <c r="S101" s="73">
        <f t="shared" si="2"/>
        <v>0.10535127929870361</v>
      </c>
      <c r="T101" s="73">
        <f t="shared" si="0"/>
        <v>0.10101559854598285</v>
      </c>
      <c r="U101" s="73">
        <f t="shared" si="1"/>
        <v>9.9141796701775198E-2</v>
      </c>
    </row>
    <row r="102" spans="1:21">
      <c r="A102" s="33" t="str">
        <f>Model!A46</f>
        <v>Net Expansion</v>
      </c>
      <c r="B102" s="4">
        <f>Model!B46</f>
        <v>0</v>
      </c>
      <c r="C102" s="4">
        <f>Model!C46</f>
        <v>0</v>
      </c>
      <c r="D102" s="4">
        <f>Model!D46</f>
        <v>3</v>
      </c>
      <c r="E102" s="4">
        <f>Model!E46</f>
        <v>0</v>
      </c>
      <c r="F102" s="4">
        <f>Model!F46</f>
        <v>-2</v>
      </c>
      <c r="G102" s="4">
        <f>Model!G46</f>
        <v>30</v>
      </c>
      <c r="H102" s="4">
        <f>Model!H46</f>
        <v>7</v>
      </c>
      <c r="I102" s="53">
        <f>Model!I46</f>
        <v>29</v>
      </c>
      <c r="J102" s="4">
        <f>Model!J46</f>
        <v>29</v>
      </c>
      <c r="K102" s="4">
        <f>Model!K46</f>
        <v>34</v>
      </c>
      <c r="L102" s="4">
        <f>Model!L46</f>
        <v>40</v>
      </c>
      <c r="M102" s="4">
        <f>Model!M46</f>
        <v>45</v>
      </c>
      <c r="N102" s="4">
        <f>Model!N46</f>
        <v>50</v>
      </c>
      <c r="O102" s="4">
        <f>Model!O46</f>
        <v>55</v>
      </c>
      <c r="P102" s="4">
        <f>Model!P46</f>
        <v>60</v>
      </c>
      <c r="Q102" s="4">
        <f>Model!Q46</f>
        <v>66</v>
      </c>
      <c r="S102" s="71">
        <f t="shared" si="2"/>
        <v>16</v>
      </c>
      <c r="T102" s="71">
        <f t="shared" si="0"/>
        <v>47.375</v>
      </c>
      <c r="U102" s="71">
        <f t="shared" si="1"/>
        <v>52.666666666666664</v>
      </c>
    </row>
    <row r="103" spans="1:21">
      <c r="A103" s="33" t="str">
        <f>Model!A47</f>
        <v>Net Expansion % of Customer Base</v>
      </c>
      <c r="B103" s="47">
        <f>Model!B47</f>
        <v>0</v>
      </c>
      <c r="C103" s="47">
        <f>Model!C47</f>
        <v>0</v>
      </c>
      <c r="D103" s="47">
        <f>Model!D47</f>
        <v>0.1111111111111111</v>
      </c>
      <c r="E103" s="47">
        <f>Model!E47</f>
        <v>0</v>
      </c>
      <c r="F103" s="47">
        <f>Model!F47</f>
        <v>-1.098901098901099E-2</v>
      </c>
      <c r="G103" s="47">
        <f>Model!G47</f>
        <v>0.12820512820512819</v>
      </c>
      <c r="H103" s="47">
        <f>Model!H47</f>
        <v>2.5270758122743681E-2</v>
      </c>
      <c r="I103" s="74">
        <f>Model!I47</f>
        <v>8.9783281733746126E-2</v>
      </c>
      <c r="J103" s="32">
        <f>Model!J47</f>
        <v>7.7956989247311828E-2</v>
      </c>
      <c r="K103" s="32">
        <f>Model!K47</f>
        <v>7.8160919540229884E-2</v>
      </c>
      <c r="L103" s="32">
        <f>Model!L47</f>
        <v>8.0482897384305835E-2</v>
      </c>
      <c r="M103" s="32">
        <f>Model!M47</f>
        <v>8.0213903743315509E-2</v>
      </c>
      <c r="N103" s="32">
        <f>Model!N47</f>
        <v>0.08</v>
      </c>
      <c r="O103" s="32">
        <f>Model!O47</f>
        <v>7.9594790159189577E-2</v>
      </c>
      <c r="P103" s="32">
        <f>Model!P47</f>
        <v>7.9051383399209488E-2</v>
      </c>
      <c r="Q103" s="32">
        <f>Model!Q47</f>
        <v>7.9806529625151154E-2</v>
      </c>
      <c r="S103" s="73">
        <f t="shared" si="2"/>
        <v>5.8067539268151752E-2</v>
      </c>
      <c r="T103" s="73">
        <f t="shared" si="0"/>
        <v>7.9408426637339158E-2</v>
      </c>
      <c r="U103" s="73">
        <f t="shared" si="1"/>
        <v>7.9858250718528603E-2</v>
      </c>
    </row>
    <row r="104" spans="1:21">
      <c r="A104" s="33" t="str">
        <f>Model!A48</f>
        <v>Net Expansion Growth (MoM)</v>
      </c>
      <c r="B104" s="75">
        <f>Model!B48</f>
        <v>0</v>
      </c>
      <c r="C104" s="75" t="str">
        <f>Model!C48</f>
        <v>N/A</v>
      </c>
      <c r="D104" s="75" t="str">
        <f>Model!D48</f>
        <v>N/A</v>
      </c>
      <c r="E104" s="75">
        <f>Model!E48</f>
        <v>-1</v>
      </c>
      <c r="F104" s="75" t="str">
        <f>Model!F48</f>
        <v>N/A</v>
      </c>
      <c r="G104" s="75">
        <f>Model!G48</f>
        <v>16</v>
      </c>
      <c r="H104" s="75">
        <f>Model!H48</f>
        <v>-0.76666666666666672</v>
      </c>
      <c r="I104" s="76">
        <f>Model!I48</f>
        <v>3.1428571428571428</v>
      </c>
      <c r="J104" s="32">
        <f>Model!J48</f>
        <v>0</v>
      </c>
      <c r="K104" s="32">
        <f>Model!K48</f>
        <v>0.17241379310344829</v>
      </c>
      <c r="L104" s="32">
        <f>Model!L48</f>
        <v>0.17647058823529413</v>
      </c>
      <c r="M104" s="32">
        <f>Model!M48</f>
        <v>0.125</v>
      </c>
      <c r="N104" s="32">
        <f>Model!N48</f>
        <v>0.1111111111111111</v>
      </c>
      <c r="O104" s="32">
        <f>Model!O48</f>
        <v>0.1</v>
      </c>
      <c r="P104" s="32">
        <f>Model!P48</f>
        <v>9.0909090909090912E-2</v>
      </c>
      <c r="Q104" s="32">
        <f>Model!Q48</f>
        <v>0.1</v>
      </c>
      <c r="S104" s="73">
        <f t="shared" si="2"/>
        <v>6.1253968253968258</v>
      </c>
      <c r="T104" s="73">
        <f t="shared" si="0"/>
        <v>0.10948807291986805</v>
      </c>
      <c r="U104" s="73">
        <f t="shared" si="1"/>
        <v>0.1172484650425827</v>
      </c>
    </row>
    <row r="105" spans="1:21">
      <c r="A105" s="33" t="str">
        <f>Model!A50</f>
        <v>Expanded/Contracted Ratio</v>
      </c>
      <c r="B105" s="75" t="str">
        <f>Model!B50</f>
        <v>N/A</v>
      </c>
      <c r="C105" s="75" t="str">
        <f>Model!C50</f>
        <v>N/A</v>
      </c>
      <c r="D105" s="75">
        <f>Model!D50</f>
        <v>2.5</v>
      </c>
      <c r="E105" s="75">
        <f>Model!E50</f>
        <v>1</v>
      </c>
      <c r="F105" s="75">
        <f>Model!F50</f>
        <v>0.92307692307692313</v>
      </c>
      <c r="G105" s="75">
        <f>Model!G50</f>
        <v>3.1428571428571428</v>
      </c>
      <c r="H105" s="75">
        <f>Model!H50</f>
        <v>1.2058823529411764</v>
      </c>
      <c r="I105" s="76">
        <f>Model!I50</f>
        <v>1.935483870967742</v>
      </c>
      <c r="J105" s="77">
        <f>Model!J50</f>
        <v>1.7250000000000001</v>
      </c>
      <c r="K105" s="77">
        <f>Model!K50</f>
        <v>1.7391304347826086</v>
      </c>
      <c r="L105" s="77">
        <f>Model!L50</f>
        <v>1.7843137254901962</v>
      </c>
      <c r="M105" s="77">
        <f>Model!M50</f>
        <v>1.7894736842105263</v>
      </c>
      <c r="N105" s="77">
        <f>Model!N50</f>
        <v>1.8064516129032258</v>
      </c>
      <c r="O105" s="77">
        <f>Model!O50</f>
        <v>1.8088235294117647</v>
      </c>
      <c r="P105" s="77">
        <f>Model!P50</f>
        <v>1.8108108108108107</v>
      </c>
      <c r="Q105" s="77">
        <f>Model!Q50</f>
        <v>1.8354430379746836</v>
      </c>
      <c r="S105" s="78">
        <f t="shared" si="2"/>
        <v>1.8018250724607461</v>
      </c>
      <c r="T105" s="78">
        <f t="shared" si="0"/>
        <v>1.7874308544479769</v>
      </c>
      <c r="U105" s="78">
        <f t="shared" si="1"/>
        <v>1.8058860668002013</v>
      </c>
    </row>
    <row r="106" spans="1:21">
      <c r="A106" s="33" t="str">
        <f>Model!A24</f>
        <v>Churn-Failed</v>
      </c>
      <c r="B106" s="75">
        <f>Model!B24</f>
        <v>0</v>
      </c>
      <c r="C106" s="75">
        <f>Model!C24</f>
        <v>0</v>
      </c>
      <c r="D106" s="75">
        <f>Model!D24</f>
        <v>3.7037037037037035E-2</v>
      </c>
      <c r="E106" s="75">
        <f>Model!E24</f>
        <v>0</v>
      </c>
      <c r="F106" s="75">
        <f>Model!F24</f>
        <v>1.6483516483516484E-2</v>
      </c>
      <c r="G106" s="75">
        <f>Model!G24</f>
        <v>1.282051282051282E-2</v>
      </c>
      <c r="H106" s="75">
        <f>Model!H24</f>
        <v>1.444043321299639E-2</v>
      </c>
      <c r="I106" s="76">
        <f>Model!I24</f>
        <v>1.8575851393188854E-2</v>
      </c>
      <c r="J106" s="32">
        <f>Model!J24</f>
        <v>5.0000000000000001E-3</v>
      </c>
      <c r="K106" s="32">
        <f>Model!K24</f>
        <v>5.0000000000000001E-3</v>
      </c>
      <c r="L106" s="32">
        <f>Model!L24</f>
        <v>5.0000000000000001E-3</v>
      </c>
      <c r="M106" s="32">
        <f>Model!M24</f>
        <v>5.0000000000000001E-3</v>
      </c>
      <c r="N106" s="32">
        <f>Model!N24</f>
        <v>5.0000000000000001E-3</v>
      </c>
      <c r="O106" s="32">
        <f>Model!O24</f>
        <v>5.0000000000000001E-3</v>
      </c>
      <c r="P106" s="32">
        <f>Model!P24</f>
        <v>5.0000000000000001E-3</v>
      </c>
      <c r="Q106" s="32">
        <f>Model!Q24</f>
        <v>5.0000000000000001E-3</v>
      </c>
      <c r="S106" s="73">
        <f t="shared" ref="S106:S107" si="3">AVERAGE(F106:I106)</f>
        <v>1.5580078477553638E-2</v>
      </c>
      <c r="T106" s="73">
        <f t="shared" ref="T106:T107" si="4">AVERAGE(J106:Q106)</f>
        <v>5.0000000000000001E-3</v>
      </c>
      <c r="U106" s="73">
        <f t="shared" ref="U106:U107" si="5">AVERAGE(L106:Q106)</f>
        <v>5.0000000000000001E-3</v>
      </c>
    </row>
    <row r="107" spans="1:21">
      <c r="A107" s="33" t="str">
        <f>Model!A22</f>
        <v>Churn - Failed Reactiviation % of Churn Failed</v>
      </c>
      <c r="B107" s="75">
        <f>Model!B22</f>
        <v>0</v>
      </c>
      <c r="C107" s="75" t="str">
        <f>Model!C22</f>
        <v>N/A</v>
      </c>
      <c r="D107" s="75" t="str">
        <f>Model!D22</f>
        <v>N/A</v>
      </c>
      <c r="E107" s="75">
        <f>Model!E22</f>
        <v>0</v>
      </c>
      <c r="F107" s="75" t="str">
        <f>Model!F22</f>
        <v>N/A</v>
      </c>
      <c r="G107" s="75">
        <f>Model!G22</f>
        <v>0.33333333333333331</v>
      </c>
      <c r="H107" s="75">
        <f>Model!H22</f>
        <v>0.33333333333333331</v>
      </c>
      <c r="I107" s="76">
        <f>Model!I22</f>
        <v>0</v>
      </c>
      <c r="J107" s="32">
        <f>Model!J22</f>
        <v>0.75</v>
      </c>
      <c r="K107" s="32">
        <f>Model!K22</f>
        <v>0.75</v>
      </c>
      <c r="L107" s="32">
        <f>Model!L22</f>
        <v>0.75</v>
      </c>
      <c r="M107" s="32">
        <f>Model!M22</f>
        <v>0.75</v>
      </c>
      <c r="N107" s="32">
        <f>Model!N22</f>
        <v>0.75</v>
      </c>
      <c r="O107" s="32">
        <f>Model!O22</f>
        <v>0.75</v>
      </c>
      <c r="P107" s="32">
        <f>Model!P22</f>
        <v>0.75</v>
      </c>
      <c r="Q107" s="32">
        <f>Model!Q22</f>
        <v>0.75</v>
      </c>
      <c r="S107" s="73">
        <f t="shared" si="3"/>
        <v>0.22222222222222221</v>
      </c>
      <c r="T107" s="73">
        <f t="shared" si="4"/>
        <v>0.75</v>
      </c>
      <c r="U107" s="73">
        <f t="shared" si="5"/>
        <v>0.75</v>
      </c>
    </row>
    <row r="108" spans="1:21">
      <c r="A108" s="33" t="str">
        <f>Model!A126</f>
        <v>Increase in ARR of Expansion</v>
      </c>
      <c r="B108" s="68" t="str">
        <f>Model!B126</f>
        <v>N/A</v>
      </c>
      <c r="C108" s="68" t="str">
        <f>Model!C126</f>
        <v>N/A</v>
      </c>
      <c r="D108" s="68">
        <f>Model!D126</f>
        <v>3240</v>
      </c>
      <c r="E108" s="68">
        <f>Model!E126</f>
        <v>5857.7142857142853</v>
      </c>
      <c r="F108" s="68">
        <f>Model!F126</f>
        <v>3053</v>
      </c>
      <c r="G108" s="68">
        <f>Model!G126</f>
        <v>2227.6363636363635</v>
      </c>
      <c r="H108" s="68">
        <f>Model!H126</f>
        <v>1675.9024390243903</v>
      </c>
      <c r="I108" s="69">
        <f>Model!I126</f>
        <v>1872.2166666666667</v>
      </c>
      <c r="J108" s="68">
        <f>Model!J126</f>
        <v>2207.1888673318554</v>
      </c>
      <c r="K108" s="68">
        <f>Model!K126</f>
        <v>2207.1888673318554</v>
      </c>
      <c r="L108" s="68">
        <f>Model!L126</f>
        <v>2207.1888673318554</v>
      </c>
      <c r="M108" s="68">
        <f>Model!M126</f>
        <v>2207.1888673318554</v>
      </c>
      <c r="N108" s="68">
        <f>Model!N126</f>
        <v>2207.1888673318554</v>
      </c>
      <c r="O108" s="68">
        <f>Model!O126</f>
        <v>2207.1888673318554</v>
      </c>
      <c r="P108" s="68">
        <f>Model!P126</f>
        <v>2207.1888673318554</v>
      </c>
      <c r="Q108" s="68">
        <f>Model!Q126</f>
        <v>2207.1888673318554</v>
      </c>
      <c r="S108" s="79">
        <f t="shared" si="2"/>
        <v>2207.1888673318554</v>
      </c>
      <c r="T108" s="79">
        <f>AVERAGE(J108:Q108)</f>
        <v>2207.1888673318554</v>
      </c>
      <c r="U108" s="79">
        <f>AVERAGE(L108:Q108)</f>
        <v>2207.1888673318554</v>
      </c>
    </row>
    <row r="109" spans="1:21">
      <c r="A109" s="33" t="str">
        <f>Model!A127</f>
        <v>Decrease in ARR of Contraction</v>
      </c>
      <c r="B109" s="68" t="str">
        <f>Model!B127</f>
        <v>N/A</v>
      </c>
      <c r="C109" s="68" t="str">
        <f>Model!C127</f>
        <v>N/A</v>
      </c>
      <c r="D109" s="68">
        <f>Model!D127</f>
        <v>-4488</v>
      </c>
      <c r="E109" s="68">
        <f>Model!E127</f>
        <v>-10222.285714285714</v>
      </c>
      <c r="F109" s="68">
        <f>Model!F127</f>
        <v>-4539.6923076923076</v>
      </c>
      <c r="G109" s="68">
        <f>Model!G127</f>
        <v>-3910.2857142857142</v>
      </c>
      <c r="H109" s="68">
        <f>Model!H127</f>
        <v>-1285.4117647058824</v>
      </c>
      <c r="I109" s="69">
        <f>Model!I127</f>
        <v>-1465.9354838709678</v>
      </c>
      <c r="J109" s="68">
        <f>Model!J127</f>
        <v>-2800.3313176387182</v>
      </c>
      <c r="K109" s="68">
        <f>Model!K127</f>
        <v>-2800.3313176387182</v>
      </c>
      <c r="L109" s="68">
        <f>Model!L127</f>
        <v>-2800.3313176387182</v>
      </c>
      <c r="M109" s="68">
        <f>Model!M127</f>
        <v>-2800.3313176387182</v>
      </c>
      <c r="N109" s="68">
        <f>Model!N127</f>
        <v>-2800.3313176387182</v>
      </c>
      <c r="O109" s="68">
        <f>Model!O127</f>
        <v>-2800.3313176387182</v>
      </c>
      <c r="P109" s="68">
        <f>Model!P127</f>
        <v>-2800.3313176387182</v>
      </c>
      <c r="Q109" s="68">
        <f>Model!Q127</f>
        <v>-2800.3313176387182</v>
      </c>
      <c r="S109" s="79">
        <f t="shared" si="2"/>
        <v>-2800.3313176387182</v>
      </c>
      <c r="T109" s="79">
        <f>AVERAGE(J109:Q109)</f>
        <v>-2800.3313176387182</v>
      </c>
      <c r="U109" s="79">
        <f>AVERAGE(L109:Q109)</f>
        <v>-2800.3313176387182</v>
      </c>
    </row>
    <row r="111" spans="1:21">
      <c r="A111" s="8" t="s">
        <v>47</v>
      </c>
    </row>
    <row r="113" spans="1:1" ht="21">
      <c r="A113" s="80" t="s">
        <v>48</v>
      </c>
    </row>
    <row r="114" spans="1:1" ht="21">
      <c r="A114" s="81" t="s">
        <v>49</v>
      </c>
    </row>
    <row r="115" spans="1:1" ht="21">
      <c r="A115" s="81" t="s">
        <v>50</v>
      </c>
    </row>
    <row r="116" spans="1:1" ht="21">
      <c r="A116" s="81"/>
    </row>
    <row r="117" spans="1:1" ht="21">
      <c r="A117" s="80" t="s">
        <v>51</v>
      </c>
    </row>
    <row r="118" spans="1:1" ht="21">
      <c r="A118" s="81" t="s">
        <v>52</v>
      </c>
    </row>
    <row r="119" spans="1:1" ht="21">
      <c r="A119" s="81" t="s">
        <v>53</v>
      </c>
    </row>
    <row r="120" spans="1:1" ht="21">
      <c r="A120" s="81" t="s">
        <v>54</v>
      </c>
    </row>
    <row r="121" spans="1:1" ht="21">
      <c r="A121" s="81" t="s">
        <v>55</v>
      </c>
    </row>
    <row r="122" spans="1:1" ht="21">
      <c r="A122" s="81" t="s">
        <v>56</v>
      </c>
    </row>
    <row r="123" spans="1:1" ht="21">
      <c r="A123" s="80"/>
    </row>
    <row r="124" spans="1:1" ht="21">
      <c r="A124" s="80" t="s">
        <v>57</v>
      </c>
    </row>
    <row r="125" spans="1:1" ht="21">
      <c r="A125" s="81" t="s">
        <v>58</v>
      </c>
    </row>
    <row r="126" spans="1:1" ht="21">
      <c r="A126" s="81" t="s">
        <v>59</v>
      </c>
    </row>
    <row r="128" spans="1:1">
      <c r="A128" s="8" t="s">
        <v>60</v>
      </c>
    </row>
    <row r="130" spans="1:1" ht="21">
      <c r="A130" s="80" t="s">
        <v>61</v>
      </c>
    </row>
    <row r="131" spans="1:1" ht="21">
      <c r="A131" s="80" t="s">
        <v>62</v>
      </c>
    </row>
    <row r="132" spans="1:1" ht="21">
      <c r="A132" s="80" t="s">
        <v>63</v>
      </c>
    </row>
    <row r="133" spans="1:1" ht="21">
      <c r="A133" s="80" t="s">
        <v>64</v>
      </c>
    </row>
    <row r="134" spans="1:1" ht="21">
      <c r="A134" s="80" t="s">
        <v>65</v>
      </c>
    </row>
    <row r="135" spans="1:1" ht="21">
      <c r="A135" s="80" t="s">
        <v>66</v>
      </c>
    </row>
  </sheetData>
  <sheetProtection algorithmName="SHA-512" hashValue="RYPyZmKHTtFgaikBpMFzaInKQGC9RmzrtdBMS1/Fp2GUSvLNquNmR4UynHYRQbVdygB4tkg1ZI+LJECAENc02A==" saltValue="Wz1fEIBHSjxl5v7zCNEWSw==" spinCount="100000" sheet="1" objects="1" scenarios="1"/>
  <mergeCells count="2">
    <mergeCell ref="B33:I33"/>
    <mergeCell ref="J33:Q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248D-8BCF-F34A-B569-F220B058BC2C}">
  <dimension ref="A2:T144"/>
  <sheetViews>
    <sheetView showGridLines="0" workbookViewId="0">
      <selection activeCell="C4" sqref="C4"/>
    </sheetView>
  </sheetViews>
  <sheetFormatPr defaultColWidth="10.85546875" defaultRowHeight="15" outlineLevelRow="1"/>
  <cols>
    <col min="1" max="1" width="53.7109375" style="4" customWidth="1"/>
    <col min="2" max="4" width="11.140625" style="4" bestFit="1" customWidth="1"/>
    <col min="5" max="8" width="11.28515625" style="4" bestFit="1" customWidth="1"/>
    <col min="9" max="9" width="11.7109375" style="4" bestFit="1" customWidth="1"/>
    <col min="10" max="10" width="11.85546875" style="4" bestFit="1" customWidth="1"/>
    <col min="11" max="17" width="11.7109375" style="4" bestFit="1" customWidth="1"/>
    <col min="18" max="18" width="3.140625" style="4" customWidth="1"/>
    <col min="19" max="19" width="20.140625" style="31" customWidth="1"/>
    <col min="20" max="20" width="19.140625" style="31" customWidth="1"/>
    <col min="21" max="16384" width="10.85546875" style="4"/>
  </cols>
  <sheetData>
    <row r="2" spans="1:20">
      <c r="B2" s="109" t="s">
        <v>67</v>
      </c>
      <c r="C2" s="110"/>
      <c r="D2" s="110"/>
      <c r="E2" s="110"/>
      <c r="F2" s="110"/>
      <c r="G2" s="110"/>
      <c r="H2" s="110"/>
      <c r="I2" s="111"/>
      <c r="J2" s="109" t="s">
        <v>68</v>
      </c>
      <c r="K2" s="110"/>
      <c r="L2" s="110"/>
      <c r="M2" s="110"/>
      <c r="N2" s="110"/>
      <c r="O2" s="110"/>
      <c r="P2" s="110"/>
      <c r="Q2" s="111"/>
      <c r="S2" s="28" t="s">
        <v>69</v>
      </c>
      <c r="T2" s="28" t="s">
        <v>70</v>
      </c>
    </row>
    <row r="3" spans="1:20">
      <c r="A3" s="8" t="s">
        <v>71</v>
      </c>
      <c r="B3" s="29">
        <v>42979</v>
      </c>
      <c r="C3" s="29">
        <v>43009</v>
      </c>
      <c r="D3" s="29">
        <v>43040</v>
      </c>
      <c r="E3" s="29">
        <v>43070</v>
      </c>
      <c r="F3" s="29">
        <v>43101</v>
      </c>
      <c r="G3" s="29">
        <v>43132</v>
      </c>
      <c r="H3" s="29">
        <v>43160</v>
      </c>
      <c r="I3" s="30">
        <v>43191</v>
      </c>
      <c r="J3" s="29">
        <v>43221</v>
      </c>
      <c r="K3" s="29">
        <v>43252</v>
      </c>
      <c r="L3" s="29">
        <v>43282</v>
      </c>
      <c r="M3" s="29">
        <v>43313</v>
      </c>
      <c r="N3" s="29">
        <v>43344</v>
      </c>
      <c r="O3" s="29">
        <v>43374</v>
      </c>
      <c r="P3" s="29">
        <v>43405</v>
      </c>
      <c r="Q3" s="29">
        <v>43435</v>
      </c>
    </row>
    <row r="4" spans="1:20" outlineLevel="1">
      <c r="A4" s="33" t="s">
        <v>25</v>
      </c>
      <c r="B4" s="34">
        <f>COUNTIFS('data set'!$E:$E,Model!$A4,'data set'!$B:$B,Model!B$3)</f>
        <v>2</v>
      </c>
      <c r="C4" s="34">
        <f>COUNTIFS('data set'!$E:$E,Model!$A4,'data set'!$B:$B,Model!C$3)</f>
        <v>26</v>
      </c>
      <c r="D4" s="34">
        <f>COUNTIFS('data set'!$E:$E,Model!$A4,'data set'!$B:$B,Model!D$3)</f>
        <v>62</v>
      </c>
      <c r="E4" s="34">
        <f>COUNTIFS('data set'!$E:$E,Model!$A4,'data set'!$B:$B,Model!E$3)</f>
        <v>85</v>
      </c>
      <c r="F4" s="34">
        <f>COUNTIFS('data set'!$E:$E,Model!$A4,'data set'!$B:$B,Model!F$3)</f>
        <v>51</v>
      </c>
      <c r="G4" s="34">
        <f>COUNTIFS('data set'!$E:$E,Model!$A4,'data set'!$B:$B,Model!G$3)</f>
        <v>50</v>
      </c>
      <c r="H4" s="34">
        <f>COUNTIFS('data set'!$E:$E,Model!$A4,'data set'!$B:$B,Model!H$3)</f>
        <v>61</v>
      </c>
      <c r="I4" s="35">
        <f>COUNTIFS('data set'!$E:$E,Model!$A4,'data set'!$B:$B,Model!I$3)</f>
        <v>64</v>
      </c>
      <c r="J4" s="36">
        <f>Inputs!B9</f>
        <v>62</v>
      </c>
      <c r="K4" s="37">
        <f t="shared" ref="K4:Q5" si="0">ROUND(J4*(1+K27),0)</f>
        <v>64</v>
      </c>
      <c r="L4" s="37">
        <f t="shared" si="0"/>
        <v>66</v>
      </c>
      <c r="M4" s="37">
        <f t="shared" si="0"/>
        <v>68</v>
      </c>
      <c r="N4" s="37">
        <f t="shared" si="0"/>
        <v>70</v>
      </c>
      <c r="O4" s="37">
        <f t="shared" si="0"/>
        <v>72</v>
      </c>
      <c r="P4" s="37">
        <f t="shared" si="0"/>
        <v>74</v>
      </c>
      <c r="Q4" s="37">
        <f t="shared" si="0"/>
        <v>76</v>
      </c>
      <c r="S4" s="38">
        <f>IFERROR(RATE(MONTH($Q$3)-MONTH($I$3),0,-I4,Q4),"N/A")</f>
        <v>2.171366584037537E-2</v>
      </c>
      <c r="T4" s="38">
        <f>IFERROR(RATE(MONTH($Q$3)-MONTH($K$3),0,-K4,Q4),"N/A")</f>
        <v>2.9055827476684254E-2</v>
      </c>
    </row>
    <row r="5" spans="1:20" outlineLevel="1">
      <c r="A5" s="33" t="s">
        <v>72</v>
      </c>
      <c r="B5" s="34">
        <f>COUNTIFS('data set'!$E:$E,Model!$A5,'data set'!$B:$B,Model!B$3)</f>
        <v>0</v>
      </c>
      <c r="C5" s="34">
        <f>COUNTIFS('data set'!$E:$E,Model!$A5,'data set'!$B:$B,Model!C$3)</f>
        <v>1</v>
      </c>
      <c r="D5" s="34">
        <f>COUNTIFS('data set'!$E:$E,Model!$A5,'data set'!$B:$B,Model!D$3)</f>
        <v>4</v>
      </c>
      <c r="E5" s="34">
        <f>COUNTIFS('data set'!$E:$E,Model!$A5,'data set'!$B:$B,Model!E$3)</f>
        <v>4</v>
      </c>
      <c r="F5" s="34">
        <f>COUNTIFS('data set'!$E:$E,Model!$A5,'data set'!$B:$B,Model!F$3)</f>
        <v>5</v>
      </c>
      <c r="G5" s="34">
        <f>COUNTIFS('data set'!$E:$E,Model!$A5,'data set'!$B:$B,Model!G$3)</f>
        <v>2</v>
      </c>
      <c r="H5" s="34">
        <f>COUNTIFS('data set'!$E:$E,Model!$A5,'data set'!$B:$B,Model!H$3)</f>
        <v>1</v>
      </c>
      <c r="I5" s="35">
        <f>COUNTIFS('data set'!$E:$E,Model!$A5,'data set'!$B:$B,Model!I$3)</f>
        <v>0</v>
      </c>
      <c r="J5" s="36">
        <f>Inputs!B10</f>
        <v>3</v>
      </c>
      <c r="K5" s="37">
        <f t="shared" si="0"/>
        <v>3</v>
      </c>
      <c r="L5" s="37">
        <f t="shared" si="0"/>
        <v>3</v>
      </c>
      <c r="M5" s="37">
        <f t="shared" si="0"/>
        <v>3</v>
      </c>
      <c r="N5" s="37">
        <f t="shared" si="0"/>
        <v>3</v>
      </c>
      <c r="O5" s="37">
        <f t="shared" si="0"/>
        <v>3</v>
      </c>
      <c r="P5" s="37">
        <f t="shared" si="0"/>
        <v>3</v>
      </c>
      <c r="Q5" s="37">
        <f t="shared" si="0"/>
        <v>3</v>
      </c>
      <c r="S5" s="38" t="str">
        <f t="shared" ref="S5:S63" si="1">IFERROR(RATE(MONTH($Q$3)-MONTH($I$3),0,-I5,Q5),"N/A")</f>
        <v>N/A</v>
      </c>
      <c r="T5" s="38">
        <f t="shared" ref="T5:T63" si="2">IFERROR(RATE(MONTH($Q$3)-MONTH($K$3),0,-K5,Q5),"N/A")</f>
        <v>8.3526939061644697E-15</v>
      </c>
    </row>
    <row r="6" spans="1:20" outlineLevel="1">
      <c r="A6" s="33" t="s">
        <v>73</v>
      </c>
      <c r="B6" s="34">
        <f>COUNTIFS('data set'!$E:$E,Model!$A6,'data set'!$B:$B,Model!B$3)</f>
        <v>0</v>
      </c>
      <c r="C6" s="34">
        <f>COUNTIFS('data set'!$E:$E,Model!$A6,'data set'!$B:$B,Model!C$3)</f>
        <v>1</v>
      </c>
      <c r="D6" s="34">
        <f>COUNTIFS('data set'!$E:$E,Model!$A6,'data set'!$B:$B,Model!D$3)</f>
        <v>22</v>
      </c>
      <c r="E6" s="34">
        <f>COUNTIFS('data set'!$E:$E,Model!$A6,'data set'!$B:$B,Model!E$3)</f>
        <v>67</v>
      </c>
      <c r="F6" s="34">
        <f>COUNTIFS('data set'!$E:$E,Model!$A6,'data set'!$B:$B,Model!F$3)</f>
        <v>131</v>
      </c>
      <c r="G6" s="34">
        <f>COUNTIFS('data set'!$E:$E,Model!$A6,'data set'!$B:$B,Model!G$3)</f>
        <v>169</v>
      </c>
      <c r="H6" s="34">
        <f>COUNTIFS('data set'!$E:$E,Model!$A6,'data set'!$B:$B,Model!H$3)</f>
        <v>190</v>
      </c>
      <c r="I6" s="35">
        <f>COUNTIFS('data set'!$E:$E,Model!$A6,'data set'!$B:$B,Model!I$3)</f>
        <v>223</v>
      </c>
      <c r="J6" s="37">
        <f>I15-J7-J8-J5-J9</f>
        <v>259</v>
      </c>
      <c r="K6" s="37">
        <f t="shared" ref="K6" si="3">J15-K7-K8-K5-K9</f>
        <v>305</v>
      </c>
      <c r="L6" s="37">
        <f t="shared" ref="L6" si="4">K15-L7-L8-L5-L9</f>
        <v>351</v>
      </c>
      <c r="M6" s="37">
        <f t="shared" ref="M6" si="5">L15-M7-M8-M5-M9</f>
        <v>398</v>
      </c>
      <c r="N6" s="37">
        <f>M15-N7-N8-N5-N9</f>
        <v>447</v>
      </c>
      <c r="O6" s="37">
        <f t="shared" ref="O6" si="6">N15-O7-O8-O5-O9</f>
        <v>496</v>
      </c>
      <c r="P6" s="37">
        <f t="shared" ref="P6" si="7">O15-P7-P8-P5-P9</f>
        <v>547</v>
      </c>
      <c r="Q6" s="37">
        <f t="shared" ref="Q6" si="8">P15-Q7-Q8-Q5-Q9</f>
        <v>599</v>
      </c>
      <c r="S6" s="38">
        <f t="shared" si="1"/>
        <v>0.13146270890955059</v>
      </c>
      <c r="T6" s="38">
        <f t="shared" si="2"/>
        <v>0.11906289806623571</v>
      </c>
    </row>
    <row r="7" spans="1:20" outlineLevel="1">
      <c r="A7" s="33" t="s">
        <v>12</v>
      </c>
      <c r="B7" s="34">
        <f>COUNTIFS('data set'!$E:$E,Model!$A7,'data set'!$B:$B,Model!B$3)</f>
        <v>0</v>
      </c>
      <c r="C7" s="34">
        <f>COUNTIFS('data set'!$E:$E,Model!$A7,'data set'!$B:$B,Model!C$3)</f>
        <v>0</v>
      </c>
      <c r="D7" s="34">
        <f>COUNTIFS('data set'!$E:$E,Model!$A7,'data set'!$B:$B,Model!D$3)</f>
        <v>5</v>
      </c>
      <c r="E7" s="34">
        <f>COUNTIFS('data set'!$E:$E,Model!$A7,'data set'!$B:$B,Model!E$3)</f>
        <v>14</v>
      </c>
      <c r="F7" s="34">
        <f>COUNTIFS('data set'!$E:$E,Model!$A7,'data set'!$B:$B,Model!F$3)</f>
        <v>24</v>
      </c>
      <c r="G7" s="34">
        <f>COUNTIFS('data set'!$E:$E,Model!$A7,'data set'!$B:$B,Model!G$3)</f>
        <v>44</v>
      </c>
      <c r="H7" s="34">
        <f>COUNTIFS('data set'!$E:$E,Model!$A7,'data set'!$B:$B,Model!H$3)</f>
        <v>41</v>
      </c>
      <c r="I7" s="35">
        <f>COUNTIFS('data set'!$E:$E,Model!$A7,'data set'!$B:$B,Model!I$3)</f>
        <v>60</v>
      </c>
      <c r="J7" s="36">
        <f>Growth_Analysis!J15</f>
        <v>69</v>
      </c>
      <c r="K7" s="36">
        <f>Growth_Analysis!K15</f>
        <v>80</v>
      </c>
      <c r="L7" s="36">
        <f>Growth_Analysis!L15</f>
        <v>91</v>
      </c>
      <c r="M7" s="36">
        <f>Growth_Analysis!M15</f>
        <v>102</v>
      </c>
      <c r="N7" s="36">
        <f>Growth_Analysis!N15</f>
        <v>112</v>
      </c>
      <c r="O7" s="36">
        <f>Growth_Analysis!O15</f>
        <v>123</v>
      </c>
      <c r="P7" s="36">
        <f>Growth_Analysis!P15</f>
        <v>134</v>
      </c>
      <c r="Q7" s="36">
        <f>Growth_Analysis!Q15</f>
        <v>145</v>
      </c>
      <c r="S7" s="38">
        <f t="shared" si="1"/>
        <v>0.11661149392718126</v>
      </c>
      <c r="T7" s="38">
        <f t="shared" si="2"/>
        <v>0.10419642286521137</v>
      </c>
    </row>
    <row r="8" spans="1:20" outlineLevel="1">
      <c r="A8" s="33" t="s">
        <v>14</v>
      </c>
      <c r="B8" s="34">
        <f>COUNTIFS('data set'!$E:$E,Model!$A8,'data set'!$B:$B,Model!B$3)</f>
        <v>0</v>
      </c>
      <c r="C8" s="34">
        <f>COUNTIFS('data set'!$E:$E,Model!$A8,'data set'!$B:$B,Model!C$3)</f>
        <v>0</v>
      </c>
      <c r="D8" s="34">
        <f>COUNTIFS('data set'!$E:$E,Model!$A8,'data set'!$B:$B,Model!D$3)</f>
        <v>2</v>
      </c>
      <c r="E8" s="34">
        <f>COUNTIFS('data set'!$E:$E,Model!$A8,'data set'!$B:$B,Model!E$3)</f>
        <v>14</v>
      </c>
      <c r="F8" s="34">
        <f>COUNTIFS('data set'!$E:$E,Model!$A8,'data set'!$B:$B,Model!F$3)</f>
        <v>26</v>
      </c>
      <c r="G8" s="34">
        <f>COUNTIFS('data set'!$E:$E,Model!$A8,'data set'!$B:$B,Model!G$3)</f>
        <v>14</v>
      </c>
      <c r="H8" s="34">
        <f>COUNTIFS('data set'!$E:$E,Model!$A8,'data set'!$B:$B,Model!H$3)</f>
        <v>34</v>
      </c>
      <c r="I8" s="35">
        <f>COUNTIFS('data set'!$E:$E,Model!$A8,'data set'!$B:$B,Model!I$3)</f>
        <v>31</v>
      </c>
      <c r="J8" s="36">
        <f>Growth_Analysis!J16</f>
        <v>40</v>
      </c>
      <c r="K8" s="36">
        <f>Growth_Analysis!K16</f>
        <v>46</v>
      </c>
      <c r="L8" s="36">
        <f>Growth_Analysis!L16</f>
        <v>51</v>
      </c>
      <c r="M8" s="36">
        <f>Growth_Analysis!M16</f>
        <v>57</v>
      </c>
      <c r="N8" s="36">
        <f>Growth_Analysis!N16</f>
        <v>62</v>
      </c>
      <c r="O8" s="36">
        <f>Growth_Analysis!O16</f>
        <v>68</v>
      </c>
      <c r="P8" s="36">
        <f>Growth_Analysis!P16</f>
        <v>74</v>
      </c>
      <c r="Q8" s="36">
        <f>Growth_Analysis!Q16</f>
        <v>79</v>
      </c>
      <c r="S8" s="38">
        <f t="shared" si="1"/>
        <v>0.12404364523484307</v>
      </c>
      <c r="T8" s="38">
        <f>IFERROR(RATE(MONTH($Q$3)-MONTH($K$3),0,-K8,Q8),"N/A")</f>
        <v>9.4321360821255945E-2</v>
      </c>
    </row>
    <row r="9" spans="1:20" outlineLevel="1">
      <c r="A9" s="33" t="s">
        <v>16</v>
      </c>
      <c r="B9" s="34">
        <f>COUNTIFS('data set'!$E:$E,Model!$A9,'data set'!$B:$B,Model!B$3)</f>
        <v>0</v>
      </c>
      <c r="C9" s="34">
        <f>COUNTIFS('data set'!$E:$E,Model!$A9,'data set'!$B:$B,Model!C$3)</f>
        <v>0</v>
      </c>
      <c r="D9" s="34">
        <f>COUNTIFS('data set'!$E:$E,Model!$A9,'data set'!$B:$B,Model!D$3)</f>
        <v>0</v>
      </c>
      <c r="E9" s="34">
        <f>COUNTIFS('data set'!$E:$E,Model!$A9,'data set'!$B:$B,Model!E$3)</f>
        <v>1</v>
      </c>
      <c r="F9" s="34">
        <f>COUNTIFS('data set'!$E:$E,Model!$A9,'data set'!$B:$B,Model!F$3)</f>
        <v>0</v>
      </c>
      <c r="G9" s="34">
        <f>COUNTIFS('data set'!$E:$E,Model!$A9,'data set'!$B:$B,Model!G$3)</f>
        <v>3</v>
      </c>
      <c r="H9" s="34">
        <f>COUNTIFS('data set'!$E:$E,Model!$A9,'data set'!$B:$B,Model!H$3)</f>
        <v>0</v>
      </c>
      <c r="I9" s="35">
        <f>COUNTIFS('data set'!$E:$E,Model!$A9,'data set'!$B:$B,Model!I$3)</f>
        <v>1</v>
      </c>
      <c r="J9" s="36">
        <f>Inputs!B13</f>
        <v>1</v>
      </c>
      <c r="K9" s="37">
        <f t="shared" ref="K9:Q9" si="9">ROUND(J9*(1+K29),0)</f>
        <v>1</v>
      </c>
      <c r="L9" s="37">
        <f t="shared" si="9"/>
        <v>1</v>
      </c>
      <c r="M9" s="37">
        <f t="shared" si="9"/>
        <v>1</v>
      </c>
      <c r="N9" s="37">
        <f t="shared" si="9"/>
        <v>1</v>
      </c>
      <c r="O9" s="37">
        <f t="shared" si="9"/>
        <v>1</v>
      </c>
      <c r="P9" s="37">
        <f t="shared" si="9"/>
        <v>1</v>
      </c>
      <c r="Q9" s="37">
        <f t="shared" si="9"/>
        <v>1</v>
      </c>
      <c r="S9" s="38">
        <f t="shared" si="1"/>
        <v>3.1899074321543544E-12</v>
      </c>
      <c r="T9" s="38">
        <f t="shared" si="2"/>
        <v>8.2329817756500155E-15</v>
      </c>
    </row>
    <row r="10" spans="1:20" outlineLevel="1">
      <c r="A10" s="33" t="s">
        <v>74</v>
      </c>
      <c r="B10" s="40">
        <f>COUNTIFS('data set'!$E:$E,Model!$A10,'data set'!$B:$B,Model!B$3)</f>
        <v>0</v>
      </c>
      <c r="C10" s="40">
        <f>COUNTIFS('data set'!$E:$E,Model!$A10,'data set'!$B:$B,Model!C$3)</f>
        <v>0</v>
      </c>
      <c r="D10" s="40">
        <f>COUNTIFS('data set'!$E:$E,Model!$A10,'data set'!$B:$B,Model!D$3)</f>
        <v>0</v>
      </c>
      <c r="E10" s="40">
        <f>COUNTIFS('data set'!$E:$E,Model!$A10,'data set'!$B:$B,Model!E$3)</f>
        <v>0</v>
      </c>
      <c r="F10" s="40">
        <f>COUNTIFS('data set'!$E:$E,Model!$A10,'data set'!$B:$B,Model!F$3)</f>
        <v>0</v>
      </c>
      <c r="G10" s="40">
        <f>COUNTIFS('data set'!$E:$E,Model!$A10,'data set'!$B:$B,Model!G$3)</f>
        <v>1</v>
      </c>
      <c r="H10" s="40">
        <f>COUNTIFS('data set'!$E:$E,Model!$A10,'data set'!$B:$B,Model!H$3)</f>
        <v>1</v>
      </c>
      <c r="I10" s="41">
        <f>COUNTIFS('data set'!$E:$E,Model!$A10,'data set'!$B:$B,Model!I$3)</f>
        <v>0</v>
      </c>
      <c r="J10" s="42">
        <f>ROUND(I13*J22,0)</f>
        <v>5</v>
      </c>
      <c r="K10" s="42">
        <f t="shared" ref="K10:P10" si="10">ROUND(J13*K22,0)</f>
        <v>2</v>
      </c>
      <c r="L10" s="42">
        <f t="shared" si="10"/>
        <v>2</v>
      </c>
      <c r="M10" s="42">
        <f t="shared" si="10"/>
        <v>2</v>
      </c>
      <c r="N10" s="42">
        <f t="shared" si="10"/>
        <v>2</v>
      </c>
      <c r="O10" s="42">
        <f t="shared" si="10"/>
        <v>2</v>
      </c>
      <c r="P10" s="42">
        <f t="shared" si="10"/>
        <v>2</v>
      </c>
      <c r="Q10" s="42">
        <f>ROUND(P13*Q22,0)</f>
        <v>3</v>
      </c>
      <c r="S10" s="38" t="str">
        <f t="shared" si="1"/>
        <v>N/A</v>
      </c>
      <c r="T10" s="38">
        <f t="shared" si="2"/>
        <v>6.9913193933663256E-2</v>
      </c>
    </row>
    <row r="11" spans="1:20">
      <c r="A11" s="43" t="s">
        <v>75</v>
      </c>
      <c r="B11" s="43">
        <f>SUM(B4:B10)</f>
        <v>2</v>
      </c>
      <c r="C11" s="43">
        <f t="shared" ref="C11:H11" si="11">SUM(C4:C10)</f>
        <v>28</v>
      </c>
      <c r="D11" s="43">
        <f t="shared" si="11"/>
        <v>95</v>
      </c>
      <c r="E11" s="43">
        <f t="shared" si="11"/>
        <v>185</v>
      </c>
      <c r="F11" s="43">
        <f t="shared" si="11"/>
        <v>237</v>
      </c>
      <c r="G11" s="43">
        <f t="shared" si="11"/>
        <v>283</v>
      </c>
      <c r="H11" s="43">
        <f t="shared" si="11"/>
        <v>328</v>
      </c>
      <c r="I11" s="44">
        <f>SUM(I4:I10)</f>
        <v>379</v>
      </c>
      <c r="J11" s="45">
        <f>SUM(J4:J10)</f>
        <v>439</v>
      </c>
      <c r="K11" s="45">
        <f t="shared" ref="K11" si="12">SUM(K4:K10)</f>
        <v>501</v>
      </c>
      <c r="L11" s="45">
        <f t="shared" ref="L11:Q11" si="13">SUM(L4:L10)</f>
        <v>565</v>
      </c>
      <c r="M11" s="45">
        <f t="shared" si="13"/>
        <v>631</v>
      </c>
      <c r="N11" s="45">
        <f t="shared" si="13"/>
        <v>697</v>
      </c>
      <c r="O11" s="45">
        <f t="shared" si="13"/>
        <v>765</v>
      </c>
      <c r="P11" s="45">
        <f t="shared" si="13"/>
        <v>835</v>
      </c>
      <c r="Q11" s="45">
        <f t="shared" si="13"/>
        <v>906</v>
      </c>
      <c r="S11" s="38">
        <f t="shared" si="1"/>
        <v>0.11509308710493318</v>
      </c>
      <c r="T11" s="38">
        <f t="shared" si="2"/>
        <v>0.10377802959817192</v>
      </c>
    </row>
    <row r="12" spans="1:20" outlineLevel="1">
      <c r="A12" s="33" t="s">
        <v>76</v>
      </c>
      <c r="B12" s="34">
        <f>COUNTIFS('data set'!$E:$E,Model!$A12,'data set'!$B:$B,Model!B$3)</f>
        <v>0</v>
      </c>
      <c r="C12" s="34">
        <f>COUNTIFS('data set'!$E:$E,Model!$A12,'data set'!$B:$B,Model!C$3)</f>
        <v>1</v>
      </c>
      <c r="D12" s="34">
        <f>COUNTIFS('data set'!$E:$E,Model!$A12,'data set'!$B:$B,Model!D$3)</f>
        <v>1</v>
      </c>
      <c r="E12" s="34">
        <f>COUNTIFS('data set'!$E:$E,Model!$A12,'data set'!$B:$B,Model!E$3)</f>
        <v>3</v>
      </c>
      <c r="F12" s="34">
        <f>COUNTIFS('data set'!$E:$E,Model!$A12,'data set'!$B:$B,Model!F$3)</f>
        <v>0</v>
      </c>
      <c r="G12" s="34">
        <f>COUNTIFS('data set'!$E:$E,Model!$A12,'data set'!$B:$B,Model!G$3)</f>
        <v>3</v>
      </c>
      <c r="H12" s="34">
        <f>COUNTIFS('data set'!$E:$E,Model!$A12,'data set'!$B:$B,Model!H$3)</f>
        <v>1</v>
      </c>
      <c r="I12" s="35">
        <f>COUNTIFS('data set'!$E:$E,Model!$A12,'data set'!$B:$B,Model!I$3)</f>
        <v>1</v>
      </c>
      <c r="J12" s="37">
        <f t="shared" ref="J12:Q13" si="14">ROUND(I$15*J23,0)</f>
        <v>2</v>
      </c>
      <c r="K12" s="37">
        <f t="shared" si="14"/>
        <v>2</v>
      </c>
      <c r="L12" s="37">
        <f t="shared" si="14"/>
        <v>2</v>
      </c>
      <c r="M12" s="37">
        <f t="shared" si="14"/>
        <v>3</v>
      </c>
      <c r="N12" s="37">
        <f t="shared" si="14"/>
        <v>3</v>
      </c>
      <c r="O12" s="37">
        <f t="shared" si="14"/>
        <v>3</v>
      </c>
      <c r="P12" s="37">
        <f t="shared" si="14"/>
        <v>4</v>
      </c>
      <c r="Q12" s="37">
        <f t="shared" si="14"/>
        <v>4</v>
      </c>
      <c r="R12" s="46"/>
      <c r="S12" s="38">
        <f t="shared" si="1"/>
        <v>0.18920711500041151</v>
      </c>
      <c r="T12" s="38">
        <f t="shared" si="2"/>
        <v>0.12246204830937299</v>
      </c>
    </row>
    <row r="13" spans="1:20" outlineLevel="1">
      <c r="A13" s="33" t="s">
        <v>77</v>
      </c>
      <c r="B13" s="34">
        <f>COUNTIFS('data set'!$E:$E,Model!$A13,'data set'!$B:$B,Model!B$3)</f>
        <v>0</v>
      </c>
      <c r="C13" s="34">
        <f>COUNTIFS('data set'!$E:$E,Model!$A13,'data set'!$B:$B,Model!C$3)</f>
        <v>0</v>
      </c>
      <c r="D13" s="34">
        <f>COUNTIFS('data set'!$E:$E,Model!$A13,'data set'!$B:$B,Model!D$3)</f>
        <v>1</v>
      </c>
      <c r="E13" s="34">
        <f>COUNTIFS('data set'!$E:$E,Model!$A13,'data set'!$B:$B,Model!E$3)</f>
        <v>0</v>
      </c>
      <c r="F13" s="34">
        <f>COUNTIFS('data set'!$E:$E,Model!$A13,'data set'!$B:$B,Model!F$3)</f>
        <v>3</v>
      </c>
      <c r="G13" s="34">
        <f>COUNTIFS('data set'!$E:$E,Model!$A13,'data set'!$B:$B,Model!G$3)</f>
        <v>3</v>
      </c>
      <c r="H13" s="34">
        <f>COUNTIFS('data set'!$E:$E,Model!$A13,'data set'!$B:$B,Model!H$3)</f>
        <v>4</v>
      </c>
      <c r="I13" s="35">
        <f>COUNTIFS('data set'!$E:$E,Model!$A13,'data set'!$B:$B,Model!I$3)</f>
        <v>6</v>
      </c>
      <c r="J13" s="37">
        <f t="shared" si="14"/>
        <v>2</v>
      </c>
      <c r="K13" s="37">
        <f t="shared" si="14"/>
        <v>2</v>
      </c>
      <c r="L13" s="37">
        <f t="shared" si="14"/>
        <v>2</v>
      </c>
      <c r="M13" s="37">
        <f t="shared" si="14"/>
        <v>3</v>
      </c>
      <c r="N13" s="37">
        <f t="shared" si="14"/>
        <v>3</v>
      </c>
      <c r="O13" s="37">
        <f t="shared" si="14"/>
        <v>3</v>
      </c>
      <c r="P13" s="37">
        <f t="shared" si="14"/>
        <v>4</v>
      </c>
      <c r="Q13" s="37">
        <f t="shared" si="14"/>
        <v>4</v>
      </c>
      <c r="R13" s="46"/>
      <c r="S13" s="38">
        <f t="shared" si="1"/>
        <v>-4.9420175045759629E-2</v>
      </c>
      <c r="T13" s="38">
        <f t="shared" si="2"/>
        <v>0.12246204830937299</v>
      </c>
    </row>
    <row r="14" spans="1:20">
      <c r="A14" s="48" t="s">
        <v>78</v>
      </c>
      <c r="B14" s="49">
        <f>SUM(B12:B13)</f>
        <v>0</v>
      </c>
      <c r="C14" s="49">
        <f t="shared" ref="C14:K14" si="15">SUM(C12:C13)</f>
        <v>1</v>
      </c>
      <c r="D14" s="49">
        <f t="shared" si="15"/>
        <v>2</v>
      </c>
      <c r="E14" s="49">
        <f t="shared" si="15"/>
        <v>3</v>
      </c>
      <c r="F14" s="49">
        <f t="shared" si="15"/>
        <v>3</v>
      </c>
      <c r="G14" s="49">
        <f t="shared" si="15"/>
        <v>6</v>
      </c>
      <c r="H14" s="49">
        <f t="shared" si="15"/>
        <v>5</v>
      </c>
      <c r="I14" s="50">
        <f t="shared" si="15"/>
        <v>7</v>
      </c>
      <c r="J14" s="51">
        <f t="shared" si="15"/>
        <v>4</v>
      </c>
      <c r="K14" s="51">
        <f t="shared" si="15"/>
        <v>4</v>
      </c>
      <c r="L14" s="51">
        <f t="shared" ref="L14:Q14" si="16">SUM(L12:L13)</f>
        <v>4</v>
      </c>
      <c r="M14" s="51">
        <f t="shared" si="16"/>
        <v>6</v>
      </c>
      <c r="N14" s="51">
        <f t="shared" si="16"/>
        <v>6</v>
      </c>
      <c r="O14" s="51">
        <f t="shared" si="16"/>
        <v>6</v>
      </c>
      <c r="P14" s="51">
        <f t="shared" si="16"/>
        <v>8</v>
      </c>
      <c r="Q14" s="51">
        <f t="shared" si="16"/>
        <v>8</v>
      </c>
      <c r="S14" s="38">
        <f t="shared" si="1"/>
        <v>1.6831504190602958E-2</v>
      </c>
      <c r="T14" s="38">
        <f t="shared" si="2"/>
        <v>0.12246204830937299</v>
      </c>
    </row>
    <row r="15" spans="1:20">
      <c r="A15" s="43" t="s">
        <v>75</v>
      </c>
      <c r="B15" s="43">
        <f>B11-B14</f>
        <v>2</v>
      </c>
      <c r="C15" s="43">
        <f t="shared" ref="C15:Q15" si="17">C11-C14</f>
        <v>27</v>
      </c>
      <c r="D15" s="43">
        <f t="shared" si="17"/>
        <v>93</v>
      </c>
      <c r="E15" s="43">
        <f t="shared" si="17"/>
        <v>182</v>
      </c>
      <c r="F15" s="43">
        <f t="shared" si="17"/>
        <v>234</v>
      </c>
      <c r="G15" s="43">
        <f t="shared" si="17"/>
        <v>277</v>
      </c>
      <c r="H15" s="43">
        <f t="shared" si="17"/>
        <v>323</v>
      </c>
      <c r="I15" s="52">
        <f t="shared" si="17"/>
        <v>372</v>
      </c>
      <c r="J15" s="45">
        <f t="shared" si="17"/>
        <v>435</v>
      </c>
      <c r="K15" s="45">
        <f t="shared" si="17"/>
        <v>497</v>
      </c>
      <c r="L15" s="45">
        <f t="shared" si="17"/>
        <v>561</v>
      </c>
      <c r="M15" s="45">
        <f t="shared" si="17"/>
        <v>625</v>
      </c>
      <c r="N15" s="45">
        <f t="shared" si="17"/>
        <v>691</v>
      </c>
      <c r="O15" s="45">
        <f t="shared" si="17"/>
        <v>759</v>
      </c>
      <c r="P15" s="45">
        <f t="shared" si="17"/>
        <v>827</v>
      </c>
      <c r="Q15" s="45">
        <f t="shared" si="17"/>
        <v>898</v>
      </c>
      <c r="S15" s="38">
        <f t="shared" si="1"/>
        <v>0.1164561608803176</v>
      </c>
      <c r="T15" s="38">
        <f t="shared" si="2"/>
        <v>0.10362109037267314</v>
      </c>
    </row>
    <row r="16" spans="1:20">
      <c r="I16" s="53"/>
      <c r="J16" s="82"/>
      <c r="S16" s="54"/>
      <c r="T16" s="38"/>
    </row>
    <row r="17" spans="1:20">
      <c r="A17" s="8" t="s">
        <v>79</v>
      </c>
      <c r="I17" s="53"/>
      <c r="S17" s="54"/>
      <c r="T17" s="38"/>
    </row>
    <row r="18" spans="1:20" outlineLevel="1">
      <c r="A18" s="33" t="s">
        <v>25</v>
      </c>
      <c r="B18" s="4">
        <f t="shared" ref="B18:I19" si="18">B4</f>
        <v>2</v>
      </c>
      <c r="C18" s="4">
        <f t="shared" si="18"/>
        <v>26</v>
      </c>
      <c r="D18" s="4">
        <f t="shared" si="18"/>
        <v>62</v>
      </c>
      <c r="E18" s="4">
        <f t="shared" si="18"/>
        <v>85</v>
      </c>
      <c r="F18" s="4">
        <f t="shared" si="18"/>
        <v>51</v>
      </c>
      <c r="G18" s="4">
        <f t="shared" si="18"/>
        <v>50</v>
      </c>
      <c r="H18" s="4">
        <f t="shared" si="18"/>
        <v>61</v>
      </c>
      <c r="I18" s="53">
        <f t="shared" si="18"/>
        <v>64</v>
      </c>
      <c r="J18" s="34">
        <f>Inputs!B9</f>
        <v>62</v>
      </c>
      <c r="K18" s="4">
        <f t="shared" ref="K18:Q20" si="19">ROUND(J18*(1+K27),0)</f>
        <v>64</v>
      </c>
      <c r="L18" s="4">
        <f t="shared" si="19"/>
        <v>66</v>
      </c>
      <c r="M18" s="4">
        <f t="shared" si="19"/>
        <v>68</v>
      </c>
      <c r="N18" s="4">
        <f t="shared" si="19"/>
        <v>70</v>
      </c>
      <c r="O18" s="4">
        <f t="shared" si="19"/>
        <v>72</v>
      </c>
      <c r="P18" s="4">
        <f t="shared" si="19"/>
        <v>74</v>
      </c>
      <c r="Q18" s="4">
        <f t="shared" si="19"/>
        <v>76</v>
      </c>
      <c r="S18" s="54">
        <f t="shared" si="1"/>
        <v>2.171366584037537E-2</v>
      </c>
      <c r="T18" s="38">
        <f t="shared" si="2"/>
        <v>2.9055827476684254E-2</v>
      </c>
    </row>
    <row r="19" spans="1:20" outlineLevel="1">
      <c r="A19" s="33" t="s">
        <v>10</v>
      </c>
      <c r="B19" s="4">
        <f t="shared" si="18"/>
        <v>0</v>
      </c>
      <c r="C19" s="4">
        <f t="shared" si="18"/>
        <v>1</v>
      </c>
      <c r="D19" s="4">
        <f t="shared" si="18"/>
        <v>4</v>
      </c>
      <c r="E19" s="4">
        <f t="shared" si="18"/>
        <v>4</v>
      </c>
      <c r="F19" s="4">
        <f t="shared" si="18"/>
        <v>5</v>
      </c>
      <c r="G19" s="4">
        <f t="shared" si="18"/>
        <v>2</v>
      </c>
      <c r="H19" s="4">
        <f t="shared" si="18"/>
        <v>1</v>
      </c>
      <c r="I19" s="53">
        <f t="shared" si="18"/>
        <v>0</v>
      </c>
      <c r="J19" s="34">
        <f>Inputs!B10</f>
        <v>3</v>
      </c>
      <c r="K19" s="4">
        <f t="shared" si="19"/>
        <v>3</v>
      </c>
      <c r="L19" s="4">
        <f t="shared" si="19"/>
        <v>3</v>
      </c>
      <c r="M19" s="4">
        <f t="shared" si="19"/>
        <v>3</v>
      </c>
      <c r="N19" s="4">
        <f t="shared" si="19"/>
        <v>3</v>
      </c>
      <c r="O19" s="4">
        <f t="shared" si="19"/>
        <v>3</v>
      </c>
      <c r="P19" s="4">
        <f t="shared" si="19"/>
        <v>3</v>
      </c>
      <c r="Q19" s="4">
        <f t="shared" si="19"/>
        <v>3</v>
      </c>
      <c r="S19" s="54" t="str">
        <f t="shared" si="1"/>
        <v>N/A</v>
      </c>
      <c r="T19" s="38">
        <f t="shared" si="2"/>
        <v>8.3526939061644697E-15</v>
      </c>
    </row>
    <row r="20" spans="1:20" outlineLevel="1">
      <c r="A20" s="33" t="s">
        <v>16</v>
      </c>
      <c r="B20" s="4">
        <f t="shared" ref="B20:I20" si="20">B9</f>
        <v>0</v>
      </c>
      <c r="C20" s="4">
        <f t="shared" si="20"/>
        <v>0</v>
      </c>
      <c r="D20" s="4">
        <f t="shared" si="20"/>
        <v>0</v>
      </c>
      <c r="E20" s="4">
        <f t="shared" si="20"/>
        <v>1</v>
      </c>
      <c r="F20" s="4">
        <f t="shared" si="20"/>
        <v>0</v>
      </c>
      <c r="G20" s="4">
        <f t="shared" si="20"/>
        <v>3</v>
      </c>
      <c r="H20" s="4">
        <f t="shared" si="20"/>
        <v>0</v>
      </c>
      <c r="I20" s="53">
        <f t="shared" si="20"/>
        <v>1</v>
      </c>
      <c r="J20" s="34">
        <f>Inputs!B13</f>
        <v>1</v>
      </c>
      <c r="K20" s="4">
        <f t="shared" si="19"/>
        <v>1</v>
      </c>
      <c r="L20" s="4">
        <f t="shared" si="19"/>
        <v>1</v>
      </c>
      <c r="M20" s="4">
        <f t="shared" si="19"/>
        <v>1</v>
      </c>
      <c r="N20" s="4">
        <f t="shared" si="19"/>
        <v>1</v>
      </c>
      <c r="O20" s="4">
        <f t="shared" si="19"/>
        <v>1</v>
      </c>
      <c r="P20" s="4">
        <f t="shared" si="19"/>
        <v>1</v>
      </c>
      <c r="Q20" s="4">
        <f t="shared" si="19"/>
        <v>1</v>
      </c>
      <c r="S20" s="54">
        <f t="shared" si="1"/>
        <v>3.1899074321543544E-12</v>
      </c>
      <c r="T20" s="38">
        <f t="shared" si="2"/>
        <v>8.2329817756500155E-15</v>
      </c>
    </row>
    <row r="21" spans="1:20" outlineLevel="1">
      <c r="A21" s="8" t="s">
        <v>80</v>
      </c>
      <c r="B21" s="83"/>
      <c r="C21" s="84"/>
      <c r="D21" s="84"/>
      <c r="E21" s="84"/>
      <c r="F21" s="84"/>
      <c r="G21" s="84"/>
      <c r="H21" s="84"/>
      <c r="I21" s="85"/>
      <c r="J21" s="86"/>
      <c r="K21" s="86"/>
      <c r="L21" s="86"/>
      <c r="M21" s="86"/>
      <c r="N21" s="86"/>
      <c r="O21" s="86"/>
      <c r="P21" s="86"/>
      <c r="Q21" s="86"/>
      <c r="S21" s="54"/>
      <c r="T21" s="38"/>
    </row>
    <row r="22" spans="1:20" outlineLevel="1">
      <c r="A22" s="33" t="s">
        <v>81</v>
      </c>
      <c r="B22" s="87"/>
      <c r="C22" s="84" t="str">
        <f t="shared" ref="C22:I22" si="21">IFERROR(C10/B13,"N/A")</f>
        <v>N/A</v>
      </c>
      <c r="D22" s="84" t="str">
        <f t="shared" si="21"/>
        <v>N/A</v>
      </c>
      <c r="E22" s="84">
        <f t="shared" si="21"/>
        <v>0</v>
      </c>
      <c r="F22" s="84" t="str">
        <f t="shared" si="21"/>
        <v>N/A</v>
      </c>
      <c r="G22" s="84">
        <f t="shared" si="21"/>
        <v>0.33333333333333331</v>
      </c>
      <c r="H22" s="84">
        <f t="shared" si="21"/>
        <v>0.33333333333333331</v>
      </c>
      <c r="I22" s="85">
        <f t="shared" si="21"/>
        <v>0</v>
      </c>
      <c r="J22" s="88">
        <f>Inputs!B14</f>
        <v>0.75</v>
      </c>
      <c r="K22" s="89">
        <f>J22</f>
        <v>0.75</v>
      </c>
      <c r="L22" s="89">
        <f t="shared" ref="L22:Q22" si="22">K22</f>
        <v>0.75</v>
      </c>
      <c r="M22" s="89">
        <f t="shared" si="22"/>
        <v>0.75</v>
      </c>
      <c r="N22" s="89">
        <f t="shared" si="22"/>
        <v>0.75</v>
      </c>
      <c r="O22" s="89">
        <f t="shared" si="22"/>
        <v>0.75</v>
      </c>
      <c r="P22" s="89">
        <f t="shared" si="22"/>
        <v>0.75</v>
      </c>
      <c r="Q22" s="89">
        <f t="shared" si="22"/>
        <v>0.75</v>
      </c>
      <c r="S22" s="54" t="str">
        <f t="shared" si="1"/>
        <v>N/A</v>
      </c>
      <c r="T22" s="38">
        <f t="shared" si="2"/>
        <v>8.3526939061644697E-15</v>
      </c>
    </row>
    <row r="23" spans="1:20" outlineLevel="1">
      <c r="A23" s="33" t="s">
        <v>76</v>
      </c>
      <c r="B23" s="87"/>
      <c r="C23" s="84">
        <f t="shared" ref="C23:I23" si="23">C12/B15</f>
        <v>0.5</v>
      </c>
      <c r="D23" s="84">
        <f t="shared" si="23"/>
        <v>3.7037037037037035E-2</v>
      </c>
      <c r="E23" s="84">
        <f t="shared" si="23"/>
        <v>3.2258064516129031E-2</v>
      </c>
      <c r="F23" s="84">
        <f t="shared" si="23"/>
        <v>0</v>
      </c>
      <c r="G23" s="84">
        <f t="shared" si="23"/>
        <v>1.282051282051282E-2</v>
      </c>
      <c r="H23" s="84">
        <f t="shared" si="23"/>
        <v>3.6101083032490976E-3</v>
      </c>
      <c r="I23" s="85">
        <f t="shared" si="23"/>
        <v>3.0959752321981426E-3</v>
      </c>
      <c r="J23" s="88">
        <f>Inputs!B15</f>
        <v>4.8816490889900151E-3</v>
      </c>
      <c r="K23" s="89">
        <f t="shared" ref="K23:Q23" si="24">J23</f>
        <v>4.8816490889900151E-3</v>
      </c>
      <c r="L23" s="89">
        <f t="shared" si="24"/>
        <v>4.8816490889900151E-3</v>
      </c>
      <c r="M23" s="89">
        <f t="shared" si="24"/>
        <v>4.8816490889900151E-3</v>
      </c>
      <c r="N23" s="89">
        <f t="shared" si="24"/>
        <v>4.8816490889900151E-3</v>
      </c>
      <c r="O23" s="89">
        <f t="shared" si="24"/>
        <v>4.8816490889900151E-3</v>
      </c>
      <c r="P23" s="89">
        <f t="shared" si="24"/>
        <v>4.8816490889900151E-3</v>
      </c>
      <c r="Q23" s="89">
        <f t="shared" si="24"/>
        <v>4.8816490889900151E-3</v>
      </c>
      <c r="S23" s="54">
        <f t="shared" si="1"/>
        <v>5.8573785626047176E-2</v>
      </c>
      <c r="T23" s="38">
        <f t="shared" si="2"/>
        <v>8.2611401313552906E-15</v>
      </c>
    </row>
    <row r="24" spans="1:20" outlineLevel="1">
      <c r="A24" s="33" t="s">
        <v>77</v>
      </c>
      <c r="B24" s="87"/>
      <c r="C24" s="84">
        <f t="shared" ref="C24:I24" si="25">C13/B15</f>
        <v>0</v>
      </c>
      <c r="D24" s="84">
        <f t="shared" si="25"/>
        <v>3.7037037037037035E-2</v>
      </c>
      <c r="E24" s="84">
        <f t="shared" si="25"/>
        <v>0</v>
      </c>
      <c r="F24" s="84">
        <f t="shared" si="25"/>
        <v>1.6483516483516484E-2</v>
      </c>
      <c r="G24" s="84">
        <f t="shared" si="25"/>
        <v>1.282051282051282E-2</v>
      </c>
      <c r="H24" s="84">
        <f t="shared" si="25"/>
        <v>1.444043321299639E-2</v>
      </c>
      <c r="I24" s="85">
        <f t="shared" si="25"/>
        <v>1.8575851393188854E-2</v>
      </c>
      <c r="J24" s="88">
        <f>Inputs!B16</f>
        <v>5.0000000000000001E-3</v>
      </c>
      <c r="K24" s="89">
        <f t="shared" ref="K24:Q24" si="26">J24</f>
        <v>5.0000000000000001E-3</v>
      </c>
      <c r="L24" s="89">
        <f t="shared" si="26"/>
        <v>5.0000000000000001E-3</v>
      </c>
      <c r="M24" s="89">
        <f t="shared" si="26"/>
        <v>5.0000000000000001E-3</v>
      </c>
      <c r="N24" s="89">
        <f t="shared" si="26"/>
        <v>5.0000000000000001E-3</v>
      </c>
      <c r="O24" s="89">
        <f t="shared" si="26"/>
        <v>5.0000000000000001E-3</v>
      </c>
      <c r="P24" s="89">
        <f t="shared" si="26"/>
        <v>5.0000000000000001E-3</v>
      </c>
      <c r="Q24" s="89">
        <f t="shared" si="26"/>
        <v>5.0000000000000001E-3</v>
      </c>
      <c r="S24" s="54">
        <f t="shared" si="1"/>
        <v>-0.15130301463023699</v>
      </c>
      <c r="T24" s="38">
        <f t="shared" si="2"/>
        <v>8.3232960378888718E-15</v>
      </c>
    </row>
    <row r="25" spans="1:20">
      <c r="A25" s="43"/>
      <c r="B25" s="43"/>
      <c r="C25" s="43"/>
      <c r="D25" s="43"/>
      <c r="E25" s="43"/>
      <c r="F25" s="43"/>
      <c r="G25" s="43"/>
      <c r="H25" s="43"/>
      <c r="I25" s="52"/>
      <c r="J25" s="46"/>
      <c r="K25" s="46"/>
      <c r="L25" s="46"/>
      <c r="M25" s="46"/>
      <c r="N25" s="46"/>
      <c r="O25" s="46"/>
      <c r="P25" s="46"/>
      <c r="Q25" s="46"/>
      <c r="S25" s="54" t="str">
        <f t="shared" si="1"/>
        <v>N/A</v>
      </c>
      <c r="T25" s="38" t="str">
        <f t="shared" si="2"/>
        <v>N/A</v>
      </c>
    </row>
    <row r="26" spans="1:20">
      <c r="A26" s="8" t="s">
        <v>82</v>
      </c>
      <c r="C26" s="32"/>
      <c r="D26" s="32"/>
      <c r="E26" s="32"/>
      <c r="F26" s="32"/>
      <c r="G26" s="32"/>
      <c r="H26" s="32"/>
      <c r="I26" s="72"/>
      <c r="S26" s="54" t="str">
        <f t="shared" si="1"/>
        <v>N/A</v>
      </c>
      <c r="T26" s="38" t="str">
        <f t="shared" si="2"/>
        <v>N/A</v>
      </c>
    </row>
    <row r="27" spans="1:20" outlineLevel="1">
      <c r="A27" s="33" t="s">
        <v>25</v>
      </c>
      <c r="B27" s="87"/>
      <c r="C27" s="84">
        <f t="shared" ref="C27:I28" si="27">IFERROR((C4-B4)/B4,"N/A")</f>
        <v>12</v>
      </c>
      <c r="D27" s="84">
        <f t="shared" si="27"/>
        <v>1.3846153846153846</v>
      </c>
      <c r="E27" s="84">
        <f t="shared" si="27"/>
        <v>0.37096774193548387</v>
      </c>
      <c r="F27" s="84">
        <f t="shared" si="27"/>
        <v>-0.4</v>
      </c>
      <c r="G27" s="84">
        <f t="shared" si="27"/>
        <v>-1.9607843137254902E-2</v>
      </c>
      <c r="H27" s="84">
        <f t="shared" si="27"/>
        <v>0.22</v>
      </c>
      <c r="I27" s="85">
        <f t="shared" si="27"/>
        <v>4.9180327868852458E-2</v>
      </c>
      <c r="J27" s="88">
        <f>Inputs!B19</f>
        <v>0.03</v>
      </c>
      <c r="K27" s="89">
        <f>J27</f>
        <v>0.03</v>
      </c>
      <c r="L27" s="89">
        <f t="shared" ref="L27:Q27" si="28">K27</f>
        <v>0.03</v>
      </c>
      <c r="M27" s="89">
        <f t="shared" si="28"/>
        <v>0.03</v>
      </c>
      <c r="N27" s="89">
        <f t="shared" si="28"/>
        <v>0.03</v>
      </c>
      <c r="O27" s="89">
        <f t="shared" si="28"/>
        <v>0.03</v>
      </c>
      <c r="P27" s="89">
        <f t="shared" si="28"/>
        <v>0.03</v>
      </c>
      <c r="Q27" s="89">
        <f t="shared" si="28"/>
        <v>0.03</v>
      </c>
      <c r="R27" s="89"/>
      <c r="S27" s="54">
        <f t="shared" si="1"/>
        <v>-5.9916934647605467E-2</v>
      </c>
      <c r="T27" s="38">
        <f t="shared" si="2"/>
        <v>8.2402099437131192E-15</v>
      </c>
    </row>
    <row r="28" spans="1:20" outlineLevel="1">
      <c r="A28" s="33" t="s">
        <v>72</v>
      </c>
      <c r="B28" s="87"/>
      <c r="C28" s="84" t="str">
        <f t="shared" si="27"/>
        <v>N/A</v>
      </c>
      <c r="D28" s="84">
        <f t="shared" si="27"/>
        <v>3</v>
      </c>
      <c r="E28" s="84">
        <f t="shared" si="27"/>
        <v>0</v>
      </c>
      <c r="F28" s="84">
        <f t="shared" si="27"/>
        <v>0.25</v>
      </c>
      <c r="G28" s="84">
        <f t="shared" si="27"/>
        <v>-0.6</v>
      </c>
      <c r="H28" s="84">
        <f t="shared" si="27"/>
        <v>-0.5</v>
      </c>
      <c r="I28" s="85">
        <f t="shared" si="27"/>
        <v>-1</v>
      </c>
      <c r="J28" s="88">
        <f>Inputs!B20</f>
        <v>0</v>
      </c>
      <c r="K28" s="89">
        <f t="shared" ref="K28:Q29" si="29">J28</f>
        <v>0</v>
      </c>
      <c r="L28" s="89">
        <f t="shared" si="29"/>
        <v>0</v>
      </c>
      <c r="M28" s="89">
        <f t="shared" si="29"/>
        <v>0</v>
      </c>
      <c r="N28" s="89">
        <f t="shared" si="29"/>
        <v>0</v>
      </c>
      <c r="O28" s="89">
        <f t="shared" si="29"/>
        <v>0</v>
      </c>
      <c r="P28" s="89">
        <f t="shared" si="29"/>
        <v>0</v>
      </c>
      <c r="Q28" s="89">
        <f t="shared" si="29"/>
        <v>0</v>
      </c>
      <c r="S28" s="54">
        <f t="shared" si="1"/>
        <v>-0.99999900446736079</v>
      </c>
      <c r="T28" s="38" t="str">
        <f t="shared" si="2"/>
        <v>N/A</v>
      </c>
    </row>
    <row r="29" spans="1:20" outlineLevel="1">
      <c r="A29" s="33" t="s">
        <v>16</v>
      </c>
      <c r="B29" s="87"/>
      <c r="C29" s="84" t="str">
        <f t="shared" ref="C29:I29" si="30">IFERROR((C9-B9)/B9,"N/A")</f>
        <v>N/A</v>
      </c>
      <c r="D29" s="84" t="str">
        <f t="shared" si="30"/>
        <v>N/A</v>
      </c>
      <c r="E29" s="84" t="str">
        <f t="shared" si="30"/>
        <v>N/A</v>
      </c>
      <c r="F29" s="84">
        <f t="shared" si="30"/>
        <v>-1</v>
      </c>
      <c r="G29" s="84" t="str">
        <f t="shared" si="30"/>
        <v>N/A</v>
      </c>
      <c r="H29" s="84">
        <f t="shared" si="30"/>
        <v>-1</v>
      </c>
      <c r="I29" s="85" t="str">
        <f t="shared" si="30"/>
        <v>N/A</v>
      </c>
      <c r="J29" s="88">
        <f>Inputs!B21</f>
        <v>0</v>
      </c>
      <c r="K29" s="89">
        <f t="shared" si="29"/>
        <v>0</v>
      </c>
      <c r="L29" s="89">
        <f t="shared" si="29"/>
        <v>0</v>
      </c>
      <c r="M29" s="89">
        <f t="shared" si="29"/>
        <v>0</v>
      </c>
      <c r="N29" s="89">
        <f t="shared" si="29"/>
        <v>0</v>
      </c>
      <c r="O29" s="89">
        <f t="shared" si="29"/>
        <v>0</v>
      </c>
      <c r="P29" s="89">
        <f t="shared" si="29"/>
        <v>0</v>
      </c>
      <c r="Q29" s="89">
        <f t="shared" si="29"/>
        <v>0</v>
      </c>
      <c r="S29" s="54" t="str">
        <f t="shared" si="1"/>
        <v>N/A</v>
      </c>
      <c r="T29" s="38" t="str">
        <f t="shared" si="2"/>
        <v>N/A</v>
      </c>
    </row>
    <row r="30" spans="1:20">
      <c r="B30" s="83"/>
      <c r="C30" s="84"/>
      <c r="D30" s="84"/>
      <c r="E30" s="84"/>
      <c r="F30" s="84"/>
      <c r="G30" s="84"/>
      <c r="H30" s="84"/>
      <c r="I30" s="85"/>
      <c r="J30" s="86"/>
      <c r="K30" s="86"/>
      <c r="L30" s="86"/>
      <c r="M30" s="86"/>
      <c r="N30" s="86"/>
      <c r="O30" s="86"/>
      <c r="P30" s="86"/>
      <c r="Q30" s="86"/>
      <c r="S30" s="54"/>
      <c r="T30" s="38"/>
    </row>
    <row r="31" spans="1:20">
      <c r="B31" s="83"/>
      <c r="C31" s="84"/>
      <c r="D31" s="84"/>
      <c r="E31" s="84"/>
      <c r="F31" s="84"/>
      <c r="G31" s="84"/>
      <c r="H31" s="84"/>
      <c r="I31" s="85"/>
      <c r="J31" s="86"/>
      <c r="K31" s="86"/>
      <c r="L31" s="86"/>
      <c r="M31" s="86"/>
      <c r="N31" s="86"/>
      <c r="O31" s="86"/>
      <c r="P31" s="86"/>
      <c r="Q31" s="86"/>
      <c r="S31" s="54"/>
      <c r="T31" s="38"/>
    </row>
    <row r="32" spans="1:20">
      <c r="A32" s="8" t="s">
        <v>83</v>
      </c>
      <c r="I32" s="53"/>
      <c r="S32" s="54"/>
      <c r="T32" s="38"/>
    </row>
    <row r="33" spans="1:20" outlineLevel="1">
      <c r="A33" s="33" t="s">
        <v>84</v>
      </c>
      <c r="B33" s="87"/>
      <c r="C33" s="32">
        <f t="shared" ref="C33:Q33" si="31">(C15-B15)/B15</f>
        <v>12.5</v>
      </c>
      <c r="D33" s="32">
        <f t="shared" si="31"/>
        <v>2.4444444444444446</v>
      </c>
      <c r="E33" s="32">
        <f t="shared" si="31"/>
        <v>0.956989247311828</v>
      </c>
      <c r="F33" s="32">
        <f t="shared" si="31"/>
        <v>0.2857142857142857</v>
      </c>
      <c r="G33" s="32">
        <f t="shared" si="31"/>
        <v>0.18376068376068377</v>
      </c>
      <c r="H33" s="32">
        <f t="shared" si="31"/>
        <v>0.16606498194945848</v>
      </c>
      <c r="I33" s="72">
        <f t="shared" si="31"/>
        <v>0.15170278637770898</v>
      </c>
      <c r="J33" s="32">
        <f t="shared" si="31"/>
        <v>0.16935483870967741</v>
      </c>
      <c r="K33" s="32">
        <f t="shared" si="31"/>
        <v>0.14252873563218391</v>
      </c>
      <c r="L33" s="32">
        <f t="shared" si="31"/>
        <v>0.12877263581488935</v>
      </c>
      <c r="M33" s="32">
        <f t="shared" si="31"/>
        <v>0.1140819964349376</v>
      </c>
      <c r="N33" s="32">
        <f t="shared" si="31"/>
        <v>0.1056</v>
      </c>
      <c r="O33" s="32">
        <f t="shared" si="31"/>
        <v>9.8408104196816212E-2</v>
      </c>
      <c r="P33" s="32">
        <f t="shared" si="31"/>
        <v>8.9591567852437423E-2</v>
      </c>
      <c r="Q33" s="32">
        <f t="shared" si="31"/>
        <v>8.5852478839177751E-2</v>
      </c>
      <c r="S33" s="54">
        <f t="shared" si="1"/>
        <v>-6.8688619119225358E-2</v>
      </c>
      <c r="T33" s="38">
        <f t="shared" si="2"/>
        <v>-8.1015045772412933E-2</v>
      </c>
    </row>
    <row r="34" spans="1:20" outlineLevel="1">
      <c r="A34" s="33" t="s">
        <v>85</v>
      </c>
      <c r="B34" s="87"/>
      <c r="C34" s="32">
        <f>(C4-B4)/B4</f>
        <v>12</v>
      </c>
      <c r="D34" s="32">
        <f t="shared" ref="D34:Q34" si="32">(D4-C4)/C4</f>
        <v>1.3846153846153846</v>
      </c>
      <c r="E34" s="32">
        <f t="shared" si="32"/>
        <v>0.37096774193548387</v>
      </c>
      <c r="F34" s="32">
        <f t="shared" si="32"/>
        <v>-0.4</v>
      </c>
      <c r="G34" s="32">
        <f t="shared" si="32"/>
        <v>-1.9607843137254902E-2</v>
      </c>
      <c r="H34" s="32">
        <f t="shared" si="32"/>
        <v>0.22</v>
      </c>
      <c r="I34" s="72">
        <f t="shared" si="32"/>
        <v>4.9180327868852458E-2</v>
      </c>
      <c r="J34" s="32">
        <f t="shared" si="32"/>
        <v>-3.125E-2</v>
      </c>
      <c r="K34" s="32">
        <f t="shared" si="32"/>
        <v>3.2258064516129031E-2</v>
      </c>
      <c r="L34" s="32">
        <f t="shared" si="32"/>
        <v>3.125E-2</v>
      </c>
      <c r="M34" s="32">
        <f t="shared" si="32"/>
        <v>3.0303030303030304E-2</v>
      </c>
      <c r="N34" s="32">
        <f t="shared" si="32"/>
        <v>2.9411764705882353E-2</v>
      </c>
      <c r="O34" s="32">
        <f t="shared" si="32"/>
        <v>2.8571428571428571E-2</v>
      </c>
      <c r="P34" s="32">
        <f t="shared" si="32"/>
        <v>2.7777777777777776E-2</v>
      </c>
      <c r="Q34" s="32">
        <f t="shared" si="32"/>
        <v>2.7027027027027029E-2</v>
      </c>
      <c r="S34" s="54">
        <f t="shared" ref="S34" si="33">IFERROR(RATE(MONTH($Q$3)-MONTH($I$3),0,-I34,Q34),"N/A")</f>
        <v>-7.2100678770851134E-2</v>
      </c>
      <c r="T34" s="38">
        <f t="shared" ref="T34" si="34">IFERROR(RATE(MONTH($Q$3)-MONTH($K$3),0,-K34,Q34),"N/A")</f>
        <v>-2.9057909361395715E-2</v>
      </c>
    </row>
    <row r="35" spans="1:20" outlineLevel="1">
      <c r="A35" s="33" t="s">
        <v>86</v>
      </c>
      <c r="B35" s="87"/>
      <c r="C35" s="87"/>
      <c r="D35" s="87"/>
      <c r="E35" s="87"/>
      <c r="F35" s="90">
        <f>F12</f>
        <v>0</v>
      </c>
      <c r="G35" s="90">
        <f>F35+G12</f>
        <v>3</v>
      </c>
      <c r="H35" s="90">
        <f t="shared" ref="H35:Q35" si="35">G35+H12</f>
        <v>4</v>
      </c>
      <c r="I35" s="91">
        <f t="shared" si="35"/>
        <v>5</v>
      </c>
      <c r="J35" s="90">
        <f t="shared" si="35"/>
        <v>7</v>
      </c>
      <c r="K35" s="90">
        <f t="shared" si="35"/>
        <v>9</v>
      </c>
      <c r="L35" s="90">
        <f t="shared" si="35"/>
        <v>11</v>
      </c>
      <c r="M35" s="90">
        <f t="shared" si="35"/>
        <v>14</v>
      </c>
      <c r="N35" s="90">
        <f t="shared" si="35"/>
        <v>17</v>
      </c>
      <c r="O35" s="90">
        <f t="shared" si="35"/>
        <v>20</v>
      </c>
      <c r="P35" s="90">
        <f t="shared" si="35"/>
        <v>24</v>
      </c>
      <c r="Q35" s="90">
        <f t="shared" si="35"/>
        <v>28</v>
      </c>
      <c r="R35" s="90"/>
      <c r="S35" s="54"/>
      <c r="T35" s="38"/>
    </row>
    <row r="36" spans="1:20" outlineLevel="1">
      <c r="A36" s="33" t="s">
        <v>87</v>
      </c>
      <c r="B36" s="32">
        <f t="shared" ref="B36:Q36" si="36">B4/B$15</f>
        <v>1</v>
      </c>
      <c r="C36" s="32">
        <f t="shared" si="36"/>
        <v>0.96296296296296291</v>
      </c>
      <c r="D36" s="32">
        <f t="shared" si="36"/>
        <v>0.66666666666666663</v>
      </c>
      <c r="E36" s="32">
        <f t="shared" si="36"/>
        <v>0.46703296703296704</v>
      </c>
      <c r="F36" s="32">
        <f t="shared" si="36"/>
        <v>0.21794871794871795</v>
      </c>
      <c r="G36" s="32">
        <f t="shared" si="36"/>
        <v>0.18050541516245489</v>
      </c>
      <c r="H36" s="32">
        <f t="shared" si="36"/>
        <v>0.18885448916408668</v>
      </c>
      <c r="I36" s="72">
        <f t="shared" si="36"/>
        <v>0.17204301075268819</v>
      </c>
      <c r="J36" s="32">
        <f t="shared" si="36"/>
        <v>0.14252873563218391</v>
      </c>
      <c r="K36" s="32">
        <f t="shared" si="36"/>
        <v>0.12877263581488935</v>
      </c>
      <c r="L36" s="32">
        <f t="shared" si="36"/>
        <v>0.11764705882352941</v>
      </c>
      <c r="M36" s="32">
        <f t="shared" si="36"/>
        <v>0.10879999999999999</v>
      </c>
      <c r="N36" s="32">
        <f t="shared" si="36"/>
        <v>0.10130246020260492</v>
      </c>
      <c r="O36" s="32">
        <f t="shared" si="36"/>
        <v>9.4861660079051377E-2</v>
      </c>
      <c r="P36" s="32">
        <f t="shared" si="36"/>
        <v>8.9480048367593712E-2</v>
      </c>
      <c r="Q36" s="32">
        <f t="shared" si="36"/>
        <v>8.4632516703786187E-2</v>
      </c>
      <c r="S36" s="54">
        <f t="shared" si="1"/>
        <v>-8.4860022596199305E-2</v>
      </c>
      <c r="T36" s="38">
        <f t="shared" si="2"/>
        <v>-6.7564188059154554E-2</v>
      </c>
    </row>
    <row r="37" spans="1:20" outlineLevel="1">
      <c r="A37" s="33" t="s">
        <v>88</v>
      </c>
      <c r="B37" s="87"/>
      <c r="C37" s="32">
        <f t="shared" ref="C37:Q37" si="37">C5/B$15</f>
        <v>0.5</v>
      </c>
      <c r="D37" s="32">
        <f t="shared" si="37"/>
        <v>0.14814814814814814</v>
      </c>
      <c r="E37" s="32">
        <f t="shared" si="37"/>
        <v>4.3010752688172046E-2</v>
      </c>
      <c r="F37" s="32">
        <f t="shared" si="37"/>
        <v>2.7472527472527472E-2</v>
      </c>
      <c r="G37" s="32">
        <f t="shared" si="37"/>
        <v>8.5470085470085479E-3</v>
      </c>
      <c r="H37" s="32">
        <f t="shared" si="37"/>
        <v>3.6101083032490976E-3</v>
      </c>
      <c r="I37" s="72">
        <f t="shared" si="37"/>
        <v>0</v>
      </c>
      <c r="J37" s="32">
        <f t="shared" si="37"/>
        <v>8.0645161290322578E-3</v>
      </c>
      <c r="K37" s="32">
        <f t="shared" si="37"/>
        <v>6.8965517241379309E-3</v>
      </c>
      <c r="L37" s="32">
        <f t="shared" si="37"/>
        <v>6.0362173038229373E-3</v>
      </c>
      <c r="M37" s="32">
        <f t="shared" si="37"/>
        <v>5.3475935828877002E-3</v>
      </c>
      <c r="N37" s="32">
        <f t="shared" si="37"/>
        <v>4.7999999999999996E-3</v>
      </c>
      <c r="O37" s="32">
        <f t="shared" si="37"/>
        <v>4.3415340086830683E-3</v>
      </c>
      <c r="P37" s="32">
        <f t="shared" si="37"/>
        <v>3.952569169960474E-3</v>
      </c>
      <c r="Q37" s="32">
        <f t="shared" si="37"/>
        <v>3.6275695284159614E-3</v>
      </c>
      <c r="S37" s="54" t="str">
        <f t="shared" si="1"/>
        <v>N/A</v>
      </c>
      <c r="T37" s="38">
        <f t="shared" si="2"/>
        <v>-0.10154301127110389</v>
      </c>
    </row>
    <row r="38" spans="1:20" outlineLevel="1">
      <c r="A38" s="33" t="s">
        <v>89</v>
      </c>
      <c r="B38" s="87"/>
      <c r="C38" s="32">
        <f t="shared" ref="C38:Q38" si="38">C6/B$15</f>
        <v>0.5</v>
      </c>
      <c r="D38" s="32">
        <f t="shared" si="38"/>
        <v>0.81481481481481477</v>
      </c>
      <c r="E38" s="32">
        <f t="shared" si="38"/>
        <v>0.72043010752688175</v>
      </c>
      <c r="F38" s="32">
        <f t="shared" si="38"/>
        <v>0.71978021978021978</v>
      </c>
      <c r="G38" s="32">
        <f t="shared" si="38"/>
        <v>0.72222222222222221</v>
      </c>
      <c r="H38" s="32">
        <f t="shared" si="38"/>
        <v>0.6859205776173285</v>
      </c>
      <c r="I38" s="72">
        <f t="shared" si="38"/>
        <v>0.69040247678018574</v>
      </c>
      <c r="J38" s="32">
        <f t="shared" si="38"/>
        <v>0.69623655913978499</v>
      </c>
      <c r="K38" s="32">
        <f t="shared" si="38"/>
        <v>0.70114942528735635</v>
      </c>
      <c r="L38" s="32">
        <f t="shared" si="38"/>
        <v>0.70623742454728367</v>
      </c>
      <c r="M38" s="32">
        <f t="shared" si="38"/>
        <v>0.70944741532976829</v>
      </c>
      <c r="N38" s="32">
        <f t="shared" si="38"/>
        <v>0.71519999999999995</v>
      </c>
      <c r="O38" s="32">
        <f t="shared" si="38"/>
        <v>0.71780028943560059</v>
      </c>
      <c r="P38" s="32">
        <f t="shared" si="38"/>
        <v>0.72068511198945984</v>
      </c>
      <c r="Q38" s="32">
        <f t="shared" si="38"/>
        <v>0.72430471584038691</v>
      </c>
      <c r="S38" s="54">
        <f t="shared" si="1"/>
        <v>6.0101708926974338E-3</v>
      </c>
      <c r="T38" s="38">
        <f t="shared" si="2"/>
        <v>5.4298815880747557E-3</v>
      </c>
    </row>
    <row r="39" spans="1:20" outlineLevel="1">
      <c r="A39" s="33" t="s">
        <v>90</v>
      </c>
      <c r="B39" s="87"/>
      <c r="C39" s="32">
        <f t="shared" ref="C39:Q39" si="39">C7/B$15</f>
        <v>0</v>
      </c>
      <c r="D39" s="32">
        <f t="shared" si="39"/>
        <v>0.18518518518518517</v>
      </c>
      <c r="E39" s="32">
        <f t="shared" si="39"/>
        <v>0.15053763440860216</v>
      </c>
      <c r="F39" s="32">
        <f t="shared" si="39"/>
        <v>0.13186813186813187</v>
      </c>
      <c r="G39" s="32">
        <f t="shared" si="39"/>
        <v>0.18803418803418803</v>
      </c>
      <c r="H39" s="32">
        <f t="shared" si="39"/>
        <v>0.14801444043321299</v>
      </c>
      <c r="I39" s="72">
        <f t="shared" si="39"/>
        <v>0.18575851393188855</v>
      </c>
      <c r="J39" s="32">
        <f t="shared" si="39"/>
        <v>0.18548387096774194</v>
      </c>
      <c r="K39" s="32">
        <f t="shared" si="39"/>
        <v>0.18390804597701149</v>
      </c>
      <c r="L39" s="32">
        <f t="shared" si="39"/>
        <v>0.18309859154929578</v>
      </c>
      <c r="M39" s="32">
        <f t="shared" si="39"/>
        <v>0.18181818181818182</v>
      </c>
      <c r="N39" s="32">
        <f t="shared" si="39"/>
        <v>0.1792</v>
      </c>
      <c r="O39" s="32">
        <f t="shared" si="39"/>
        <v>0.17800289435600578</v>
      </c>
      <c r="P39" s="32">
        <f t="shared" si="39"/>
        <v>0.17654808959156784</v>
      </c>
      <c r="Q39" s="32">
        <f t="shared" si="39"/>
        <v>0.17533252720677148</v>
      </c>
      <c r="S39" s="54">
        <f t="shared" si="1"/>
        <v>-7.1943944949740598E-3</v>
      </c>
      <c r="T39" s="38">
        <f t="shared" si="2"/>
        <v>-7.927006947398469E-3</v>
      </c>
    </row>
    <row r="40" spans="1:20" outlineLevel="1">
      <c r="A40" s="33" t="s">
        <v>91</v>
      </c>
      <c r="B40" s="87"/>
      <c r="C40" s="32">
        <f t="shared" ref="C40:Q40" si="40">C8/B$15</f>
        <v>0</v>
      </c>
      <c r="D40" s="32">
        <f t="shared" si="40"/>
        <v>7.407407407407407E-2</v>
      </c>
      <c r="E40" s="32">
        <f t="shared" si="40"/>
        <v>0.15053763440860216</v>
      </c>
      <c r="F40" s="32">
        <f t="shared" si="40"/>
        <v>0.14285714285714285</v>
      </c>
      <c r="G40" s="32">
        <f t="shared" si="40"/>
        <v>5.9829059829059832E-2</v>
      </c>
      <c r="H40" s="32">
        <f t="shared" si="40"/>
        <v>0.12274368231046931</v>
      </c>
      <c r="I40" s="72">
        <f t="shared" si="40"/>
        <v>9.5975232198142413E-2</v>
      </c>
      <c r="J40" s="32">
        <f t="shared" si="40"/>
        <v>0.10752688172043011</v>
      </c>
      <c r="K40" s="32">
        <f t="shared" si="40"/>
        <v>0.10574712643678161</v>
      </c>
      <c r="L40" s="32">
        <f t="shared" si="40"/>
        <v>0.10261569416498995</v>
      </c>
      <c r="M40" s="32">
        <f t="shared" si="40"/>
        <v>0.10160427807486631</v>
      </c>
      <c r="N40" s="32">
        <f t="shared" si="40"/>
        <v>9.9199999999999997E-2</v>
      </c>
      <c r="O40" s="32">
        <f t="shared" si="40"/>
        <v>9.8408104196816212E-2</v>
      </c>
      <c r="P40" s="32">
        <f t="shared" si="40"/>
        <v>9.7496706192358368E-2</v>
      </c>
      <c r="Q40" s="32">
        <f t="shared" si="40"/>
        <v>9.5525997581620309E-2</v>
      </c>
      <c r="S40" s="54">
        <f t="shared" si="1"/>
        <v>-5.8629353656210106E-4</v>
      </c>
      <c r="T40" s="38">
        <f t="shared" si="2"/>
        <v>-1.6799325454773747E-2</v>
      </c>
    </row>
    <row r="41" spans="1:20" outlineLevel="1">
      <c r="A41" s="33" t="s">
        <v>92</v>
      </c>
      <c r="B41" s="87"/>
      <c r="C41" s="32">
        <f t="shared" ref="C41:Q41" si="41">C9/B$15</f>
        <v>0</v>
      </c>
      <c r="D41" s="32">
        <f t="shared" si="41"/>
        <v>0</v>
      </c>
      <c r="E41" s="32">
        <f t="shared" si="41"/>
        <v>1.0752688172043012E-2</v>
      </c>
      <c r="F41" s="32">
        <f t="shared" si="41"/>
        <v>0</v>
      </c>
      <c r="G41" s="32">
        <f t="shared" si="41"/>
        <v>1.282051282051282E-2</v>
      </c>
      <c r="H41" s="32">
        <f t="shared" si="41"/>
        <v>0</v>
      </c>
      <c r="I41" s="72">
        <f t="shared" si="41"/>
        <v>3.0959752321981426E-3</v>
      </c>
      <c r="J41" s="32">
        <f t="shared" si="41"/>
        <v>2.6881720430107529E-3</v>
      </c>
      <c r="K41" s="32">
        <f t="shared" si="41"/>
        <v>2.2988505747126436E-3</v>
      </c>
      <c r="L41" s="32">
        <f t="shared" si="41"/>
        <v>2.012072434607646E-3</v>
      </c>
      <c r="M41" s="32">
        <f t="shared" si="41"/>
        <v>1.7825311942959001E-3</v>
      </c>
      <c r="N41" s="32">
        <f t="shared" si="41"/>
        <v>1.6000000000000001E-3</v>
      </c>
      <c r="O41" s="32">
        <f t="shared" si="41"/>
        <v>1.4471780028943559E-3</v>
      </c>
      <c r="P41" s="32">
        <f t="shared" si="41"/>
        <v>1.3175230566534915E-3</v>
      </c>
      <c r="Q41" s="32">
        <f t="shared" si="41"/>
        <v>1.2091898428053204E-3</v>
      </c>
      <c r="S41" s="54">
        <f t="shared" si="1"/>
        <v>-0.11087642308490889</v>
      </c>
      <c r="T41" s="38">
        <f t="shared" si="2"/>
        <v>-0.10154301127110393</v>
      </c>
    </row>
    <row r="42" spans="1:20" outlineLevel="1">
      <c r="A42" s="33" t="s">
        <v>93</v>
      </c>
      <c r="B42" s="87"/>
      <c r="C42" s="32">
        <f t="shared" ref="C42:Q42" si="42">C10/B$15</f>
        <v>0</v>
      </c>
      <c r="D42" s="32">
        <f t="shared" si="42"/>
        <v>0</v>
      </c>
      <c r="E42" s="32">
        <f t="shared" si="42"/>
        <v>0</v>
      </c>
      <c r="F42" s="32">
        <f t="shared" si="42"/>
        <v>0</v>
      </c>
      <c r="G42" s="32">
        <f t="shared" si="42"/>
        <v>4.2735042735042739E-3</v>
      </c>
      <c r="H42" s="32">
        <f t="shared" si="42"/>
        <v>3.6101083032490976E-3</v>
      </c>
      <c r="I42" s="72">
        <f t="shared" si="42"/>
        <v>0</v>
      </c>
      <c r="J42" s="32">
        <f t="shared" si="42"/>
        <v>1.3440860215053764E-2</v>
      </c>
      <c r="K42" s="32">
        <f t="shared" si="42"/>
        <v>4.5977011494252873E-3</v>
      </c>
      <c r="L42" s="32">
        <f t="shared" si="42"/>
        <v>4.0241448692152921E-3</v>
      </c>
      <c r="M42" s="32">
        <f t="shared" si="42"/>
        <v>3.5650623885918001E-3</v>
      </c>
      <c r="N42" s="32">
        <f t="shared" si="42"/>
        <v>3.2000000000000002E-3</v>
      </c>
      <c r="O42" s="32">
        <f t="shared" si="42"/>
        <v>2.8943560057887118E-3</v>
      </c>
      <c r="P42" s="32">
        <f t="shared" si="42"/>
        <v>2.635046113306983E-3</v>
      </c>
      <c r="Q42" s="32">
        <f t="shared" si="42"/>
        <v>3.6275695284159614E-3</v>
      </c>
      <c r="S42" s="54" t="str">
        <f t="shared" si="1"/>
        <v>N/A</v>
      </c>
      <c r="T42" s="38">
        <f t="shared" si="2"/>
        <v>-3.8729013571609974E-2</v>
      </c>
    </row>
    <row r="43" spans="1:20" outlineLevel="1">
      <c r="A43" s="33" t="s">
        <v>94</v>
      </c>
      <c r="B43" s="87"/>
      <c r="C43" s="32">
        <f t="shared" ref="C43:Q43" si="43">C12/B$15</f>
        <v>0.5</v>
      </c>
      <c r="D43" s="32">
        <f t="shared" si="43"/>
        <v>3.7037037037037035E-2</v>
      </c>
      <c r="E43" s="32">
        <f t="shared" si="43"/>
        <v>3.2258064516129031E-2</v>
      </c>
      <c r="F43" s="32">
        <f t="shared" si="43"/>
        <v>0</v>
      </c>
      <c r="G43" s="32">
        <f t="shared" si="43"/>
        <v>1.282051282051282E-2</v>
      </c>
      <c r="H43" s="32">
        <f t="shared" si="43"/>
        <v>3.6101083032490976E-3</v>
      </c>
      <c r="I43" s="72">
        <f t="shared" si="43"/>
        <v>3.0959752321981426E-3</v>
      </c>
      <c r="J43" s="32">
        <f t="shared" si="43"/>
        <v>5.3763440860215058E-3</v>
      </c>
      <c r="K43" s="32">
        <f t="shared" si="43"/>
        <v>4.5977011494252873E-3</v>
      </c>
      <c r="L43" s="32">
        <f t="shared" si="43"/>
        <v>4.0241448692152921E-3</v>
      </c>
      <c r="M43" s="32">
        <f t="shared" si="43"/>
        <v>5.3475935828877002E-3</v>
      </c>
      <c r="N43" s="32">
        <f t="shared" si="43"/>
        <v>4.7999999999999996E-3</v>
      </c>
      <c r="O43" s="32">
        <f t="shared" si="43"/>
        <v>4.3415340086830683E-3</v>
      </c>
      <c r="P43" s="32">
        <f t="shared" si="43"/>
        <v>5.270092226613966E-3</v>
      </c>
      <c r="Q43" s="32">
        <f t="shared" si="43"/>
        <v>4.8367593712212815E-3</v>
      </c>
      <c r="S43" s="54">
        <f t="shared" si="1"/>
        <v>5.7352083785505124E-2</v>
      </c>
      <c r="T43" s="38">
        <f t="shared" si="2"/>
        <v>8.4838718863738064E-3</v>
      </c>
    </row>
    <row r="44" spans="1:20" outlineLevel="1">
      <c r="A44" s="33" t="s">
        <v>95</v>
      </c>
      <c r="B44" s="87"/>
      <c r="C44" s="32">
        <f t="shared" ref="C44:Q44" si="44">C13/B$15</f>
        <v>0</v>
      </c>
      <c r="D44" s="32">
        <f t="shared" si="44"/>
        <v>3.7037037037037035E-2</v>
      </c>
      <c r="E44" s="32">
        <f t="shared" si="44"/>
        <v>0</v>
      </c>
      <c r="F44" s="32">
        <f t="shared" si="44"/>
        <v>1.6483516483516484E-2</v>
      </c>
      <c r="G44" s="32">
        <f t="shared" si="44"/>
        <v>1.282051282051282E-2</v>
      </c>
      <c r="H44" s="32">
        <f t="shared" si="44"/>
        <v>1.444043321299639E-2</v>
      </c>
      <c r="I44" s="72">
        <f t="shared" si="44"/>
        <v>1.8575851393188854E-2</v>
      </c>
      <c r="J44" s="32">
        <f t="shared" si="44"/>
        <v>5.3763440860215058E-3</v>
      </c>
      <c r="K44" s="32">
        <f t="shared" si="44"/>
        <v>4.5977011494252873E-3</v>
      </c>
      <c r="L44" s="32">
        <f t="shared" si="44"/>
        <v>4.0241448692152921E-3</v>
      </c>
      <c r="M44" s="32">
        <f t="shared" si="44"/>
        <v>5.3475935828877002E-3</v>
      </c>
      <c r="N44" s="32">
        <f t="shared" si="44"/>
        <v>4.7999999999999996E-3</v>
      </c>
      <c r="O44" s="32">
        <f t="shared" si="44"/>
        <v>4.3415340086830683E-3</v>
      </c>
      <c r="P44" s="32">
        <f t="shared" si="44"/>
        <v>5.270092226613966E-3</v>
      </c>
      <c r="Q44" s="32">
        <f t="shared" si="44"/>
        <v>4.8367593712212815E-3</v>
      </c>
      <c r="S44" s="54">
        <f t="shared" si="1"/>
        <v>-0.1548170658934642</v>
      </c>
      <c r="T44" s="38">
        <f t="shared" si="2"/>
        <v>8.4838718863738064E-3</v>
      </c>
    </row>
    <row r="45" spans="1:20" outlineLevel="1">
      <c r="A45" s="33" t="s">
        <v>96</v>
      </c>
      <c r="B45" s="87"/>
      <c r="C45" s="32">
        <f t="shared" ref="C45:I45" si="45">C14/B$15</f>
        <v>0.5</v>
      </c>
      <c r="D45" s="32">
        <f t="shared" si="45"/>
        <v>7.407407407407407E-2</v>
      </c>
      <c r="E45" s="32">
        <f t="shared" si="45"/>
        <v>3.2258064516129031E-2</v>
      </c>
      <c r="F45" s="32">
        <f t="shared" si="45"/>
        <v>1.6483516483516484E-2</v>
      </c>
      <c r="G45" s="32">
        <f t="shared" si="45"/>
        <v>2.564102564102564E-2</v>
      </c>
      <c r="H45" s="32">
        <f t="shared" si="45"/>
        <v>1.8050541516245487E-2</v>
      </c>
      <c r="I45" s="72">
        <f t="shared" si="45"/>
        <v>2.1671826625386997E-2</v>
      </c>
      <c r="J45" s="32">
        <f t="shared" ref="J45:Q45" si="46">J14/I$15</f>
        <v>1.0752688172043012E-2</v>
      </c>
      <c r="K45" s="32">
        <f t="shared" si="46"/>
        <v>9.1954022988505746E-3</v>
      </c>
      <c r="L45" s="32">
        <f t="shared" si="46"/>
        <v>8.0482897384305842E-3</v>
      </c>
      <c r="M45" s="32">
        <f t="shared" si="46"/>
        <v>1.06951871657754E-2</v>
      </c>
      <c r="N45" s="32">
        <f t="shared" si="46"/>
        <v>9.5999999999999992E-3</v>
      </c>
      <c r="O45" s="32">
        <f t="shared" si="46"/>
        <v>8.6830680173661367E-3</v>
      </c>
      <c r="P45" s="32">
        <f t="shared" si="46"/>
        <v>1.0540184453227932E-2</v>
      </c>
      <c r="Q45" s="32">
        <f t="shared" si="46"/>
        <v>9.673518742442563E-3</v>
      </c>
      <c r="S45" s="54">
        <f t="shared" si="1"/>
        <v>-9.5911135874190048E-2</v>
      </c>
      <c r="T45" s="38">
        <f t="shared" si="2"/>
        <v>8.4838718863738064E-3</v>
      </c>
    </row>
    <row r="46" spans="1:20" outlineLevel="1">
      <c r="A46" s="33" t="s">
        <v>97</v>
      </c>
      <c r="B46" s="87"/>
      <c r="C46" s="92">
        <f t="shared" ref="C46:Q46" si="47">C7-C8</f>
        <v>0</v>
      </c>
      <c r="D46" s="92">
        <f t="shared" si="47"/>
        <v>3</v>
      </c>
      <c r="E46" s="92">
        <f t="shared" si="47"/>
        <v>0</v>
      </c>
      <c r="F46" s="92">
        <f t="shared" si="47"/>
        <v>-2</v>
      </c>
      <c r="G46" s="92">
        <f t="shared" si="47"/>
        <v>30</v>
      </c>
      <c r="H46" s="92">
        <f t="shared" si="47"/>
        <v>7</v>
      </c>
      <c r="I46" s="93">
        <f t="shared" si="47"/>
        <v>29</v>
      </c>
      <c r="J46" s="92">
        <f t="shared" si="47"/>
        <v>29</v>
      </c>
      <c r="K46" s="92">
        <f t="shared" si="47"/>
        <v>34</v>
      </c>
      <c r="L46" s="92">
        <f t="shared" si="47"/>
        <v>40</v>
      </c>
      <c r="M46" s="92">
        <f t="shared" si="47"/>
        <v>45</v>
      </c>
      <c r="N46" s="92">
        <f t="shared" si="47"/>
        <v>50</v>
      </c>
      <c r="O46" s="92">
        <f t="shared" si="47"/>
        <v>55</v>
      </c>
      <c r="P46" s="92">
        <f t="shared" si="47"/>
        <v>60</v>
      </c>
      <c r="Q46" s="92">
        <f t="shared" si="47"/>
        <v>66</v>
      </c>
      <c r="S46" s="54">
        <f t="shared" si="1"/>
        <v>0.10826404090947842</v>
      </c>
      <c r="T46" s="38">
        <f t="shared" si="2"/>
        <v>0.11689111584748031</v>
      </c>
    </row>
    <row r="47" spans="1:20" outlineLevel="1">
      <c r="A47" s="33" t="s">
        <v>98</v>
      </c>
      <c r="B47" s="87"/>
      <c r="C47" s="32">
        <f t="shared" ref="C47:Q47" si="48">C46/B15</f>
        <v>0</v>
      </c>
      <c r="D47" s="32">
        <f t="shared" si="48"/>
        <v>0.1111111111111111</v>
      </c>
      <c r="E47" s="32">
        <f t="shared" si="48"/>
        <v>0</v>
      </c>
      <c r="F47" s="32">
        <f t="shared" si="48"/>
        <v>-1.098901098901099E-2</v>
      </c>
      <c r="G47" s="32">
        <f t="shared" si="48"/>
        <v>0.12820512820512819</v>
      </c>
      <c r="H47" s="32">
        <f t="shared" si="48"/>
        <v>2.5270758122743681E-2</v>
      </c>
      <c r="I47" s="72">
        <f t="shared" si="48"/>
        <v>8.9783281733746126E-2</v>
      </c>
      <c r="J47" s="32">
        <f t="shared" si="48"/>
        <v>7.7956989247311828E-2</v>
      </c>
      <c r="K47" s="32">
        <f t="shared" si="48"/>
        <v>7.8160919540229884E-2</v>
      </c>
      <c r="L47" s="32">
        <f t="shared" si="48"/>
        <v>8.0482897384305835E-2</v>
      </c>
      <c r="M47" s="32">
        <f t="shared" si="48"/>
        <v>8.0213903743315509E-2</v>
      </c>
      <c r="N47" s="32">
        <f t="shared" si="48"/>
        <v>0.08</v>
      </c>
      <c r="O47" s="32">
        <f t="shared" si="48"/>
        <v>7.9594790159189577E-2</v>
      </c>
      <c r="P47" s="32">
        <f t="shared" si="48"/>
        <v>7.9051383399209488E-2</v>
      </c>
      <c r="Q47" s="32">
        <f t="shared" si="48"/>
        <v>7.9806529625151154E-2</v>
      </c>
      <c r="S47" s="54">
        <f t="shared" si="1"/>
        <v>-1.461631178032251E-2</v>
      </c>
      <c r="T47" s="38">
        <f t="shared" si="2"/>
        <v>3.4786286796685893E-3</v>
      </c>
    </row>
    <row r="48" spans="1:20" outlineLevel="1">
      <c r="A48" s="33" t="s">
        <v>99</v>
      </c>
      <c r="B48" s="87"/>
      <c r="C48" s="84" t="str">
        <f>IFERROR((C46-B46)/ABS(B46),"N/A")</f>
        <v>N/A</v>
      </c>
      <c r="D48" s="84" t="str">
        <f t="shared" ref="D48:G48" si="49">IFERROR((D46-C46)/ABS(C46),"N/A")</f>
        <v>N/A</v>
      </c>
      <c r="E48" s="84">
        <f t="shared" si="49"/>
        <v>-1</v>
      </c>
      <c r="F48" s="84" t="str">
        <f>IFERROR((F46-E46)/ABS(E46),"N/A")</f>
        <v>N/A</v>
      </c>
      <c r="G48" s="84">
        <f t="shared" si="49"/>
        <v>16</v>
      </c>
      <c r="H48" s="84">
        <f>IFERROR((H46-G46)/ABS(G46),"N/A")</f>
        <v>-0.76666666666666672</v>
      </c>
      <c r="I48" s="85">
        <f>IFERROR((I46-H46)/ABS(H46),"N/A")</f>
        <v>3.1428571428571428</v>
      </c>
      <c r="J48" s="84">
        <f t="shared" ref="J48:Q48" si="50">IFERROR((J46-I46)/ABS(I46),"N/A")</f>
        <v>0</v>
      </c>
      <c r="K48" s="84">
        <f t="shared" si="50"/>
        <v>0.17241379310344829</v>
      </c>
      <c r="L48" s="84">
        <f t="shared" si="50"/>
        <v>0.17647058823529413</v>
      </c>
      <c r="M48" s="84">
        <f t="shared" si="50"/>
        <v>0.125</v>
      </c>
      <c r="N48" s="84">
        <f t="shared" si="50"/>
        <v>0.1111111111111111</v>
      </c>
      <c r="O48" s="84">
        <f t="shared" si="50"/>
        <v>0.1</v>
      </c>
      <c r="P48" s="84">
        <f t="shared" si="50"/>
        <v>9.0909090909090912E-2</v>
      </c>
      <c r="Q48" s="84">
        <f t="shared" si="50"/>
        <v>0.1</v>
      </c>
      <c r="S48" s="54">
        <f t="shared" si="1"/>
        <v>-0.35011813232529687</v>
      </c>
      <c r="T48" s="38">
        <f t="shared" si="2"/>
        <v>-8.6788583327889829E-2</v>
      </c>
    </row>
    <row r="49" spans="1:20" outlineLevel="1">
      <c r="A49" s="33" t="s">
        <v>100</v>
      </c>
      <c r="B49" s="87"/>
      <c r="C49" s="84" t="str">
        <f t="shared" ref="C49:Q49" si="51">IFERROR(C10/B13,"N/A")</f>
        <v>N/A</v>
      </c>
      <c r="D49" s="84" t="str">
        <f t="shared" si="51"/>
        <v>N/A</v>
      </c>
      <c r="E49" s="84">
        <f t="shared" si="51"/>
        <v>0</v>
      </c>
      <c r="F49" s="84" t="str">
        <f t="shared" si="51"/>
        <v>N/A</v>
      </c>
      <c r="G49" s="84">
        <f t="shared" si="51"/>
        <v>0.33333333333333331</v>
      </c>
      <c r="H49" s="84">
        <f t="shared" si="51"/>
        <v>0.33333333333333331</v>
      </c>
      <c r="I49" s="85">
        <f t="shared" si="51"/>
        <v>0</v>
      </c>
      <c r="J49" s="84">
        <f t="shared" si="51"/>
        <v>0.83333333333333337</v>
      </c>
      <c r="K49" s="84">
        <f t="shared" si="51"/>
        <v>1</v>
      </c>
      <c r="L49" s="84">
        <f t="shared" si="51"/>
        <v>1</v>
      </c>
      <c r="M49" s="84">
        <f t="shared" si="51"/>
        <v>1</v>
      </c>
      <c r="N49" s="84">
        <f t="shared" si="51"/>
        <v>0.66666666666666663</v>
      </c>
      <c r="O49" s="84">
        <f t="shared" si="51"/>
        <v>0.66666666666666663</v>
      </c>
      <c r="P49" s="84">
        <f t="shared" si="51"/>
        <v>0.66666666666666663</v>
      </c>
      <c r="Q49" s="84">
        <f t="shared" si="51"/>
        <v>0.75</v>
      </c>
      <c r="S49" s="54" t="str">
        <f t="shared" si="1"/>
        <v>N/A</v>
      </c>
      <c r="T49" s="38">
        <f t="shared" si="2"/>
        <v>-4.681570700306336E-2</v>
      </c>
    </row>
    <row r="50" spans="1:20" outlineLevel="1">
      <c r="A50" s="33" t="s">
        <v>101</v>
      </c>
      <c r="B50" s="94" t="str">
        <f t="shared" ref="B50:Q50" si="52">IFERROR(B7/B8, "N/A")</f>
        <v>N/A</v>
      </c>
      <c r="C50" s="94" t="str">
        <f t="shared" si="52"/>
        <v>N/A</v>
      </c>
      <c r="D50" s="94">
        <f t="shared" si="52"/>
        <v>2.5</v>
      </c>
      <c r="E50" s="94">
        <f t="shared" si="52"/>
        <v>1</v>
      </c>
      <c r="F50" s="94">
        <f t="shared" si="52"/>
        <v>0.92307692307692313</v>
      </c>
      <c r="G50" s="94">
        <f t="shared" si="52"/>
        <v>3.1428571428571428</v>
      </c>
      <c r="H50" s="94">
        <f t="shared" si="52"/>
        <v>1.2058823529411764</v>
      </c>
      <c r="I50" s="95">
        <f t="shared" si="52"/>
        <v>1.935483870967742</v>
      </c>
      <c r="J50" s="94">
        <f t="shared" si="52"/>
        <v>1.7250000000000001</v>
      </c>
      <c r="K50" s="94">
        <f t="shared" si="52"/>
        <v>1.7391304347826086</v>
      </c>
      <c r="L50" s="94">
        <f t="shared" si="52"/>
        <v>1.7843137254901962</v>
      </c>
      <c r="M50" s="94">
        <f t="shared" si="52"/>
        <v>1.7894736842105263</v>
      </c>
      <c r="N50" s="94">
        <f t="shared" si="52"/>
        <v>1.8064516129032258</v>
      </c>
      <c r="O50" s="94">
        <f t="shared" si="52"/>
        <v>1.8088235294117647</v>
      </c>
      <c r="P50" s="94">
        <f t="shared" si="52"/>
        <v>1.8108108108108107</v>
      </c>
      <c r="Q50" s="94">
        <f t="shared" si="52"/>
        <v>1.8354430379746836</v>
      </c>
      <c r="S50" s="54">
        <f t="shared" si="1"/>
        <v>-6.6119775145479856E-3</v>
      </c>
      <c r="T50" s="38">
        <f t="shared" si="2"/>
        <v>9.0239141786892848E-3</v>
      </c>
    </row>
    <row r="51" spans="1:20">
      <c r="I51" s="53"/>
      <c r="S51" s="54"/>
      <c r="T51" s="38"/>
    </row>
    <row r="52" spans="1:20">
      <c r="I52" s="53"/>
      <c r="S52" s="54"/>
      <c r="T52" s="38"/>
    </row>
    <row r="53" spans="1:20">
      <c r="A53" s="8" t="s">
        <v>102</v>
      </c>
      <c r="I53" s="53"/>
      <c r="S53" s="54"/>
      <c r="T53" s="38"/>
    </row>
    <row r="54" spans="1:20" outlineLevel="1">
      <c r="A54" s="33" t="s">
        <v>25</v>
      </c>
      <c r="B54" s="55">
        <f>SUMIFS('data set'!$C:$C,'data set'!$E:$E,Model!$A54,'data set'!$B:$B,Model!B$3)</f>
        <v>0</v>
      </c>
      <c r="C54" s="55">
        <f>SUMIFS('data set'!$C:$C,'data set'!$E:$E,Model!$A54,'data set'!$B:$B,Model!C$3)</f>
        <v>0</v>
      </c>
      <c r="D54" s="55">
        <f>SUMIFS('data set'!$C:$C,'data set'!$E:$E,Model!$A54,'data set'!$B:$B,Model!D$3)</f>
        <v>0</v>
      </c>
      <c r="E54" s="55">
        <f>SUMIFS('data set'!$C:$C,'data set'!$E:$E,Model!$A54,'data set'!$B:$B,Model!E$3)</f>
        <v>0</v>
      </c>
      <c r="F54" s="55">
        <f>SUMIFS('data set'!$C:$C,'data set'!$E:$E,Model!$A54,'data set'!$B:$B,Model!F$3)</f>
        <v>0</v>
      </c>
      <c r="G54" s="55">
        <f>SUMIFS('data set'!$C:$C,'data set'!$E:$E,Model!$A54,'data set'!$B:$B,Model!G$3)</f>
        <v>0</v>
      </c>
      <c r="H54" s="55">
        <f>SUMIFS('data set'!$C:$C,'data set'!$E:$E,Model!$A54,'data set'!$B:$B,Model!H$3)</f>
        <v>0</v>
      </c>
      <c r="I54" s="56">
        <f>SUMIFS('data set'!$C:$C,'data set'!$E:$E,Model!$A54,'data set'!$B:$B,Model!I$3)</f>
        <v>0</v>
      </c>
      <c r="J54" s="57">
        <f>J90*I$87</f>
        <v>0</v>
      </c>
      <c r="K54" s="57">
        <f t="shared" ref="K54:Q54" si="53">K90*J$87</f>
        <v>0</v>
      </c>
      <c r="L54" s="57">
        <f t="shared" si="53"/>
        <v>0</v>
      </c>
      <c r="M54" s="57">
        <f t="shared" si="53"/>
        <v>0</v>
      </c>
      <c r="N54" s="57">
        <f t="shared" si="53"/>
        <v>0</v>
      </c>
      <c r="O54" s="57">
        <f t="shared" si="53"/>
        <v>0</v>
      </c>
      <c r="P54" s="57">
        <f t="shared" si="53"/>
        <v>0</v>
      </c>
      <c r="Q54" s="57">
        <f t="shared" si="53"/>
        <v>0</v>
      </c>
      <c r="R54" s="58"/>
      <c r="S54" s="54" t="str">
        <f t="shared" si="1"/>
        <v>N/A</v>
      </c>
      <c r="T54" s="38" t="str">
        <f t="shared" si="2"/>
        <v>N/A</v>
      </c>
    </row>
    <row r="55" spans="1:20" outlineLevel="1">
      <c r="A55" s="33" t="s">
        <v>72</v>
      </c>
      <c r="B55" s="55">
        <f>SUMIFS('data set'!$C:$C,'data set'!$E:$E,Model!$A55,'data set'!$B:$B,Model!B$3)</f>
        <v>0</v>
      </c>
      <c r="C55" s="55">
        <f>SUMIFS('data set'!$C:$C,'data set'!$E:$E,Model!$A55,'data set'!$B:$B,Model!C$3)</f>
        <v>0</v>
      </c>
      <c r="D55" s="55">
        <f>SUMIFS('data set'!$C:$C,'data set'!$E:$E,Model!$A55,'data set'!$B:$B,Model!D$3)</f>
        <v>0</v>
      </c>
      <c r="E55" s="55">
        <f>SUMIFS('data set'!$C:$C,'data set'!$E:$E,Model!$A55,'data set'!$B:$B,Model!E$3)</f>
        <v>0</v>
      </c>
      <c r="F55" s="55">
        <f>SUMIFS('data set'!$C:$C,'data set'!$E:$E,Model!$A55,'data set'!$B:$B,Model!F$3)</f>
        <v>0</v>
      </c>
      <c r="G55" s="55">
        <f>SUMIFS('data set'!$C:$C,'data set'!$E:$E,Model!$A55,'data set'!$B:$B,Model!G$3)</f>
        <v>0</v>
      </c>
      <c r="H55" s="55">
        <f>SUMIFS('data set'!$C:$C,'data set'!$E:$E,Model!$A55,'data set'!$B:$B,Model!H$3)</f>
        <v>0</v>
      </c>
      <c r="I55" s="56">
        <f>SUMIFS('data set'!$C:$C,'data set'!$E:$E,Model!$A55,'data set'!$B:$B,Model!I$3)</f>
        <v>0</v>
      </c>
      <c r="J55" s="57">
        <f t="shared" ref="J55:Q60" si="54">J91*I$87</f>
        <v>0</v>
      </c>
      <c r="K55" s="57">
        <f t="shared" si="54"/>
        <v>0</v>
      </c>
      <c r="L55" s="57">
        <f t="shared" si="54"/>
        <v>0</v>
      </c>
      <c r="M55" s="57">
        <f t="shared" si="54"/>
        <v>0</v>
      </c>
      <c r="N55" s="57">
        <f t="shared" si="54"/>
        <v>0</v>
      </c>
      <c r="O55" s="57">
        <f t="shared" si="54"/>
        <v>0</v>
      </c>
      <c r="P55" s="57">
        <f t="shared" si="54"/>
        <v>0</v>
      </c>
      <c r="Q55" s="57">
        <f t="shared" si="54"/>
        <v>0</v>
      </c>
      <c r="R55" s="58"/>
      <c r="S55" s="54" t="str">
        <f t="shared" si="1"/>
        <v>N/A</v>
      </c>
      <c r="T55" s="38" t="str">
        <f t="shared" si="2"/>
        <v>N/A</v>
      </c>
    </row>
    <row r="56" spans="1:20" outlineLevel="1">
      <c r="A56" s="33" t="s">
        <v>73</v>
      </c>
      <c r="B56" s="55">
        <f>SUMIFS('data set'!$C:$C,'data set'!$E:$E,Model!$A56,'data set'!$B:$B,Model!B$3)</f>
        <v>0</v>
      </c>
      <c r="C56" s="55">
        <f>SUMIFS('data set'!$C:$C,'data set'!$E:$E,Model!$A56,'data set'!$B:$B,Model!C$3)</f>
        <v>1200</v>
      </c>
      <c r="D56" s="55">
        <f>SUMIFS('data set'!$C:$C,'data set'!$E:$E,Model!$A56,'data set'!$B:$B,Model!D$3)</f>
        <v>29520</v>
      </c>
      <c r="E56" s="55">
        <f>SUMIFS('data set'!$C:$C,'data set'!$E:$E,Model!$A56,'data set'!$B:$B,Model!E$3)</f>
        <v>94128</v>
      </c>
      <c r="F56" s="55">
        <f>SUMIFS('data set'!$C:$C,'data set'!$E:$E,Model!$A56,'data set'!$B:$B,Model!F$3)</f>
        <v>187908</v>
      </c>
      <c r="G56" s="55">
        <f>SUMIFS('data set'!$C:$C,'data set'!$E:$E,Model!$A56,'data set'!$B:$B,Model!G$3)</f>
        <v>241536</v>
      </c>
      <c r="H56" s="55">
        <f>SUMIFS('data set'!$C:$C,'data set'!$E:$E,Model!$A56,'data set'!$B:$B,Model!H$3)</f>
        <v>277992</v>
      </c>
      <c r="I56" s="56">
        <f>SUMIFS('data set'!$C:$C,'data set'!$E:$E,Model!$A56,'data set'!$B:$B,Model!I$3)</f>
        <v>332340</v>
      </c>
      <c r="J56" s="57">
        <f>J92*I$87</f>
        <v>412912.4903880239</v>
      </c>
      <c r="K56" s="57">
        <f t="shared" si="54"/>
        <v>475889.90330211597</v>
      </c>
      <c r="L56" s="57">
        <f t="shared" si="54"/>
        <v>538172.51692570001</v>
      </c>
      <c r="M56" s="57">
        <f t="shared" si="54"/>
        <v>603366.0281695507</v>
      </c>
      <c r="N56" s="57">
        <f t="shared" si="54"/>
        <v>670223.58058181254</v>
      </c>
      <c r="O56" s="57">
        <f t="shared" si="54"/>
        <v>738896.84851377632</v>
      </c>
      <c r="P56" s="57">
        <f t="shared" si="54"/>
        <v>809062.62010925566</v>
      </c>
      <c r="Q56" s="57">
        <f t="shared" si="54"/>
        <v>880647.32115676568</v>
      </c>
      <c r="R56" s="58"/>
      <c r="S56" s="54">
        <f t="shared" si="1"/>
        <v>0.12954210750007997</v>
      </c>
      <c r="T56" s="38">
        <f t="shared" si="2"/>
        <v>0.10802422251782055</v>
      </c>
    </row>
    <row r="57" spans="1:20" outlineLevel="1">
      <c r="A57" s="33" t="s">
        <v>12</v>
      </c>
      <c r="B57" s="55">
        <f>SUMIFS('data set'!$C:$C,'data set'!$E:$E,Model!$A57,'data set'!$B:$B,Model!B$3)</f>
        <v>0</v>
      </c>
      <c r="C57" s="55">
        <f>SUMIFS('data set'!$C:$C,'data set'!$E:$E,Model!$A57,'data set'!$B:$B,Model!C$3)</f>
        <v>0</v>
      </c>
      <c r="D57" s="55">
        <f>SUMIFS('data set'!$C:$C,'data set'!$E:$E,Model!$A57,'data set'!$B:$B,Model!D$3)</f>
        <v>25668</v>
      </c>
      <c r="E57" s="55">
        <f>SUMIFS('data set'!$C:$C,'data set'!$E:$E,Model!$A57,'data set'!$B:$B,Model!E$3)</f>
        <v>86640</v>
      </c>
      <c r="F57" s="55">
        <f>SUMIFS('data set'!$C:$C,'data set'!$E:$E,Model!$A57,'data set'!$B:$B,Model!F$3)</f>
        <v>151416</v>
      </c>
      <c r="G57" s="55">
        <f>SUMIFS('data set'!$C:$C,'data set'!$E:$E,Model!$A57,'data set'!$B:$B,Model!G$3)</f>
        <v>224292</v>
      </c>
      <c r="H57" s="55">
        <f>SUMIFS('data set'!$C:$C,'data set'!$E:$E,Model!$A57,'data set'!$B:$B,Model!H$3)</f>
        <v>184872</v>
      </c>
      <c r="I57" s="56">
        <f>SUMIFS('data set'!$C:$C,'data set'!$E:$E,Model!$A57,'data set'!$B:$B,Model!I$3)</f>
        <v>301727</v>
      </c>
      <c r="J57" s="57">
        <f>J93*I$87</f>
        <v>374877.67643770622</v>
      </c>
      <c r="K57" s="57">
        <f t="shared" si="54"/>
        <v>432054.01953913929</v>
      </c>
      <c r="L57" s="57">
        <f t="shared" si="54"/>
        <v>488599.56374327705</v>
      </c>
      <c r="M57" s="57">
        <f t="shared" si="54"/>
        <v>547787.8726049047</v>
      </c>
      <c r="N57" s="57">
        <f t="shared" si="54"/>
        <v>608486.94198173122</v>
      </c>
      <c r="O57" s="57">
        <f t="shared" si="54"/>
        <v>670834.474969959</v>
      </c>
      <c r="P57" s="57">
        <f t="shared" si="54"/>
        <v>734537.03188814281</v>
      </c>
      <c r="Q57" s="57">
        <f t="shared" si="54"/>
        <v>799527.81570279668</v>
      </c>
      <c r="R57" s="58"/>
      <c r="S57" s="54">
        <f t="shared" si="1"/>
        <v>0.12954210750008011</v>
      </c>
      <c r="T57" s="38">
        <f t="shared" si="2"/>
        <v>0.10802422251782043</v>
      </c>
    </row>
    <row r="58" spans="1:20" outlineLevel="1">
      <c r="A58" s="33" t="s">
        <v>14</v>
      </c>
      <c r="B58" s="55">
        <f>SUMIFS('data set'!$C:$C,'data set'!$E:$E,Model!$A58,'data set'!$B:$B,Model!B$3)</f>
        <v>0</v>
      </c>
      <c r="C58" s="55">
        <f>SUMIFS('data set'!$C:$C,'data set'!$E:$E,Model!$A58,'data set'!$B:$B,Model!C$3)</f>
        <v>0</v>
      </c>
      <c r="D58" s="55">
        <f>SUMIFS('data set'!$C:$C,'data set'!$E:$E,Model!$A58,'data set'!$B:$B,Model!D$3)</f>
        <v>31236</v>
      </c>
      <c r="E58" s="55">
        <f>SUMIFS('data set'!$C:$C,'data set'!$E:$E,Model!$A58,'data set'!$B:$B,Model!E$3)</f>
        <v>245712</v>
      </c>
      <c r="F58" s="55">
        <f>SUMIFS('data set'!$C:$C,'data set'!$E:$E,Model!$A58,'data set'!$B:$B,Model!F$3)</f>
        <v>227472</v>
      </c>
      <c r="G58" s="55">
        <f>SUMIFS('data set'!$C:$C,'data set'!$E:$E,Model!$A58,'data set'!$B:$B,Model!G$3)</f>
        <v>119220</v>
      </c>
      <c r="H58" s="55">
        <f>SUMIFS('data set'!$C:$C,'data set'!$E:$E,Model!$A58,'data set'!$B:$B,Model!H$3)</f>
        <v>223116</v>
      </c>
      <c r="I58" s="56">
        <f>SUMIFS('data set'!$C:$C,'data set'!$E:$E,Model!$A58,'data set'!$B:$B,Model!I$3)</f>
        <v>167832</v>
      </c>
      <c r="J58" s="57">
        <f t="shared" si="54"/>
        <v>208521.18037793474</v>
      </c>
      <c r="K58" s="57">
        <f t="shared" si="54"/>
        <v>240324.83074863313</v>
      </c>
      <c r="L58" s="57">
        <f t="shared" si="54"/>
        <v>271777.6068504366</v>
      </c>
      <c r="M58" s="57">
        <f t="shared" si="54"/>
        <v>304700.38887811289</v>
      </c>
      <c r="N58" s="57">
        <f t="shared" si="54"/>
        <v>338463.5131979502</v>
      </c>
      <c r="O58" s="57">
        <f t="shared" si="54"/>
        <v>373143.57549426524</v>
      </c>
      <c r="P58" s="57">
        <f t="shared" si="54"/>
        <v>408577.3534879238</v>
      </c>
      <c r="Q58" s="57">
        <f t="shared" si="54"/>
        <v>444727.69213571138</v>
      </c>
      <c r="R58" s="58"/>
      <c r="S58" s="54">
        <f t="shared" si="1"/>
        <v>0.12954210750005771</v>
      </c>
      <c r="T58" s="38">
        <f t="shared" si="2"/>
        <v>0.1080242225178204</v>
      </c>
    </row>
    <row r="59" spans="1:20" outlineLevel="1">
      <c r="A59" s="33" t="s">
        <v>16</v>
      </c>
      <c r="B59" s="55">
        <f>SUMIFS('data set'!$C:$C,'data set'!$E:$E,Model!$A59,'data set'!$B:$B,Model!B$3)</f>
        <v>0</v>
      </c>
      <c r="C59" s="55">
        <f>SUMIFS('data set'!$C:$C,'data set'!$E:$E,Model!$A59,'data set'!$B:$B,Model!C$3)</f>
        <v>0</v>
      </c>
      <c r="D59" s="55">
        <f>SUMIFS('data set'!$C:$C,'data set'!$E:$E,Model!$A59,'data set'!$B:$B,Model!D$3)</f>
        <v>0</v>
      </c>
      <c r="E59" s="55">
        <f>SUMIFS('data set'!$C:$C,'data set'!$E:$E,Model!$A59,'data set'!$B:$B,Model!E$3)</f>
        <v>0</v>
      </c>
      <c r="F59" s="55">
        <f>SUMIFS('data set'!$C:$C,'data set'!$E:$E,Model!$A59,'data set'!$B:$B,Model!F$3)</f>
        <v>0</v>
      </c>
      <c r="G59" s="55">
        <f>SUMIFS('data set'!$C:$C,'data set'!$E:$E,Model!$A59,'data set'!$B:$B,Model!G$3)</f>
        <v>0</v>
      </c>
      <c r="H59" s="55">
        <f>SUMIFS('data set'!$C:$C,'data set'!$E:$E,Model!$A59,'data set'!$B:$B,Model!H$3)</f>
        <v>0</v>
      </c>
      <c r="I59" s="56">
        <f>SUMIFS('data set'!$C:$C,'data set'!$E:$E,Model!$A59,'data set'!$B:$B,Model!I$3)</f>
        <v>0</v>
      </c>
      <c r="J59" s="57">
        <f t="shared" si="54"/>
        <v>0</v>
      </c>
      <c r="K59" s="57">
        <f t="shared" si="54"/>
        <v>0</v>
      </c>
      <c r="L59" s="57">
        <f t="shared" si="54"/>
        <v>0</v>
      </c>
      <c r="M59" s="57">
        <f t="shared" si="54"/>
        <v>0</v>
      </c>
      <c r="N59" s="57">
        <f t="shared" si="54"/>
        <v>0</v>
      </c>
      <c r="O59" s="57">
        <f t="shared" si="54"/>
        <v>0</v>
      </c>
      <c r="P59" s="57">
        <f t="shared" si="54"/>
        <v>0</v>
      </c>
      <c r="Q59" s="57">
        <f t="shared" si="54"/>
        <v>0</v>
      </c>
      <c r="R59" s="58"/>
      <c r="S59" s="54" t="str">
        <f t="shared" si="1"/>
        <v>N/A</v>
      </c>
      <c r="T59" s="38" t="str">
        <f t="shared" si="2"/>
        <v>N/A</v>
      </c>
    </row>
    <row r="60" spans="1:20" outlineLevel="1">
      <c r="A60" s="33" t="s">
        <v>74</v>
      </c>
      <c r="B60" s="55">
        <f>SUMIFS('data set'!$C:$C,'data set'!$E:$E,Model!$A60,'data set'!$B:$B,Model!B$3)</f>
        <v>0</v>
      </c>
      <c r="C60" s="55">
        <f>SUMIFS('data set'!$C:$C,'data set'!$E:$E,Model!$A60,'data set'!$B:$B,Model!C$3)</f>
        <v>0</v>
      </c>
      <c r="D60" s="55">
        <f>SUMIFS('data set'!$C:$C,'data set'!$E:$E,Model!$A60,'data set'!$B:$B,Model!D$3)</f>
        <v>0</v>
      </c>
      <c r="E60" s="55">
        <f>SUMIFS('data set'!$C:$C,'data set'!$E:$E,Model!$A60,'data set'!$B:$B,Model!E$3)</f>
        <v>0</v>
      </c>
      <c r="F60" s="55">
        <f>SUMIFS('data set'!$C:$C,'data set'!$E:$E,Model!$A60,'data set'!$B:$B,Model!F$3)</f>
        <v>0</v>
      </c>
      <c r="G60" s="55">
        <f>SUMIFS('data set'!$C:$C,'data set'!$E:$E,Model!$A60,'data set'!$B:$B,Model!G$3)</f>
        <v>0</v>
      </c>
      <c r="H60" s="55">
        <f>SUMIFS('data set'!$C:$C,'data set'!$E:$E,Model!$A60,'data set'!$B:$B,Model!H$3)</f>
        <v>0</v>
      </c>
      <c r="I60" s="56">
        <f>SUMIFS('data set'!$C:$C,'data set'!$E:$E,Model!$A60,'data set'!$B:$B,Model!I$3)</f>
        <v>0</v>
      </c>
      <c r="J60" s="57">
        <f t="shared" si="54"/>
        <v>0</v>
      </c>
      <c r="K60" s="57">
        <f t="shared" si="54"/>
        <v>0</v>
      </c>
      <c r="L60" s="57">
        <f t="shared" si="54"/>
        <v>0</v>
      </c>
      <c r="M60" s="57">
        <f t="shared" si="54"/>
        <v>0</v>
      </c>
      <c r="N60" s="57">
        <f t="shared" si="54"/>
        <v>0</v>
      </c>
      <c r="O60" s="57">
        <f t="shared" si="54"/>
        <v>0</v>
      </c>
      <c r="P60" s="57">
        <f t="shared" si="54"/>
        <v>0</v>
      </c>
      <c r="Q60" s="57">
        <f t="shared" si="54"/>
        <v>0</v>
      </c>
      <c r="R60" s="58"/>
      <c r="S60" s="54" t="str">
        <f t="shared" si="1"/>
        <v>N/A</v>
      </c>
      <c r="T60" s="38" t="str">
        <f t="shared" si="2"/>
        <v>N/A</v>
      </c>
    </row>
    <row r="61" spans="1:20" outlineLevel="1">
      <c r="A61" s="33" t="s">
        <v>76</v>
      </c>
      <c r="B61" s="55">
        <f>SUMIFS('data set'!$C:$C,'data set'!$E:$E,Model!$A61,'data set'!$B:$B,Model!B$3)</f>
        <v>0</v>
      </c>
      <c r="C61" s="55">
        <f>SUMIFS('data set'!$C:$C,'data set'!$E:$E,Model!$A61,'data set'!$B:$B,Model!C$3)</f>
        <v>9804</v>
      </c>
      <c r="D61" s="55">
        <f>SUMIFS('data set'!$C:$C,'data set'!$E:$E,Model!$A61,'data set'!$B:$B,Model!D$3)</f>
        <v>1728</v>
      </c>
      <c r="E61" s="55">
        <f>SUMIFS('data set'!$C:$C,'data set'!$E:$E,Model!$A61,'data set'!$B:$B,Model!E$3)</f>
        <v>14712</v>
      </c>
      <c r="F61" s="55">
        <f>SUMIFS('data set'!$C:$C,'data set'!$E:$E,Model!$A61,'data set'!$B:$B,Model!F$3)</f>
        <v>0</v>
      </c>
      <c r="G61" s="55">
        <f>SUMIFS('data set'!$C:$C,'data set'!$E:$E,Model!$A61,'data set'!$B:$B,Model!G$3)</f>
        <v>4752</v>
      </c>
      <c r="H61" s="55">
        <f>SUMIFS('data set'!$C:$C,'data set'!$E:$E,Model!$A61,'data set'!$B:$B,Model!H$3)</f>
        <v>1440</v>
      </c>
      <c r="I61" s="56">
        <f>SUMIFS('data set'!$C:$C,'data set'!$E:$E,Model!$A61,'data set'!$B:$B,Model!I$3)</f>
        <v>13584</v>
      </c>
      <c r="J61" s="57">
        <f t="shared" ref="J61:Q62" si="55">J12*J108</f>
        <v>11072</v>
      </c>
      <c r="K61" s="57">
        <f t="shared" si="55"/>
        <v>11072</v>
      </c>
      <c r="L61" s="57">
        <f t="shared" si="55"/>
        <v>11072</v>
      </c>
      <c r="M61" s="57">
        <f t="shared" si="55"/>
        <v>16608</v>
      </c>
      <c r="N61" s="57">
        <f t="shared" si="55"/>
        <v>16608</v>
      </c>
      <c r="O61" s="57">
        <f t="shared" si="55"/>
        <v>16608</v>
      </c>
      <c r="P61" s="57">
        <f t="shared" si="55"/>
        <v>22144</v>
      </c>
      <c r="Q61" s="57">
        <f t="shared" si="55"/>
        <v>22144</v>
      </c>
      <c r="R61" s="58"/>
      <c r="S61" s="54">
        <f t="shared" si="1"/>
        <v>6.2988460531878634E-2</v>
      </c>
      <c r="T61" s="38">
        <f t="shared" si="2"/>
        <v>0.12246204830937307</v>
      </c>
    </row>
    <row r="62" spans="1:20" outlineLevel="1">
      <c r="A62" s="33" t="s">
        <v>77</v>
      </c>
      <c r="B62" s="59">
        <f>SUMIFS('data set'!$C:$C,'data set'!$E:$E,Model!$A62,'data set'!$B:$B,Model!B$3)</f>
        <v>0</v>
      </c>
      <c r="C62" s="59">
        <f>SUMIFS('data set'!$C:$C,'data set'!$E:$E,Model!$A62,'data set'!$B:$B,Model!C$3)</f>
        <v>0</v>
      </c>
      <c r="D62" s="59">
        <f>SUMIFS('data set'!$C:$C,'data set'!$E:$E,Model!$A62,'data set'!$B:$B,Model!D$3)</f>
        <v>1440</v>
      </c>
      <c r="E62" s="59">
        <f>SUMIFS('data set'!$C:$C,'data set'!$E:$E,Model!$A62,'data set'!$B:$B,Model!E$3)</f>
        <v>0</v>
      </c>
      <c r="F62" s="59">
        <f>SUMIFS('data set'!$C:$C,'data set'!$E:$E,Model!$A62,'data set'!$B:$B,Model!F$3)</f>
        <v>7380</v>
      </c>
      <c r="G62" s="59">
        <f>SUMIFS('data set'!$C:$C,'data set'!$E:$E,Model!$A62,'data set'!$B:$B,Model!G$3)</f>
        <v>4320</v>
      </c>
      <c r="H62" s="59">
        <f>SUMIFS('data set'!$C:$C,'data set'!$E:$E,Model!$A62,'data set'!$B:$B,Model!H$3)</f>
        <v>17412</v>
      </c>
      <c r="I62" s="60">
        <f>SUMIFS('data set'!$C:$C,'data set'!$E:$E,Model!$A62,'data set'!$B:$B,Model!I$3)</f>
        <v>27996</v>
      </c>
      <c r="J62" s="61">
        <f t="shared" si="55"/>
        <v>6459.5</v>
      </c>
      <c r="K62" s="61">
        <f t="shared" si="55"/>
        <v>6459.5</v>
      </c>
      <c r="L62" s="61">
        <f t="shared" si="55"/>
        <v>6459.5</v>
      </c>
      <c r="M62" s="61">
        <f t="shared" si="55"/>
        <v>9689.25</v>
      </c>
      <c r="N62" s="61">
        <f t="shared" si="55"/>
        <v>9689.25</v>
      </c>
      <c r="O62" s="61">
        <f t="shared" si="55"/>
        <v>9689.25</v>
      </c>
      <c r="P62" s="61">
        <f t="shared" si="55"/>
        <v>12919</v>
      </c>
      <c r="Q62" s="61">
        <f t="shared" si="55"/>
        <v>12919</v>
      </c>
      <c r="R62" s="58"/>
      <c r="S62" s="54">
        <f t="shared" si="1"/>
        <v>-9.2144739984185667E-2</v>
      </c>
      <c r="T62" s="38">
        <f t="shared" si="2"/>
        <v>0.12246204830937295</v>
      </c>
    </row>
    <row r="63" spans="1:20">
      <c r="A63" s="43" t="s">
        <v>103</v>
      </c>
      <c r="B63" s="62">
        <f>SUM(B54:B62)</f>
        <v>0</v>
      </c>
      <c r="C63" s="62">
        <f t="shared" ref="C63:Q63" si="56">SUM(C54:C62)</f>
        <v>11004</v>
      </c>
      <c r="D63" s="62">
        <f t="shared" si="56"/>
        <v>89592</v>
      </c>
      <c r="E63" s="62">
        <f t="shared" si="56"/>
        <v>441192</v>
      </c>
      <c r="F63" s="62">
        <f t="shared" si="56"/>
        <v>574176</v>
      </c>
      <c r="G63" s="62">
        <f t="shared" si="56"/>
        <v>594120</v>
      </c>
      <c r="H63" s="62">
        <f t="shared" si="56"/>
        <v>704832</v>
      </c>
      <c r="I63" s="63">
        <f t="shared" si="56"/>
        <v>843479</v>
      </c>
      <c r="J63" s="64">
        <f t="shared" si="56"/>
        <v>1013842.8472036648</v>
      </c>
      <c r="K63" s="64">
        <f t="shared" si="56"/>
        <v>1165800.2535898886</v>
      </c>
      <c r="L63" s="64">
        <f t="shared" si="56"/>
        <v>1316081.1875194137</v>
      </c>
      <c r="M63" s="64">
        <f t="shared" si="56"/>
        <v>1482151.5396525683</v>
      </c>
      <c r="N63" s="64">
        <f t="shared" si="56"/>
        <v>1643471.2857614937</v>
      </c>
      <c r="O63" s="64">
        <f t="shared" si="56"/>
        <v>1809172.1489780005</v>
      </c>
      <c r="P63" s="64">
        <f t="shared" si="56"/>
        <v>1987240.0054853223</v>
      </c>
      <c r="Q63" s="64">
        <f t="shared" si="56"/>
        <v>2159965.8289952734</v>
      </c>
      <c r="S63" s="54">
        <f t="shared" si="1"/>
        <v>0.12472558831409579</v>
      </c>
      <c r="T63" s="38">
        <f t="shared" si="2"/>
        <v>0.10824842437430501</v>
      </c>
    </row>
    <row r="64" spans="1:20">
      <c r="A64" s="43"/>
      <c r="B64" s="57"/>
      <c r="C64" s="57"/>
      <c r="D64" s="57"/>
      <c r="E64" s="57"/>
      <c r="F64" s="57"/>
      <c r="G64" s="57"/>
      <c r="H64" s="57"/>
      <c r="I64" s="65"/>
      <c r="J64" s="57"/>
      <c r="K64" s="57"/>
      <c r="L64" s="57"/>
      <c r="M64" s="57"/>
      <c r="N64" s="57"/>
      <c r="O64" s="57"/>
      <c r="P64" s="57"/>
      <c r="Q64" s="57"/>
      <c r="S64" s="54"/>
      <c r="T64" s="38"/>
    </row>
    <row r="65" spans="1:20">
      <c r="A65" s="8" t="s">
        <v>104</v>
      </c>
      <c r="B65" s="57"/>
      <c r="C65" s="57"/>
      <c r="D65" s="57"/>
      <c r="E65" s="57"/>
      <c r="F65" s="57"/>
      <c r="G65" s="57"/>
      <c r="H65" s="57"/>
      <c r="I65" s="65"/>
      <c r="J65" s="57"/>
      <c r="K65" s="57"/>
      <c r="L65" s="57"/>
      <c r="M65" s="57"/>
      <c r="N65" s="57"/>
      <c r="O65" s="57"/>
      <c r="P65" s="57"/>
      <c r="Q65" s="57"/>
      <c r="S65" s="54"/>
      <c r="T65" s="38"/>
    </row>
    <row r="66" spans="1:20" outlineLevel="1">
      <c r="A66" s="33" t="s">
        <v>25</v>
      </c>
      <c r="B66" s="55">
        <f>SUMIFS('data set'!$F:$F,'data set'!$E:$E,Model!$A66,'data set'!$B:$B,Model!B$3)</f>
        <v>11004</v>
      </c>
      <c r="C66" s="55">
        <f>SUMIFS('data set'!$F:$F,'data set'!$E:$E,Model!$A66,'data set'!$B:$B,Model!C$3)</f>
        <v>81816</v>
      </c>
      <c r="D66" s="55">
        <f>SUMIFS('data set'!$F:$F,'data set'!$E:$E,Model!$A66,'data set'!$B:$B,Model!D$3)</f>
        <v>320772</v>
      </c>
      <c r="E66" s="55">
        <f>SUMIFS('data set'!$F:$F,'data set'!$E:$E,Model!$A66,'data set'!$B:$B,Model!E$3)</f>
        <v>195756</v>
      </c>
      <c r="F66" s="55">
        <f>SUMIFS('data set'!$F:$F,'data set'!$E:$E,Model!$A66,'data set'!$B:$B,Model!F$3)</f>
        <v>80688</v>
      </c>
      <c r="G66" s="55">
        <f>SUMIFS('data set'!$F:$F,'data set'!$E:$E,Model!$A66,'data set'!$B:$B,Model!G$3)</f>
        <v>130092</v>
      </c>
      <c r="H66" s="55">
        <f>SUMIFS('data set'!$F:$F,'data set'!$E:$E,Model!$A66,'data set'!$B:$B,Model!H$3)</f>
        <v>173507</v>
      </c>
      <c r="I66" s="56">
        <f>SUMIFS('data set'!$F:$F,'data set'!$E:$E,Model!$A66,'data set'!$B:$B,Model!I$3)</f>
        <v>177744</v>
      </c>
      <c r="J66" s="57">
        <f t="shared" ref="J66:Q72" si="57">J4*J123</f>
        <v>151986.56279170685</v>
      </c>
      <c r="K66" s="57">
        <f t="shared" si="57"/>
        <v>156889.35513982642</v>
      </c>
      <c r="L66" s="57">
        <f t="shared" si="57"/>
        <v>161792.147487946</v>
      </c>
      <c r="M66" s="57">
        <f t="shared" si="57"/>
        <v>166694.93983606558</v>
      </c>
      <c r="N66" s="57">
        <f t="shared" si="57"/>
        <v>171597.73218418515</v>
      </c>
      <c r="O66" s="57">
        <f t="shared" si="57"/>
        <v>176500.52453230473</v>
      </c>
      <c r="P66" s="57">
        <f t="shared" si="57"/>
        <v>181403.3168804243</v>
      </c>
      <c r="Q66" s="57">
        <f t="shared" si="57"/>
        <v>186306.10922854388</v>
      </c>
      <c r="S66" s="54">
        <f t="shared" ref="S66:S131" si="58">IFERROR(RATE(MONTH($Q$3)-MONTH($I$3),0,-I66,Q66),"N/A")</f>
        <v>5.8981706956901933E-3</v>
      </c>
      <c r="T66" s="38">
        <f t="shared" ref="T66:T131" si="59">IFERROR(RATE(MONTH($Q$3)-MONTH($K$3),0,-K66,Q66),"N/A")</f>
        <v>2.9055827476684254E-2</v>
      </c>
    </row>
    <row r="67" spans="1:20" outlineLevel="1">
      <c r="A67" s="33" t="s">
        <v>72</v>
      </c>
      <c r="B67" s="55">
        <f>SUMIFS('data set'!$F:$F,'data set'!$E:$E,Model!$A67,'data set'!$B:$B,Model!B$3)</f>
        <v>0</v>
      </c>
      <c r="C67" s="55">
        <f>SUMIFS('data set'!$F:$F,'data set'!$E:$E,Model!$A67,'data set'!$B:$B,Model!C$3)</f>
        <v>3456</v>
      </c>
      <c r="D67" s="55">
        <f>SUMIFS('data set'!$F:$F,'data set'!$E:$E,Model!$A67,'data set'!$B:$B,Model!D$3)</f>
        <v>38232</v>
      </c>
      <c r="E67" s="55">
        <f>SUMIFS('data set'!$F:$F,'data set'!$E:$E,Model!$A67,'data set'!$B:$B,Model!E$3)</f>
        <v>18960</v>
      </c>
      <c r="F67" s="55">
        <f>SUMIFS('data set'!$F:$F,'data set'!$E:$E,Model!$A67,'data set'!$B:$B,Model!F$3)</f>
        <v>20220</v>
      </c>
      <c r="G67" s="55">
        <f>SUMIFS('data set'!$F:$F,'data set'!$E:$E,Model!$A67,'data set'!$B:$B,Model!G$3)</f>
        <v>3888</v>
      </c>
      <c r="H67" s="55">
        <f>SUMIFS('data set'!$F:$F,'data set'!$E:$E,Model!$A67,'data set'!$B:$B,Model!H$3)</f>
        <v>1440</v>
      </c>
      <c r="I67" s="56">
        <f>SUMIFS('data set'!$F:$F,'data set'!$E:$E,Model!$A67,'data set'!$B:$B,Model!I$3)</f>
        <v>0</v>
      </c>
      <c r="J67" s="57">
        <f t="shared" si="57"/>
        <v>7428</v>
      </c>
      <c r="K67" s="57">
        <f t="shared" si="57"/>
        <v>7428</v>
      </c>
      <c r="L67" s="57">
        <f t="shared" si="57"/>
        <v>7428</v>
      </c>
      <c r="M67" s="57">
        <f t="shared" si="57"/>
        <v>7428</v>
      </c>
      <c r="N67" s="57">
        <f t="shared" si="57"/>
        <v>7428</v>
      </c>
      <c r="O67" s="57">
        <f t="shared" si="57"/>
        <v>7428</v>
      </c>
      <c r="P67" s="57">
        <f t="shared" si="57"/>
        <v>7428</v>
      </c>
      <c r="Q67" s="57">
        <f t="shared" si="57"/>
        <v>7428</v>
      </c>
      <c r="S67" s="54" t="str">
        <f t="shared" si="58"/>
        <v>N/A</v>
      </c>
      <c r="T67" s="38">
        <f t="shared" si="59"/>
        <v>8.3301817192639735E-15</v>
      </c>
    </row>
    <row r="68" spans="1:20" outlineLevel="1">
      <c r="A68" s="33" t="s">
        <v>73</v>
      </c>
      <c r="B68" s="55">
        <f>SUMIFS('data set'!$F:$F,'data set'!$E:$E,Model!$A68,'data set'!$B:$B,Model!B$3)</f>
        <v>0</v>
      </c>
      <c r="C68" s="55">
        <f>SUMIFS('data set'!$F:$F,'data set'!$E:$E,Model!$A68,'data set'!$B:$B,Model!C$3)</f>
        <v>0</v>
      </c>
      <c r="D68" s="55">
        <f>SUMIFS('data set'!$F:$F,'data set'!$E:$E,Model!$A68,'data set'!$B:$B,Model!D$3)</f>
        <v>0</v>
      </c>
      <c r="E68" s="55">
        <f>SUMIFS('data set'!$F:$F,'data set'!$E:$E,Model!$A68,'data set'!$B:$B,Model!E$3)</f>
        <v>0</v>
      </c>
      <c r="F68" s="55">
        <f>SUMIFS('data set'!$F:$F,'data set'!$E:$E,Model!$A68,'data set'!$B:$B,Model!F$3)</f>
        <v>0</v>
      </c>
      <c r="G68" s="55">
        <f>SUMIFS('data set'!$F:$F,'data set'!$E:$E,Model!$A68,'data set'!$B:$B,Model!G$3)</f>
        <v>0</v>
      </c>
      <c r="H68" s="55">
        <f>SUMIFS('data set'!$F:$F,'data set'!$E:$E,Model!$A68,'data set'!$B:$B,Model!H$3)</f>
        <v>0</v>
      </c>
      <c r="I68" s="56">
        <f>SUMIFS('data set'!$F:$F,'data set'!$E:$E,Model!$A68,'data set'!$B:$B,Model!I$3)</f>
        <v>0</v>
      </c>
      <c r="J68" s="57">
        <f t="shared" si="57"/>
        <v>0</v>
      </c>
      <c r="K68" s="57">
        <f t="shared" si="57"/>
        <v>0</v>
      </c>
      <c r="L68" s="57">
        <f t="shared" si="57"/>
        <v>0</v>
      </c>
      <c r="M68" s="57">
        <f t="shared" si="57"/>
        <v>0</v>
      </c>
      <c r="N68" s="57">
        <f t="shared" si="57"/>
        <v>0</v>
      </c>
      <c r="O68" s="57">
        <f t="shared" si="57"/>
        <v>0</v>
      </c>
      <c r="P68" s="57">
        <f t="shared" si="57"/>
        <v>0</v>
      </c>
      <c r="Q68" s="57">
        <f t="shared" si="57"/>
        <v>0</v>
      </c>
      <c r="S68" s="54" t="str">
        <f t="shared" si="58"/>
        <v>N/A</v>
      </c>
      <c r="T68" s="38" t="str">
        <f t="shared" si="59"/>
        <v>N/A</v>
      </c>
    </row>
    <row r="69" spans="1:20" outlineLevel="1">
      <c r="A69" s="33" t="s">
        <v>12</v>
      </c>
      <c r="B69" s="55">
        <f>SUMIFS('data set'!$F:$F,'data set'!$E:$E,Model!$A69,'data set'!$B:$B,Model!B$3)</f>
        <v>0</v>
      </c>
      <c r="C69" s="55">
        <f>SUMIFS('data set'!$F:$F,'data set'!$E:$E,Model!$A69,'data set'!$B:$B,Model!C$3)</f>
        <v>0</v>
      </c>
      <c r="D69" s="55">
        <f>SUMIFS('data set'!$F:$F,'data set'!$E:$E,Model!$A69,'data set'!$B:$B,Model!D$3)</f>
        <v>16200</v>
      </c>
      <c r="E69" s="55">
        <f>SUMIFS('data set'!$F:$F,'data set'!$E:$E,Model!$A69,'data set'!$B:$B,Model!E$3)</f>
        <v>82008</v>
      </c>
      <c r="F69" s="55">
        <f>SUMIFS('data set'!$F:$F,'data set'!$E:$E,Model!$A69,'data set'!$B:$B,Model!F$3)</f>
        <v>73272</v>
      </c>
      <c r="G69" s="55">
        <f>SUMIFS('data set'!$F:$F,'data set'!$E:$E,Model!$A69,'data set'!$B:$B,Model!G$3)</f>
        <v>98016</v>
      </c>
      <c r="H69" s="55">
        <f>SUMIFS('data set'!$F:$F,'data set'!$E:$E,Model!$A69,'data set'!$B:$B,Model!H$3)</f>
        <v>68712</v>
      </c>
      <c r="I69" s="56">
        <f>SUMIFS('data set'!$F:$F,'data set'!$E:$E,Model!$A69,'data set'!$B:$B,Model!I$3)</f>
        <v>112333</v>
      </c>
      <c r="J69" s="57">
        <f t="shared" si="57"/>
        <v>152296.03184589802</v>
      </c>
      <c r="K69" s="57">
        <f t="shared" si="57"/>
        <v>176575.10938654843</v>
      </c>
      <c r="L69" s="57">
        <f t="shared" si="57"/>
        <v>200854.18692719884</v>
      </c>
      <c r="M69" s="57">
        <f t="shared" si="57"/>
        <v>225133.26446784925</v>
      </c>
      <c r="N69" s="57">
        <f t="shared" si="57"/>
        <v>247205.1531411678</v>
      </c>
      <c r="O69" s="57">
        <f t="shared" si="57"/>
        <v>271484.23068181821</v>
      </c>
      <c r="P69" s="57">
        <f t="shared" si="57"/>
        <v>295763.30822246859</v>
      </c>
      <c r="Q69" s="57">
        <f t="shared" si="57"/>
        <v>320042.38576311903</v>
      </c>
      <c r="S69" s="54">
        <f t="shared" si="58"/>
        <v>0.1398232665276592</v>
      </c>
      <c r="T69" s="38">
        <f t="shared" si="59"/>
        <v>0.1041964228652114</v>
      </c>
    </row>
    <row r="70" spans="1:20" outlineLevel="1">
      <c r="A70" s="33" t="s">
        <v>14</v>
      </c>
      <c r="B70" s="55">
        <f>SUMIFS('data set'!$F:$F,'data set'!$E:$E,Model!$A70,'data set'!$B:$B,Model!B$3)</f>
        <v>0</v>
      </c>
      <c r="C70" s="55">
        <f>SUMIFS('data set'!$F:$F,'data set'!$E:$E,Model!$A70,'data set'!$B:$B,Model!C$3)</f>
        <v>0</v>
      </c>
      <c r="D70" s="55">
        <f>SUMIFS('data set'!$F:$F,'data set'!$E:$E,Model!$A70,'data set'!$B:$B,Model!D$3)</f>
        <v>-8976</v>
      </c>
      <c r="E70" s="55">
        <f>SUMIFS('data set'!$F:$F,'data set'!$E:$E,Model!$A70,'data set'!$B:$B,Model!E$3)</f>
        <v>-143112</v>
      </c>
      <c r="F70" s="55">
        <f>SUMIFS('data set'!$F:$F,'data set'!$E:$E,Model!$A70,'data set'!$B:$B,Model!F$3)</f>
        <v>-118032</v>
      </c>
      <c r="G70" s="55">
        <f>SUMIFS('data set'!$F:$F,'data set'!$E:$E,Model!$A70,'data set'!$B:$B,Model!G$3)</f>
        <v>-54744</v>
      </c>
      <c r="H70" s="55">
        <f>SUMIFS('data set'!$F:$F,'data set'!$E:$E,Model!$A70,'data set'!$B:$B,Model!H$3)</f>
        <v>-43704</v>
      </c>
      <c r="I70" s="56">
        <f>SUMIFS('data set'!$F:$F,'data set'!$E:$E,Model!$A70,'data set'!$B:$B,Model!I$3)</f>
        <v>-45444</v>
      </c>
      <c r="J70" s="57">
        <f t="shared" si="57"/>
        <v>-112013.25270554873</v>
      </c>
      <c r="K70" s="57">
        <f t="shared" si="57"/>
        <v>-128815.24061138104</v>
      </c>
      <c r="L70" s="57">
        <f t="shared" si="57"/>
        <v>-142816.89719957463</v>
      </c>
      <c r="M70" s="57">
        <f t="shared" si="57"/>
        <v>-159618.88510540695</v>
      </c>
      <c r="N70" s="57">
        <f t="shared" si="57"/>
        <v>-173620.54169360053</v>
      </c>
      <c r="O70" s="57">
        <f t="shared" si="57"/>
        <v>-190422.52959943283</v>
      </c>
      <c r="P70" s="57">
        <f t="shared" si="57"/>
        <v>-207224.51750526516</v>
      </c>
      <c r="Q70" s="57">
        <f t="shared" si="57"/>
        <v>-221226.17409345874</v>
      </c>
      <c r="S70" s="54">
        <f t="shared" si="58"/>
        <v>0.21876505851543424</v>
      </c>
      <c r="T70" s="38">
        <f t="shared" si="59"/>
        <v>9.4321360821255293E-2</v>
      </c>
    </row>
    <row r="71" spans="1:20" outlineLevel="1">
      <c r="A71" s="33" t="s">
        <v>16</v>
      </c>
      <c r="B71" s="55">
        <f>SUMIFS('data set'!$F:$F,'data set'!$E:$E,Model!$A71,'data set'!$B:$B,Model!B$3)</f>
        <v>0</v>
      </c>
      <c r="C71" s="55">
        <f>SUMIFS('data set'!$F:$F,'data set'!$E:$E,Model!$A71,'data set'!$B:$B,Model!C$3)</f>
        <v>0</v>
      </c>
      <c r="D71" s="55">
        <f>SUMIFS('data set'!$F:$F,'data set'!$E:$E,Model!$A71,'data set'!$B:$B,Model!D$3)</f>
        <v>0</v>
      </c>
      <c r="E71" s="55">
        <f>SUMIFS('data set'!$F:$F,'data set'!$E:$E,Model!$A71,'data set'!$B:$B,Model!E$3)</f>
        <v>1200</v>
      </c>
      <c r="F71" s="55">
        <f>SUMIFS('data set'!$F:$F,'data set'!$E:$E,Model!$A71,'data set'!$B:$B,Model!F$3)</f>
        <v>0</v>
      </c>
      <c r="G71" s="55">
        <f>SUMIFS('data set'!$F:$F,'data set'!$E:$E,Model!$A71,'data set'!$B:$B,Model!G$3)</f>
        <v>3840</v>
      </c>
      <c r="H71" s="55">
        <f>SUMIFS('data set'!$F:$F,'data set'!$E:$E,Model!$A71,'data set'!$B:$B,Model!H$3)</f>
        <v>0</v>
      </c>
      <c r="I71" s="56">
        <f>SUMIFS('data set'!$F:$F,'data set'!$E:$E,Model!$A71,'data set'!$B:$B,Model!I$3)</f>
        <v>1440</v>
      </c>
      <c r="J71" s="57">
        <f t="shared" si="57"/>
        <v>1360</v>
      </c>
      <c r="K71" s="57">
        <f t="shared" si="57"/>
        <v>1360</v>
      </c>
      <c r="L71" s="57">
        <f t="shared" si="57"/>
        <v>1360</v>
      </c>
      <c r="M71" s="57">
        <f t="shared" si="57"/>
        <v>1360</v>
      </c>
      <c r="N71" s="57">
        <f t="shared" si="57"/>
        <v>1360</v>
      </c>
      <c r="O71" s="57">
        <f t="shared" si="57"/>
        <v>1360</v>
      </c>
      <c r="P71" s="57">
        <f t="shared" si="57"/>
        <v>1360</v>
      </c>
      <c r="Q71" s="57">
        <f t="shared" si="57"/>
        <v>1360</v>
      </c>
      <c r="S71" s="54">
        <f t="shared" si="58"/>
        <v>-7.1193383138896376E-3</v>
      </c>
      <c r="T71" s="38">
        <f t="shared" si="59"/>
        <v>8.3593552218294516E-15</v>
      </c>
    </row>
    <row r="72" spans="1:20" outlineLevel="1">
      <c r="A72" s="33" t="s">
        <v>74</v>
      </c>
      <c r="B72" s="55">
        <f>SUMIFS('data set'!$F:$F,'data set'!$E:$E,Model!$A72,'data set'!$B:$B,Model!B$3)</f>
        <v>0</v>
      </c>
      <c r="C72" s="55">
        <f>SUMIFS('data set'!$F:$F,'data set'!$E:$E,Model!$A72,'data set'!$B:$B,Model!C$3)</f>
        <v>0</v>
      </c>
      <c r="D72" s="55">
        <f>SUMIFS('data set'!$F:$F,'data set'!$E:$E,Model!$A72,'data set'!$B:$B,Model!D$3)</f>
        <v>0</v>
      </c>
      <c r="E72" s="55">
        <f>SUMIFS('data set'!$F:$F,'data set'!$E:$E,Model!$A72,'data set'!$B:$B,Model!E$3)</f>
        <v>0</v>
      </c>
      <c r="F72" s="55">
        <f>SUMIFS('data set'!$F:$F,'data set'!$E:$E,Model!$A72,'data set'!$B:$B,Model!F$3)</f>
        <v>0</v>
      </c>
      <c r="G72" s="55">
        <f>SUMIFS('data set'!$F:$F,'data set'!$E:$E,Model!$A72,'data set'!$B:$B,Model!G$3)</f>
        <v>1440</v>
      </c>
      <c r="H72" s="55">
        <f>SUMIFS('data set'!$F:$F,'data set'!$E:$E,Model!$A72,'data set'!$B:$B,Model!H$3)</f>
        <v>2736</v>
      </c>
      <c r="I72" s="56">
        <f>SUMIFS('data set'!$F:$F,'data set'!$E:$E,Model!$A72,'data set'!$B:$B,Model!I$3)</f>
        <v>0</v>
      </c>
      <c r="J72" s="57">
        <f t="shared" si="57"/>
        <v>10440</v>
      </c>
      <c r="K72" s="57">
        <f t="shared" si="57"/>
        <v>4176</v>
      </c>
      <c r="L72" s="57">
        <f t="shared" si="57"/>
        <v>4176</v>
      </c>
      <c r="M72" s="57">
        <f t="shared" si="57"/>
        <v>4176</v>
      </c>
      <c r="N72" s="57">
        <f t="shared" si="57"/>
        <v>4176</v>
      </c>
      <c r="O72" s="57">
        <f t="shared" si="57"/>
        <v>4176</v>
      </c>
      <c r="P72" s="57">
        <f t="shared" si="57"/>
        <v>4176</v>
      </c>
      <c r="Q72" s="57">
        <f t="shared" si="57"/>
        <v>6264</v>
      </c>
      <c r="S72" s="54" t="str">
        <f t="shared" si="58"/>
        <v>N/A</v>
      </c>
      <c r="T72" s="38">
        <f t="shared" si="59"/>
        <v>6.9913193933663451E-2</v>
      </c>
    </row>
    <row r="73" spans="1:20" outlineLevel="1">
      <c r="A73" s="33" t="s">
        <v>76</v>
      </c>
      <c r="B73" s="55">
        <f>SUMIFS('data set'!$F:$F,'data set'!$E:$E,Model!$A73,'data set'!$B:$B,Model!B$3)</f>
        <v>0</v>
      </c>
      <c r="C73" s="55">
        <f>SUMIFS('data set'!$F:$F,'data set'!$E:$E,Model!$A73,'data set'!$B:$B,Model!C$3)</f>
        <v>-9804</v>
      </c>
      <c r="D73" s="55">
        <f>SUMIFS('data set'!$F:$F,'data set'!$E:$E,Model!$A73,'data set'!$B:$B,Model!D$3)</f>
        <v>-1728</v>
      </c>
      <c r="E73" s="55">
        <f>SUMIFS('data set'!$F:$F,'data set'!$E:$E,Model!$A73,'data set'!$B:$B,Model!E$3)</f>
        <v>-14712</v>
      </c>
      <c r="F73" s="55">
        <f>SUMIFS('data set'!$F:$F,'data set'!$E:$E,Model!$A73,'data set'!$B:$B,Model!F$3)</f>
        <v>0</v>
      </c>
      <c r="G73" s="55">
        <f>SUMIFS('data set'!$F:$F,'data set'!$E:$E,Model!$A73,'data set'!$B:$B,Model!G$3)</f>
        <v>-4752</v>
      </c>
      <c r="H73" s="55">
        <f>SUMIFS('data set'!$F:$F,'data set'!$E:$E,Model!$A73,'data set'!$B:$B,Model!H$3)</f>
        <v>-1440</v>
      </c>
      <c r="I73" s="56">
        <f>SUMIFS('data set'!$F:$F,'data set'!$E:$E,Model!$A73,'data set'!$B:$B,Model!I$3)</f>
        <v>-13584</v>
      </c>
      <c r="J73" s="57">
        <f t="shared" ref="J73:Q74" si="60">J12*J130</f>
        <v>-11072</v>
      </c>
      <c r="K73" s="57">
        <f t="shared" si="60"/>
        <v>-11072</v>
      </c>
      <c r="L73" s="57">
        <f t="shared" si="60"/>
        <v>-11072</v>
      </c>
      <c r="M73" s="57">
        <f t="shared" si="60"/>
        <v>-16608</v>
      </c>
      <c r="N73" s="57">
        <f t="shared" si="60"/>
        <v>-16608</v>
      </c>
      <c r="O73" s="57">
        <f t="shared" si="60"/>
        <v>-16608</v>
      </c>
      <c r="P73" s="57">
        <f t="shared" si="60"/>
        <v>-22144</v>
      </c>
      <c r="Q73" s="57">
        <f t="shared" si="60"/>
        <v>-22144</v>
      </c>
      <c r="S73" s="54">
        <f t="shared" si="58"/>
        <v>6.2988460531797033E-2</v>
      </c>
      <c r="T73" s="38">
        <f t="shared" si="59"/>
        <v>0.12246204830937299</v>
      </c>
    </row>
    <row r="74" spans="1:20" outlineLevel="1">
      <c r="A74" s="33" t="s">
        <v>77</v>
      </c>
      <c r="B74" s="59">
        <f>SUMIFS('data set'!$F:$F,'data set'!$E:$E,Model!$A74,'data set'!$B:$B,Model!B$3)</f>
        <v>0</v>
      </c>
      <c r="C74" s="59">
        <f>SUMIFS('data set'!$F:$F,'data set'!$E:$E,Model!$A74,'data set'!$B:$B,Model!C$3)</f>
        <v>0</v>
      </c>
      <c r="D74" s="59">
        <f>SUMIFS('data set'!$F:$F,'data set'!$E:$E,Model!$A74,'data set'!$B:$B,Model!D$3)</f>
        <v>-1440</v>
      </c>
      <c r="E74" s="59">
        <f>SUMIFS('data set'!$F:$F,'data set'!$E:$E,Model!$A74,'data set'!$B:$B,Model!E$3)</f>
        <v>0</v>
      </c>
      <c r="F74" s="59">
        <f>SUMIFS('data set'!$F:$F,'data set'!$E:$E,Model!$A74,'data set'!$B:$B,Model!F$3)</f>
        <v>-7380</v>
      </c>
      <c r="G74" s="59">
        <f>SUMIFS('data set'!$F:$F,'data set'!$E:$E,Model!$A74,'data set'!$B:$B,Model!G$3)</f>
        <v>-4320</v>
      </c>
      <c r="H74" s="59">
        <f>SUMIFS('data set'!$F:$F,'data set'!$E:$E,Model!$A74,'data set'!$B:$B,Model!H$3)</f>
        <v>-17412</v>
      </c>
      <c r="I74" s="60">
        <f>SUMIFS('data set'!$F:$F,'data set'!$E:$E,Model!$A74,'data set'!$B:$B,Model!I$3)</f>
        <v>-27996</v>
      </c>
      <c r="J74" s="61">
        <f t="shared" si="60"/>
        <v>-6459.5</v>
      </c>
      <c r="K74" s="61">
        <f t="shared" si="60"/>
        <v>-6459.5</v>
      </c>
      <c r="L74" s="61">
        <f t="shared" si="60"/>
        <v>-6459.5</v>
      </c>
      <c r="M74" s="61">
        <f t="shared" si="60"/>
        <v>-9689.25</v>
      </c>
      <c r="N74" s="61">
        <f t="shared" si="60"/>
        <v>-9689.25</v>
      </c>
      <c r="O74" s="61">
        <f t="shared" si="60"/>
        <v>-9689.25</v>
      </c>
      <c r="P74" s="61">
        <f t="shared" si="60"/>
        <v>-12919</v>
      </c>
      <c r="Q74" s="61">
        <f t="shared" si="60"/>
        <v>-12919</v>
      </c>
      <c r="S74" s="54">
        <f t="shared" si="58"/>
        <v>-9.2144739984185695E-2</v>
      </c>
      <c r="T74" s="38">
        <f t="shared" si="59"/>
        <v>0.12246204830937286</v>
      </c>
    </row>
    <row r="75" spans="1:20">
      <c r="A75" s="43" t="s">
        <v>105</v>
      </c>
      <c r="B75" s="62">
        <f>SUM(B66:B74)</f>
        <v>11004</v>
      </c>
      <c r="C75" s="62">
        <f t="shared" ref="C75" si="61">SUM(C66:C74)</f>
        <v>75468</v>
      </c>
      <c r="D75" s="62">
        <f t="shared" ref="D75" si="62">SUM(D66:D74)</f>
        <v>363060</v>
      </c>
      <c r="E75" s="62">
        <f t="shared" ref="E75" si="63">SUM(E66:E74)</f>
        <v>140100</v>
      </c>
      <c r="F75" s="62">
        <f t="shared" ref="F75" si="64">SUM(F66:F74)</f>
        <v>48768</v>
      </c>
      <c r="G75" s="62">
        <f t="shared" ref="G75" si="65">SUM(G66:G74)</f>
        <v>173460</v>
      </c>
      <c r="H75" s="62">
        <f t="shared" ref="H75" si="66">SUM(H66:H74)</f>
        <v>183839</v>
      </c>
      <c r="I75" s="63">
        <f t="shared" ref="I75:Q75" si="67">SUM(I66:I74)</f>
        <v>204493</v>
      </c>
      <c r="J75" s="64">
        <f>SUM(J66:J74)</f>
        <v>193965.84193205618</v>
      </c>
      <c r="K75" s="64">
        <f t="shared" si="67"/>
        <v>200081.72391499378</v>
      </c>
      <c r="L75" s="64">
        <f t="shared" si="67"/>
        <v>215261.93721557024</v>
      </c>
      <c r="M75" s="64">
        <f t="shared" si="67"/>
        <v>218876.06919850784</v>
      </c>
      <c r="N75" s="64">
        <f t="shared" si="67"/>
        <v>231849.09363175242</v>
      </c>
      <c r="O75" s="64">
        <f t="shared" si="67"/>
        <v>244228.97561469011</v>
      </c>
      <c r="P75" s="64">
        <f t="shared" si="67"/>
        <v>247843.10759762768</v>
      </c>
      <c r="Q75" s="64">
        <f t="shared" si="67"/>
        <v>265111.32089820417</v>
      </c>
      <c r="R75" s="64"/>
      <c r="S75" s="54">
        <f t="shared" si="58"/>
        <v>3.2984317948577681E-2</v>
      </c>
      <c r="T75" s="38">
        <f t="shared" si="59"/>
        <v>4.8021379170925457E-2</v>
      </c>
    </row>
    <row r="76" spans="1:20">
      <c r="A76" s="43"/>
      <c r="B76" s="57"/>
      <c r="C76" s="57"/>
      <c r="D76" s="57"/>
      <c r="E76" s="57"/>
      <c r="F76" s="57"/>
      <c r="G76" s="57"/>
      <c r="H76" s="57"/>
      <c r="I76" s="65"/>
      <c r="J76" s="57"/>
      <c r="K76" s="57"/>
      <c r="L76" s="57"/>
      <c r="M76" s="57"/>
      <c r="N76" s="57"/>
      <c r="O76" s="57"/>
      <c r="P76" s="57"/>
      <c r="Q76" s="57"/>
      <c r="S76" s="54"/>
      <c r="T76" s="38"/>
    </row>
    <row r="77" spans="1:20">
      <c r="A77" s="66" t="s">
        <v>106</v>
      </c>
      <c r="B77" s="57"/>
      <c r="C77" s="57"/>
      <c r="D77" s="57"/>
      <c r="E77" s="57"/>
      <c r="F77" s="57"/>
      <c r="G77" s="57"/>
      <c r="H77" s="57"/>
      <c r="I77" s="65"/>
      <c r="J77" s="57"/>
      <c r="K77" s="57"/>
      <c r="L77" s="57"/>
      <c r="M77" s="57"/>
      <c r="N77" s="57"/>
      <c r="O77" s="57"/>
      <c r="P77" s="57"/>
      <c r="Q77" s="57"/>
      <c r="S77" s="54"/>
      <c r="T77" s="38"/>
    </row>
    <row r="78" spans="1:20" outlineLevel="1">
      <c r="A78" s="33" t="s">
        <v>25</v>
      </c>
      <c r="B78" s="55">
        <f>SUMIFS('data set'!$D:$D,'data set'!$E:$E,Model!$A78,'data set'!$B:$B,Model!B$3)</f>
        <v>11004</v>
      </c>
      <c r="C78" s="55">
        <f>SUMIFS('data set'!$D:$D,'data set'!$E:$E,Model!$A78,'data set'!$B:$B,Model!C$3)</f>
        <v>81816</v>
      </c>
      <c r="D78" s="55">
        <f>SUMIFS('data set'!$D:$D,'data set'!$E:$E,Model!$A78,'data set'!$B:$B,Model!D$3)</f>
        <v>320772</v>
      </c>
      <c r="E78" s="55">
        <f>SUMIFS('data set'!$D:$D,'data set'!$E:$E,Model!$A78,'data set'!$B:$B,Model!E$3)</f>
        <v>195756</v>
      </c>
      <c r="F78" s="55">
        <f>SUMIFS('data set'!$D:$D,'data set'!$E:$E,Model!$A78,'data set'!$B:$B,Model!F$3)</f>
        <v>80688</v>
      </c>
      <c r="G78" s="55">
        <f>SUMIFS('data set'!$D:$D,'data set'!$E:$E,Model!$A78,'data set'!$B:$B,Model!G$3)</f>
        <v>130092</v>
      </c>
      <c r="H78" s="55">
        <f>SUMIFS('data set'!$D:$D,'data set'!$E:$E,Model!$A78,'data set'!$B:$B,Model!H$3)</f>
        <v>173507</v>
      </c>
      <c r="I78" s="56">
        <f>SUMIFS('data set'!$D:$D,'data set'!$E:$E,Model!$A78,'data set'!$B:$B,Model!I$3)</f>
        <v>177744</v>
      </c>
      <c r="J78" s="57">
        <f>J54+J66</f>
        <v>151986.56279170685</v>
      </c>
      <c r="K78" s="57">
        <f t="shared" ref="K78:Q78" si="68">K54+K66</f>
        <v>156889.35513982642</v>
      </c>
      <c r="L78" s="57">
        <f t="shared" si="68"/>
        <v>161792.147487946</v>
      </c>
      <c r="M78" s="57">
        <f t="shared" si="68"/>
        <v>166694.93983606558</v>
      </c>
      <c r="N78" s="57">
        <f t="shared" si="68"/>
        <v>171597.73218418515</v>
      </c>
      <c r="O78" s="57">
        <f t="shared" si="68"/>
        <v>176500.52453230473</v>
      </c>
      <c r="P78" s="57">
        <f t="shared" si="68"/>
        <v>181403.3168804243</v>
      </c>
      <c r="Q78" s="57">
        <f t="shared" si="68"/>
        <v>186306.10922854388</v>
      </c>
      <c r="S78" s="54">
        <f t="shared" si="58"/>
        <v>5.8981706956901933E-3</v>
      </c>
      <c r="T78" s="38">
        <f t="shared" si="59"/>
        <v>2.9055827476684254E-2</v>
      </c>
    </row>
    <row r="79" spans="1:20" outlineLevel="1">
      <c r="A79" s="33" t="s">
        <v>72</v>
      </c>
      <c r="B79" s="55">
        <f>SUMIFS('data set'!$D:$D,'data set'!$E:$E,Model!$A79,'data set'!$B:$B,Model!B$3)</f>
        <v>0</v>
      </c>
      <c r="C79" s="55">
        <f>SUMIFS('data set'!$D:$D,'data set'!$E:$E,Model!$A79,'data set'!$B:$B,Model!C$3)</f>
        <v>3456</v>
      </c>
      <c r="D79" s="55">
        <f>SUMIFS('data set'!$D:$D,'data set'!$E:$E,Model!$A79,'data set'!$B:$B,Model!D$3)</f>
        <v>38232</v>
      </c>
      <c r="E79" s="55">
        <f>SUMIFS('data set'!$D:$D,'data set'!$E:$E,Model!$A79,'data set'!$B:$B,Model!E$3)</f>
        <v>18960</v>
      </c>
      <c r="F79" s="55">
        <f>SUMIFS('data set'!$D:$D,'data set'!$E:$E,Model!$A79,'data set'!$B:$B,Model!F$3)</f>
        <v>20220</v>
      </c>
      <c r="G79" s="55">
        <f>SUMIFS('data set'!$D:$D,'data set'!$E:$E,Model!$A79,'data set'!$B:$B,Model!G$3)</f>
        <v>3888</v>
      </c>
      <c r="H79" s="55">
        <f>SUMIFS('data set'!$D:$D,'data set'!$E:$E,Model!$A79,'data set'!$B:$B,Model!H$3)</f>
        <v>1440</v>
      </c>
      <c r="I79" s="56">
        <f>SUMIFS('data set'!$D:$D,'data set'!$E:$E,Model!$A79,'data set'!$B:$B,Model!I$3)</f>
        <v>0</v>
      </c>
      <c r="J79" s="57">
        <f t="shared" ref="J79:Q86" si="69">J55+J67</f>
        <v>7428</v>
      </c>
      <c r="K79" s="57">
        <f t="shared" si="69"/>
        <v>7428</v>
      </c>
      <c r="L79" s="57">
        <f t="shared" si="69"/>
        <v>7428</v>
      </c>
      <c r="M79" s="57">
        <f t="shared" si="69"/>
        <v>7428</v>
      </c>
      <c r="N79" s="57">
        <f t="shared" si="69"/>
        <v>7428</v>
      </c>
      <c r="O79" s="57">
        <f t="shared" si="69"/>
        <v>7428</v>
      </c>
      <c r="P79" s="57">
        <f t="shared" si="69"/>
        <v>7428</v>
      </c>
      <c r="Q79" s="57">
        <f t="shared" si="69"/>
        <v>7428</v>
      </c>
      <c r="S79" s="54" t="str">
        <f t="shared" si="58"/>
        <v>N/A</v>
      </c>
      <c r="T79" s="38">
        <f t="shared" si="59"/>
        <v>8.3301817192639735E-15</v>
      </c>
    </row>
    <row r="80" spans="1:20" outlineLevel="1">
      <c r="A80" s="33" t="s">
        <v>73</v>
      </c>
      <c r="B80" s="55">
        <f>SUMIFS('data set'!$D:$D,'data set'!$E:$E,Model!$A80,'data set'!$B:$B,Model!B$3)</f>
        <v>0</v>
      </c>
      <c r="C80" s="55">
        <f>SUMIFS('data set'!$D:$D,'data set'!$E:$E,Model!$A80,'data set'!$B:$B,Model!C$3)</f>
        <v>1200</v>
      </c>
      <c r="D80" s="55">
        <f>SUMIFS('data set'!$D:$D,'data set'!$E:$E,Model!$A80,'data set'!$B:$B,Model!D$3)</f>
        <v>29520</v>
      </c>
      <c r="E80" s="55">
        <f>SUMIFS('data set'!$D:$D,'data set'!$E:$E,Model!$A80,'data set'!$B:$B,Model!E$3)</f>
        <v>94128</v>
      </c>
      <c r="F80" s="55">
        <f>SUMIFS('data set'!$D:$D,'data set'!$E:$E,Model!$A80,'data set'!$B:$B,Model!F$3)</f>
        <v>187908</v>
      </c>
      <c r="G80" s="55">
        <f>SUMIFS('data set'!$D:$D,'data set'!$E:$E,Model!$A80,'data set'!$B:$B,Model!G$3)</f>
        <v>241536</v>
      </c>
      <c r="H80" s="55">
        <f>SUMIFS('data set'!$D:$D,'data set'!$E:$E,Model!$A80,'data set'!$B:$B,Model!H$3)</f>
        <v>277992</v>
      </c>
      <c r="I80" s="56">
        <f>SUMIFS('data set'!$D:$D,'data set'!$E:$E,Model!$A80,'data set'!$B:$B,Model!I$3)</f>
        <v>332340</v>
      </c>
      <c r="J80" s="57">
        <f t="shared" si="69"/>
        <v>412912.4903880239</v>
      </c>
      <c r="K80" s="57">
        <f t="shared" si="69"/>
        <v>475889.90330211597</v>
      </c>
      <c r="L80" s="57">
        <f t="shared" si="69"/>
        <v>538172.51692570001</v>
      </c>
      <c r="M80" s="57">
        <f t="shared" si="69"/>
        <v>603366.0281695507</v>
      </c>
      <c r="N80" s="57">
        <f t="shared" si="69"/>
        <v>670223.58058181254</v>
      </c>
      <c r="O80" s="57">
        <f t="shared" si="69"/>
        <v>738896.84851377632</v>
      </c>
      <c r="P80" s="57">
        <f t="shared" si="69"/>
        <v>809062.62010925566</v>
      </c>
      <c r="Q80" s="57">
        <f t="shared" si="69"/>
        <v>880647.32115676568</v>
      </c>
      <c r="S80" s="54">
        <f t="shared" si="58"/>
        <v>0.12954210750007997</v>
      </c>
      <c r="T80" s="38">
        <f t="shared" si="59"/>
        <v>0.10802422251782055</v>
      </c>
    </row>
    <row r="81" spans="1:20" outlineLevel="1">
      <c r="A81" s="33" t="s">
        <v>12</v>
      </c>
      <c r="B81" s="55">
        <f>SUMIFS('data set'!$D:$D,'data set'!$E:$E,Model!$A81,'data set'!$B:$B,Model!B$3)</f>
        <v>0</v>
      </c>
      <c r="C81" s="55">
        <f>SUMIFS('data set'!$D:$D,'data set'!$E:$E,Model!$A81,'data set'!$B:$B,Model!C$3)</f>
        <v>0</v>
      </c>
      <c r="D81" s="55">
        <f>SUMIFS('data set'!$D:$D,'data set'!$E:$E,Model!$A81,'data set'!$B:$B,Model!D$3)</f>
        <v>41868</v>
      </c>
      <c r="E81" s="55">
        <f>SUMIFS('data set'!$D:$D,'data set'!$E:$E,Model!$A81,'data set'!$B:$B,Model!E$3)</f>
        <v>168648</v>
      </c>
      <c r="F81" s="55">
        <f>SUMIFS('data set'!$D:$D,'data set'!$E:$E,Model!$A81,'data set'!$B:$B,Model!F$3)</f>
        <v>224688</v>
      </c>
      <c r="G81" s="55">
        <f>SUMIFS('data set'!$D:$D,'data set'!$E:$E,Model!$A81,'data set'!$B:$B,Model!G$3)</f>
        <v>322308</v>
      </c>
      <c r="H81" s="55">
        <f>SUMIFS('data set'!$D:$D,'data set'!$E:$E,Model!$A81,'data set'!$B:$B,Model!H$3)</f>
        <v>253584</v>
      </c>
      <c r="I81" s="56">
        <f>SUMIFS('data set'!$D:$D,'data set'!$E:$E,Model!$A81,'data set'!$B:$B,Model!I$3)</f>
        <v>414060</v>
      </c>
      <c r="J81" s="57">
        <f t="shared" si="69"/>
        <v>527173.70828360424</v>
      </c>
      <c r="K81" s="57">
        <f t="shared" si="69"/>
        <v>608629.12892568775</v>
      </c>
      <c r="L81" s="57">
        <f t="shared" si="69"/>
        <v>689453.75067047589</v>
      </c>
      <c r="M81" s="57">
        <f t="shared" si="69"/>
        <v>772921.13707275398</v>
      </c>
      <c r="N81" s="57">
        <f t="shared" si="69"/>
        <v>855692.09512289905</v>
      </c>
      <c r="O81" s="57">
        <f t="shared" si="69"/>
        <v>942318.70565177721</v>
      </c>
      <c r="P81" s="57">
        <f t="shared" si="69"/>
        <v>1030300.3401106114</v>
      </c>
      <c r="Q81" s="57">
        <f t="shared" si="69"/>
        <v>1119570.2014659157</v>
      </c>
      <c r="S81" s="54">
        <f t="shared" si="58"/>
        <v>0.13239646932982702</v>
      </c>
      <c r="T81" s="38">
        <f t="shared" si="59"/>
        <v>0.10692050569482438</v>
      </c>
    </row>
    <row r="82" spans="1:20" outlineLevel="1">
      <c r="A82" s="33" t="s">
        <v>14</v>
      </c>
      <c r="B82" s="55">
        <f>SUMIFS('data set'!$D:$D,'data set'!$E:$E,Model!$A82,'data set'!$B:$B,Model!B$3)</f>
        <v>0</v>
      </c>
      <c r="C82" s="55">
        <f>SUMIFS('data set'!$D:$D,'data set'!$E:$E,Model!$A82,'data set'!$B:$B,Model!C$3)</f>
        <v>0</v>
      </c>
      <c r="D82" s="55">
        <f>SUMIFS('data set'!$D:$D,'data set'!$E:$E,Model!$A82,'data set'!$B:$B,Model!D$3)</f>
        <v>22260</v>
      </c>
      <c r="E82" s="55">
        <f>SUMIFS('data set'!$D:$D,'data set'!$E:$E,Model!$A82,'data set'!$B:$B,Model!E$3)</f>
        <v>102600</v>
      </c>
      <c r="F82" s="55">
        <f>SUMIFS('data set'!$D:$D,'data set'!$E:$E,Model!$A82,'data set'!$B:$B,Model!F$3)</f>
        <v>109440</v>
      </c>
      <c r="G82" s="55">
        <f>SUMIFS('data set'!$D:$D,'data set'!$E:$E,Model!$A82,'data set'!$B:$B,Model!G$3)</f>
        <v>64476</v>
      </c>
      <c r="H82" s="55">
        <f>SUMIFS('data set'!$D:$D,'data set'!$E:$E,Model!$A82,'data set'!$B:$B,Model!H$3)</f>
        <v>179412</v>
      </c>
      <c r="I82" s="56">
        <f>SUMIFS('data set'!$D:$D,'data set'!$E:$E,Model!$A82,'data set'!$B:$B,Model!I$3)</f>
        <v>122388</v>
      </c>
      <c r="J82" s="57">
        <f t="shared" si="69"/>
        <v>96507.927672386009</v>
      </c>
      <c r="K82" s="57">
        <f t="shared" si="69"/>
        <v>111509.59013725209</v>
      </c>
      <c r="L82" s="57">
        <f t="shared" si="69"/>
        <v>128960.70965086197</v>
      </c>
      <c r="M82" s="57">
        <f t="shared" si="69"/>
        <v>145081.50377270594</v>
      </c>
      <c r="N82" s="57">
        <f t="shared" si="69"/>
        <v>164842.97150434967</v>
      </c>
      <c r="O82" s="57">
        <f t="shared" si="69"/>
        <v>182721.04589483241</v>
      </c>
      <c r="P82" s="57">
        <f t="shared" si="69"/>
        <v>201352.83598265864</v>
      </c>
      <c r="Q82" s="57">
        <f t="shared" si="69"/>
        <v>223501.51804225263</v>
      </c>
      <c r="S82" s="54">
        <f t="shared" si="58"/>
        <v>7.8183558630118541E-2</v>
      </c>
      <c r="T82" s="38">
        <f t="shared" si="59"/>
        <v>0.12286628752717063</v>
      </c>
    </row>
    <row r="83" spans="1:20" outlineLevel="1">
      <c r="A83" s="33" t="s">
        <v>16</v>
      </c>
      <c r="B83" s="55">
        <f>SUMIFS('data set'!$D:$D,'data set'!$E:$E,Model!$A83,'data set'!$B:$B,Model!B$3)</f>
        <v>0</v>
      </c>
      <c r="C83" s="55">
        <f>SUMIFS('data set'!$D:$D,'data set'!$E:$E,Model!$A83,'data set'!$B:$B,Model!C$3)</f>
        <v>0</v>
      </c>
      <c r="D83" s="55">
        <f>SUMIFS('data set'!$D:$D,'data set'!$E:$E,Model!$A83,'data set'!$B:$B,Model!D$3)</f>
        <v>0</v>
      </c>
      <c r="E83" s="55">
        <f>SUMIFS('data set'!$D:$D,'data set'!$E:$E,Model!$A83,'data set'!$B:$B,Model!E$3)</f>
        <v>1200</v>
      </c>
      <c r="F83" s="55">
        <f>SUMIFS('data set'!$D:$D,'data set'!$E:$E,Model!$A83,'data set'!$B:$B,Model!F$3)</f>
        <v>0</v>
      </c>
      <c r="G83" s="55">
        <f>SUMIFS('data set'!$D:$D,'data set'!$E:$E,Model!$A83,'data set'!$B:$B,Model!G$3)</f>
        <v>3840</v>
      </c>
      <c r="H83" s="55">
        <f>SUMIFS('data set'!$D:$D,'data set'!$E:$E,Model!$A83,'data set'!$B:$B,Model!H$3)</f>
        <v>0</v>
      </c>
      <c r="I83" s="56">
        <f>SUMIFS('data set'!$D:$D,'data set'!$E:$E,Model!$A83,'data set'!$B:$B,Model!I$3)</f>
        <v>1440</v>
      </c>
      <c r="J83" s="57">
        <f t="shared" si="69"/>
        <v>1360</v>
      </c>
      <c r="K83" s="57">
        <f t="shared" si="69"/>
        <v>1360</v>
      </c>
      <c r="L83" s="57">
        <f t="shared" si="69"/>
        <v>1360</v>
      </c>
      <c r="M83" s="57">
        <f t="shared" si="69"/>
        <v>1360</v>
      </c>
      <c r="N83" s="57">
        <f t="shared" si="69"/>
        <v>1360</v>
      </c>
      <c r="O83" s="57">
        <f t="shared" si="69"/>
        <v>1360</v>
      </c>
      <c r="P83" s="57">
        <f t="shared" si="69"/>
        <v>1360</v>
      </c>
      <c r="Q83" s="57">
        <f t="shared" si="69"/>
        <v>1360</v>
      </c>
      <c r="S83" s="54">
        <f t="shared" si="58"/>
        <v>-7.1193383138896376E-3</v>
      </c>
      <c r="T83" s="38">
        <f t="shared" si="59"/>
        <v>8.3593552218294516E-15</v>
      </c>
    </row>
    <row r="84" spans="1:20" outlineLevel="1">
      <c r="A84" s="33" t="s">
        <v>74</v>
      </c>
      <c r="B84" s="55">
        <f>SUMIFS('data set'!$D:$D,'data set'!$E:$E,Model!$A84,'data set'!$B:$B,Model!B$3)</f>
        <v>0</v>
      </c>
      <c r="C84" s="55">
        <f>SUMIFS('data set'!$D:$D,'data set'!$E:$E,Model!$A84,'data set'!$B:$B,Model!C$3)</f>
        <v>0</v>
      </c>
      <c r="D84" s="55">
        <f>SUMIFS('data set'!$D:$D,'data set'!$E:$E,Model!$A84,'data set'!$B:$B,Model!D$3)</f>
        <v>0</v>
      </c>
      <c r="E84" s="55">
        <f>SUMIFS('data set'!$D:$D,'data set'!$E:$E,Model!$A84,'data set'!$B:$B,Model!E$3)</f>
        <v>0</v>
      </c>
      <c r="F84" s="55">
        <f>SUMIFS('data set'!$D:$D,'data set'!$E:$E,Model!$A84,'data set'!$B:$B,Model!F$3)</f>
        <v>0</v>
      </c>
      <c r="G84" s="55">
        <f>SUMIFS('data set'!$D:$D,'data set'!$E:$E,Model!$A84,'data set'!$B:$B,Model!G$3)</f>
        <v>1440</v>
      </c>
      <c r="H84" s="55">
        <f>SUMIFS('data set'!$D:$D,'data set'!$E:$E,Model!$A84,'data set'!$B:$B,Model!H$3)</f>
        <v>2736</v>
      </c>
      <c r="I84" s="56">
        <f>SUMIFS('data set'!$D:$D,'data set'!$E:$E,Model!$A84,'data set'!$B:$B,Model!I$3)</f>
        <v>0</v>
      </c>
      <c r="J84" s="57">
        <f t="shared" si="69"/>
        <v>10440</v>
      </c>
      <c r="K84" s="57">
        <f t="shared" si="69"/>
        <v>4176</v>
      </c>
      <c r="L84" s="57">
        <f t="shared" si="69"/>
        <v>4176</v>
      </c>
      <c r="M84" s="57">
        <f t="shared" si="69"/>
        <v>4176</v>
      </c>
      <c r="N84" s="57">
        <f t="shared" si="69"/>
        <v>4176</v>
      </c>
      <c r="O84" s="57">
        <f t="shared" si="69"/>
        <v>4176</v>
      </c>
      <c r="P84" s="57">
        <f t="shared" si="69"/>
        <v>4176</v>
      </c>
      <c r="Q84" s="57">
        <f t="shared" si="69"/>
        <v>6264</v>
      </c>
      <c r="S84" s="54" t="str">
        <f t="shared" si="58"/>
        <v>N/A</v>
      </c>
      <c r="T84" s="38">
        <f t="shared" si="59"/>
        <v>6.9913193933663451E-2</v>
      </c>
    </row>
    <row r="85" spans="1:20" outlineLevel="1">
      <c r="A85" s="33" t="s">
        <v>76</v>
      </c>
      <c r="B85" s="55">
        <f>SUMIFS('data set'!$D:$D,'data set'!$E:$E,Model!$A85,'data set'!$B:$B,Model!B$3)</f>
        <v>0</v>
      </c>
      <c r="C85" s="55">
        <f>SUMIFS('data set'!$D:$D,'data set'!$E:$E,Model!$A85,'data set'!$B:$B,Model!C$3)</f>
        <v>0</v>
      </c>
      <c r="D85" s="55">
        <f>SUMIFS('data set'!$D:$D,'data set'!$E:$E,Model!$A85,'data set'!$B:$B,Model!D$3)</f>
        <v>0</v>
      </c>
      <c r="E85" s="55">
        <f>SUMIFS('data set'!$D:$D,'data set'!$E:$E,Model!$A85,'data set'!$B:$B,Model!E$3)</f>
        <v>0</v>
      </c>
      <c r="F85" s="55">
        <f>SUMIFS('data set'!$D:$D,'data set'!$E:$E,Model!$A85,'data set'!$B:$B,Model!F$3)</f>
        <v>0</v>
      </c>
      <c r="G85" s="55">
        <f>SUMIFS('data set'!$D:$D,'data set'!$E:$E,Model!$A85,'data set'!$B:$B,Model!G$3)</f>
        <v>0</v>
      </c>
      <c r="H85" s="55">
        <f>SUMIFS('data set'!$D:$D,'data set'!$E:$E,Model!$A85,'data set'!$B:$B,Model!H$3)</f>
        <v>0</v>
      </c>
      <c r="I85" s="56">
        <f>SUMIFS('data set'!$D:$D,'data set'!$E:$E,Model!$A85,'data set'!$B:$B,Model!I$3)</f>
        <v>0</v>
      </c>
      <c r="J85" s="57">
        <f>J61+J73</f>
        <v>0</v>
      </c>
      <c r="K85" s="57">
        <f t="shared" si="69"/>
        <v>0</v>
      </c>
      <c r="L85" s="57">
        <f t="shared" si="69"/>
        <v>0</v>
      </c>
      <c r="M85" s="57">
        <f t="shared" si="69"/>
        <v>0</v>
      </c>
      <c r="N85" s="57">
        <f t="shared" si="69"/>
        <v>0</v>
      </c>
      <c r="O85" s="57">
        <f t="shared" si="69"/>
        <v>0</v>
      </c>
      <c r="P85" s="57">
        <f t="shared" si="69"/>
        <v>0</v>
      </c>
      <c r="Q85" s="57">
        <f t="shared" si="69"/>
        <v>0</v>
      </c>
      <c r="S85" s="54" t="str">
        <f t="shared" si="58"/>
        <v>N/A</v>
      </c>
      <c r="T85" s="38" t="str">
        <f t="shared" si="59"/>
        <v>N/A</v>
      </c>
    </row>
    <row r="86" spans="1:20" outlineLevel="1">
      <c r="A86" s="33" t="s">
        <v>77</v>
      </c>
      <c r="B86" s="59">
        <f>SUMIFS('data set'!$D:$D,'data set'!$E:$E,Model!$A86,'data set'!$B:$B,Model!B$3)</f>
        <v>0</v>
      </c>
      <c r="C86" s="59">
        <f>SUMIFS('data set'!$D:$D,'data set'!$E:$E,Model!$A86,'data set'!$B:$B,Model!C$3)</f>
        <v>0</v>
      </c>
      <c r="D86" s="59">
        <f>SUMIFS('data set'!$D:$D,'data set'!$E:$E,Model!$A86,'data set'!$B:$B,Model!D$3)</f>
        <v>0</v>
      </c>
      <c r="E86" s="59">
        <f>SUMIFS('data set'!$D:$D,'data set'!$E:$E,Model!$A86,'data set'!$B:$B,Model!E$3)</f>
        <v>0</v>
      </c>
      <c r="F86" s="59">
        <f>SUMIFS('data set'!$D:$D,'data set'!$E:$E,Model!$A86,'data set'!$B:$B,Model!F$3)</f>
        <v>0</v>
      </c>
      <c r="G86" s="59">
        <f>SUMIFS('data set'!$D:$D,'data set'!$E:$E,Model!$A86,'data set'!$B:$B,Model!G$3)</f>
        <v>0</v>
      </c>
      <c r="H86" s="59">
        <f>SUMIFS('data set'!$D:$D,'data set'!$E:$E,Model!$A86,'data set'!$B:$B,Model!H$3)</f>
        <v>0</v>
      </c>
      <c r="I86" s="60">
        <f>SUMIFS('data set'!$D:$D,'data set'!$E:$E,Model!$A86,'data set'!$B:$B,Model!I$3)</f>
        <v>0</v>
      </c>
      <c r="J86" s="61">
        <f t="shared" si="69"/>
        <v>0</v>
      </c>
      <c r="K86" s="61">
        <f t="shared" si="69"/>
        <v>0</v>
      </c>
      <c r="L86" s="61">
        <f t="shared" si="69"/>
        <v>0</v>
      </c>
      <c r="M86" s="61">
        <f t="shared" si="69"/>
        <v>0</v>
      </c>
      <c r="N86" s="61">
        <f t="shared" si="69"/>
        <v>0</v>
      </c>
      <c r="O86" s="61">
        <f t="shared" si="69"/>
        <v>0</v>
      </c>
      <c r="P86" s="61">
        <f t="shared" si="69"/>
        <v>0</v>
      </c>
      <c r="Q86" s="61">
        <f t="shared" si="69"/>
        <v>0</v>
      </c>
      <c r="S86" s="54" t="str">
        <f t="shared" si="58"/>
        <v>N/A</v>
      </c>
      <c r="T86" s="38" t="str">
        <f t="shared" si="59"/>
        <v>N/A</v>
      </c>
    </row>
    <row r="87" spans="1:20" ht="15.95" thickBot="1">
      <c r="A87" s="43" t="s">
        <v>107</v>
      </c>
      <c r="B87" s="62">
        <f>SUM(B78:B86)</f>
        <v>11004</v>
      </c>
      <c r="C87" s="62">
        <f t="shared" ref="C87" si="70">SUM(C78:C86)</f>
        <v>86472</v>
      </c>
      <c r="D87" s="62">
        <f t="shared" ref="D87" si="71">SUM(D78:D86)</f>
        <v>452652</v>
      </c>
      <c r="E87" s="62">
        <f t="shared" ref="E87" si="72">SUM(E78:E86)</f>
        <v>581292</v>
      </c>
      <c r="F87" s="62">
        <f t="shared" ref="F87" si="73">SUM(F78:F86)</f>
        <v>622944</v>
      </c>
      <c r="G87" s="62">
        <f t="shared" ref="G87" si="74">SUM(G78:G86)</f>
        <v>767580</v>
      </c>
      <c r="H87" s="62">
        <f t="shared" ref="H87" si="75">SUM(H78:H86)</f>
        <v>888671</v>
      </c>
      <c r="I87" s="63">
        <f t="shared" ref="I87:Q87" si="76">SUM(I78:I86)</f>
        <v>1047972</v>
      </c>
      <c r="J87" s="64">
        <f t="shared" si="76"/>
        <v>1207808.689135721</v>
      </c>
      <c r="K87" s="64">
        <f t="shared" si="76"/>
        <v>1365881.9775048823</v>
      </c>
      <c r="L87" s="64">
        <f t="shared" si="76"/>
        <v>1531343.1247349838</v>
      </c>
      <c r="M87" s="64">
        <f t="shared" si="76"/>
        <v>1701027.6088510763</v>
      </c>
      <c r="N87" s="64">
        <f t="shared" si="76"/>
        <v>1875320.3793932465</v>
      </c>
      <c r="O87" s="64">
        <f t="shared" si="76"/>
        <v>2053401.1245926907</v>
      </c>
      <c r="P87" s="64">
        <f t="shared" si="76"/>
        <v>2235083.11308295</v>
      </c>
      <c r="Q87" s="96">
        <f t="shared" si="76"/>
        <v>2425077.1498934776</v>
      </c>
      <c r="S87" s="54">
        <f t="shared" si="58"/>
        <v>0.11057267842171431</v>
      </c>
      <c r="T87" s="38">
        <f t="shared" si="59"/>
        <v>0.10040375613313357</v>
      </c>
    </row>
    <row r="88" spans="1:20">
      <c r="I88" s="53"/>
      <c r="S88" s="54"/>
      <c r="T88" s="38"/>
    </row>
    <row r="89" spans="1:20">
      <c r="A89" s="8" t="s">
        <v>108</v>
      </c>
      <c r="I89" s="53"/>
      <c r="S89" s="54"/>
      <c r="T89" s="38"/>
    </row>
    <row r="90" spans="1:20" outlineLevel="1">
      <c r="A90" s="97" t="s">
        <v>25</v>
      </c>
      <c r="B90" s="98"/>
      <c r="C90" s="75">
        <f>IFERROR(C54/C$63,"0%")</f>
        <v>0</v>
      </c>
      <c r="D90" s="75">
        <f t="shared" ref="D90:I90" si="77">IFERROR(D54/D$63,"0%")</f>
        <v>0</v>
      </c>
      <c r="E90" s="75">
        <f t="shared" si="77"/>
        <v>0</v>
      </c>
      <c r="F90" s="75">
        <f t="shared" si="77"/>
        <v>0</v>
      </c>
      <c r="G90" s="75">
        <f t="shared" si="77"/>
        <v>0</v>
      </c>
      <c r="H90" s="75">
        <f t="shared" si="77"/>
        <v>0</v>
      </c>
      <c r="I90" s="76">
        <f t="shared" si="77"/>
        <v>0</v>
      </c>
      <c r="J90" s="39">
        <f>I90</f>
        <v>0</v>
      </c>
      <c r="K90" s="39">
        <f t="shared" ref="K90:Q90" si="78">J90</f>
        <v>0</v>
      </c>
      <c r="L90" s="39">
        <f t="shared" si="78"/>
        <v>0</v>
      </c>
      <c r="M90" s="39">
        <f t="shared" si="78"/>
        <v>0</v>
      </c>
      <c r="N90" s="39">
        <f t="shared" si="78"/>
        <v>0</v>
      </c>
      <c r="O90" s="39">
        <f t="shared" si="78"/>
        <v>0</v>
      </c>
      <c r="P90" s="39">
        <f t="shared" si="78"/>
        <v>0</v>
      </c>
      <c r="Q90" s="39">
        <f t="shared" si="78"/>
        <v>0</v>
      </c>
      <c r="S90" s="54" t="str">
        <f t="shared" si="58"/>
        <v>N/A</v>
      </c>
      <c r="T90" s="38" t="str">
        <f t="shared" si="59"/>
        <v>N/A</v>
      </c>
    </row>
    <row r="91" spans="1:20" outlineLevel="1">
      <c r="A91" s="97" t="s">
        <v>72</v>
      </c>
      <c r="B91" s="98"/>
      <c r="C91" s="75">
        <f t="shared" ref="C91:I98" si="79">IFERROR(C55/C$63,"0%")</f>
        <v>0</v>
      </c>
      <c r="D91" s="75">
        <f t="shared" si="79"/>
        <v>0</v>
      </c>
      <c r="E91" s="75">
        <f t="shared" si="79"/>
        <v>0</v>
      </c>
      <c r="F91" s="75">
        <f t="shared" si="79"/>
        <v>0</v>
      </c>
      <c r="G91" s="75">
        <f t="shared" si="79"/>
        <v>0</v>
      </c>
      <c r="H91" s="75">
        <f t="shared" si="79"/>
        <v>0</v>
      </c>
      <c r="I91" s="76">
        <f t="shared" si="79"/>
        <v>0</v>
      </c>
      <c r="J91" s="39">
        <f t="shared" ref="J91:Q98" si="80">I91</f>
        <v>0</v>
      </c>
      <c r="K91" s="39">
        <f t="shared" si="80"/>
        <v>0</v>
      </c>
      <c r="L91" s="39">
        <f t="shared" si="80"/>
        <v>0</v>
      </c>
      <c r="M91" s="39">
        <f t="shared" si="80"/>
        <v>0</v>
      </c>
      <c r="N91" s="39">
        <f t="shared" si="80"/>
        <v>0</v>
      </c>
      <c r="O91" s="39">
        <f t="shared" si="80"/>
        <v>0</v>
      </c>
      <c r="P91" s="39">
        <f t="shared" si="80"/>
        <v>0</v>
      </c>
      <c r="Q91" s="39">
        <f t="shared" si="80"/>
        <v>0</v>
      </c>
      <c r="S91" s="54" t="str">
        <f t="shared" si="58"/>
        <v>N/A</v>
      </c>
      <c r="T91" s="38" t="str">
        <f t="shared" si="59"/>
        <v>N/A</v>
      </c>
    </row>
    <row r="92" spans="1:20" outlineLevel="1">
      <c r="A92" s="97" t="s">
        <v>73</v>
      </c>
      <c r="B92" s="98"/>
      <c r="C92" s="75">
        <f t="shared" si="79"/>
        <v>0.10905125408942203</v>
      </c>
      <c r="D92" s="75">
        <f t="shared" si="79"/>
        <v>0.32949370479507101</v>
      </c>
      <c r="E92" s="75">
        <f t="shared" si="79"/>
        <v>0.21334929010498829</v>
      </c>
      <c r="F92" s="75">
        <f t="shared" si="79"/>
        <v>0.32726550744022737</v>
      </c>
      <c r="G92" s="75">
        <f t="shared" si="79"/>
        <v>0.40654413249848514</v>
      </c>
      <c r="H92" s="75">
        <f t="shared" si="79"/>
        <v>0.39440888041405614</v>
      </c>
      <c r="I92" s="76">
        <f t="shared" si="79"/>
        <v>0.39401099493881886</v>
      </c>
      <c r="J92" s="39">
        <f t="shared" si="80"/>
        <v>0.39401099493881886</v>
      </c>
      <c r="K92" s="39">
        <f t="shared" si="80"/>
        <v>0.39401099493881886</v>
      </c>
      <c r="L92" s="39">
        <f t="shared" si="80"/>
        <v>0.39401099493881886</v>
      </c>
      <c r="M92" s="39">
        <f t="shared" si="80"/>
        <v>0.39401099493881886</v>
      </c>
      <c r="N92" s="39">
        <f t="shared" si="80"/>
        <v>0.39401099493881886</v>
      </c>
      <c r="O92" s="39">
        <f t="shared" si="80"/>
        <v>0.39401099493881886</v>
      </c>
      <c r="P92" s="39">
        <f t="shared" si="80"/>
        <v>0.39401099493881886</v>
      </c>
      <c r="Q92" s="39">
        <f t="shared" si="80"/>
        <v>0.39401099493881886</v>
      </c>
      <c r="S92" s="54">
        <f t="shared" si="58"/>
        <v>3.1899366035389239E-12</v>
      </c>
      <c r="T92" s="38">
        <f t="shared" si="59"/>
        <v>8.3714267786720807E-15</v>
      </c>
    </row>
    <row r="93" spans="1:20" outlineLevel="1">
      <c r="A93" s="97" t="s">
        <v>12</v>
      </c>
      <c r="B93" s="98"/>
      <c r="C93" s="75">
        <f t="shared" si="79"/>
        <v>0</v>
      </c>
      <c r="D93" s="75">
        <f t="shared" si="79"/>
        <v>0.28649879453522636</v>
      </c>
      <c r="E93" s="75">
        <f t="shared" si="79"/>
        <v>0.19637708752651906</v>
      </c>
      <c r="F93" s="75">
        <f t="shared" si="79"/>
        <v>0.26371008192609929</v>
      </c>
      <c r="G93" s="75">
        <f t="shared" si="79"/>
        <v>0.37751969299131488</v>
      </c>
      <c r="H93" s="75">
        <f t="shared" si="79"/>
        <v>0.26229229092890222</v>
      </c>
      <c r="I93" s="76">
        <f t="shared" si="79"/>
        <v>0.35771726385600588</v>
      </c>
      <c r="J93" s="39">
        <f t="shared" si="80"/>
        <v>0.35771726385600588</v>
      </c>
      <c r="K93" s="39">
        <f t="shared" si="80"/>
        <v>0.35771726385600588</v>
      </c>
      <c r="L93" s="39">
        <f t="shared" si="80"/>
        <v>0.35771726385600588</v>
      </c>
      <c r="M93" s="39">
        <f t="shared" si="80"/>
        <v>0.35771726385600588</v>
      </c>
      <c r="N93" s="39">
        <f t="shared" si="80"/>
        <v>0.35771726385600588</v>
      </c>
      <c r="O93" s="39">
        <f t="shared" si="80"/>
        <v>0.35771726385600588</v>
      </c>
      <c r="P93" s="39">
        <f t="shared" si="80"/>
        <v>0.35771726385600588</v>
      </c>
      <c r="Q93" s="39">
        <f t="shared" si="80"/>
        <v>0.35771726385600588</v>
      </c>
      <c r="S93" s="54">
        <f t="shared" si="58"/>
        <v>3.1898872982539901E-12</v>
      </c>
      <c r="T93" s="38">
        <f t="shared" si="59"/>
        <v>8.349442339206248E-15</v>
      </c>
    </row>
    <row r="94" spans="1:20" outlineLevel="1">
      <c r="A94" s="97" t="s">
        <v>14</v>
      </c>
      <c r="B94" s="98"/>
      <c r="C94" s="75">
        <f t="shared" si="79"/>
        <v>0</v>
      </c>
      <c r="D94" s="75">
        <f t="shared" si="79"/>
        <v>0.34864720064291455</v>
      </c>
      <c r="E94" s="75">
        <f t="shared" si="79"/>
        <v>0.55692759614861553</v>
      </c>
      <c r="F94" s="75">
        <f t="shared" si="79"/>
        <v>0.3961712088279552</v>
      </c>
      <c r="G94" s="75">
        <f t="shared" si="79"/>
        <v>0.20066653201373461</v>
      </c>
      <c r="H94" s="75">
        <f t="shared" si="79"/>
        <v>0.31655202941977661</v>
      </c>
      <c r="I94" s="76">
        <f t="shared" si="79"/>
        <v>0.19897590811389496</v>
      </c>
      <c r="J94" s="39">
        <f t="shared" si="80"/>
        <v>0.19897590811389496</v>
      </c>
      <c r="K94" s="39">
        <f t="shared" si="80"/>
        <v>0.19897590811389496</v>
      </c>
      <c r="L94" s="39">
        <f t="shared" si="80"/>
        <v>0.19897590811389496</v>
      </c>
      <c r="M94" s="39">
        <f t="shared" si="80"/>
        <v>0.19897590811389496</v>
      </c>
      <c r="N94" s="39">
        <f t="shared" si="80"/>
        <v>0.19897590811389496</v>
      </c>
      <c r="O94" s="39">
        <f t="shared" si="80"/>
        <v>0.19897590811389496</v>
      </c>
      <c r="P94" s="39">
        <f t="shared" si="80"/>
        <v>0.19897590811389496</v>
      </c>
      <c r="Q94" s="39">
        <f t="shared" si="80"/>
        <v>0.19897590811389496</v>
      </c>
      <c r="S94" s="54">
        <f t="shared" si="58"/>
        <v>3.1897380676121484E-12</v>
      </c>
      <c r="T94" s="38">
        <f t="shared" si="59"/>
        <v>8.2716447357685276E-15</v>
      </c>
    </row>
    <row r="95" spans="1:20" outlineLevel="1">
      <c r="A95" s="97" t="s">
        <v>16</v>
      </c>
      <c r="B95" s="98"/>
      <c r="C95" s="75">
        <f t="shared" si="79"/>
        <v>0</v>
      </c>
      <c r="D95" s="75">
        <f t="shared" si="79"/>
        <v>0</v>
      </c>
      <c r="E95" s="75">
        <f t="shared" si="79"/>
        <v>0</v>
      </c>
      <c r="F95" s="75">
        <f t="shared" si="79"/>
        <v>0</v>
      </c>
      <c r="G95" s="75">
        <f t="shared" si="79"/>
        <v>0</v>
      </c>
      <c r="H95" s="75">
        <f t="shared" si="79"/>
        <v>0</v>
      </c>
      <c r="I95" s="76">
        <f t="shared" si="79"/>
        <v>0</v>
      </c>
      <c r="J95" s="39">
        <f t="shared" si="80"/>
        <v>0</v>
      </c>
      <c r="K95" s="39">
        <f t="shared" si="80"/>
        <v>0</v>
      </c>
      <c r="L95" s="39">
        <f t="shared" si="80"/>
        <v>0</v>
      </c>
      <c r="M95" s="39">
        <f t="shared" si="80"/>
        <v>0</v>
      </c>
      <c r="N95" s="39">
        <f t="shared" si="80"/>
        <v>0</v>
      </c>
      <c r="O95" s="39">
        <f t="shared" si="80"/>
        <v>0</v>
      </c>
      <c r="P95" s="39">
        <f t="shared" si="80"/>
        <v>0</v>
      </c>
      <c r="Q95" s="39">
        <f t="shared" si="80"/>
        <v>0</v>
      </c>
      <c r="S95" s="54" t="str">
        <f t="shared" si="58"/>
        <v>N/A</v>
      </c>
      <c r="T95" s="38" t="str">
        <f t="shared" si="59"/>
        <v>N/A</v>
      </c>
    </row>
    <row r="96" spans="1:20" outlineLevel="1">
      <c r="A96" s="97" t="s">
        <v>74</v>
      </c>
      <c r="B96" s="98"/>
      <c r="C96" s="75">
        <f t="shared" si="79"/>
        <v>0</v>
      </c>
      <c r="D96" s="75">
        <f t="shared" si="79"/>
        <v>0</v>
      </c>
      <c r="E96" s="75">
        <f t="shared" si="79"/>
        <v>0</v>
      </c>
      <c r="F96" s="75">
        <f t="shared" si="79"/>
        <v>0</v>
      </c>
      <c r="G96" s="75">
        <f t="shared" si="79"/>
        <v>0</v>
      </c>
      <c r="H96" s="75">
        <f t="shared" si="79"/>
        <v>0</v>
      </c>
      <c r="I96" s="76">
        <f t="shared" si="79"/>
        <v>0</v>
      </c>
      <c r="J96" s="39">
        <f t="shared" si="80"/>
        <v>0</v>
      </c>
      <c r="K96" s="39">
        <f t="shared" si="80"/>
        <v>0</v>
      </c>
      <c r="L96" s="39">
        <f t="shared" si="80"/>
        <v>0</v>
      </c>
      <c r="M96" s="39">
        <f t="shared" si="80"/>
        <v>0</v>
      </c>
      <c r="N96" s="39">
        <f t="shared" si="80"/>
        <v>0</v>
      </c>
      <c r="O96" s="39">
        <f t="shared" si="80"/>
        <v>0</v>
      </c>
      <c r="P96" s="39">
        <f t="shared" si="80"/>
        <v>0</v>
      </c>
      <c r="Q96" s="39">
        <f t="shared" si="80"/>
        <v>0</v>
      </c>
      <c r="S96" s="54" t="str">
        <f t="shared" si="58"/>
        <v>N/A</v>
      </c>
      <c r="T96" s="38" t="str">
        <f t="shared" si="59"/>
        <v>N/A</v>
      </c>
    </row>
    <row r="97" spans="1:20" outlineLevel="1">
      <c r="A97" s="97" t="s">
        <v>76</v>
      </c>
      <c r="B97" s="98"/>
      <c r="C97" s="75">
        <f t="shared" si="79"/>
        <v>0.89094874591057793</v>
      </c>
      <c r="D97" s="75">
        <f t="shared" si="79"/>
        <v>1.9287436378248059E-2</v>
      </c>
      <c r="E97" s="75">
        <f t="shared" si="79"/>
        <v>3.3346026219877062E-2</v>
      </c>
      <c r="F97" s="75">
        <f t="shared" si="79"/>
        <v>0</v>
      </c>
      <c r="G97" s="75">
        <f t="shared" si="79"/>
        <v>7.9983841648151883E-3</v>
      </c>
      <c r="H97" s="75">
        <f t="shared" si="79"/>
        <v>2.0430400435848543E-3</v>
      </c>
      <c r="I97" s="76">
        <f t="shared" si="79"/>
        <v>1.6104728155650585E-2</v>
      </c>
      <c r="J97" s="39">
        <f t="shared" si="80"/>
        <v>1.6104728155650585E-2</v>
      </c>
      <c r="K97" s="39">
        <f t="shared" si="80"/>
        <v>1.6104728155650585E-2</v>
      </c>
      <c r="L97" s="39">
        <f t="shared" si="80"/>
        <v>1.6104728155650585E-2</v>
      </c>
      <c r="M97" s="39">
        <f t="shared" si="80"/>
        <v>1.6104728155650585E-2</v>
      </c>
      <c r="N97" s="39">
        <f t="shared" si="80"/>
        <v>1.6104728155650585E-2</v>
      </c>
      <c r="O97" s="39">
        <f t="shared" si="80"/>
        <v>1.6104728155650585E-2</v>
      </c>
      <c r="P97" s="39">
        <f t="shared" si="80"/>
        <v>1.6104728155650585E-2</v>
      </c>
      <c r="Q97" s="39">
        <f t="shared" si="80"/>
        <v>1.6104728155650585E-2</v>
      </c>
      <c r="S97" s="54">
        <f t="shared" si="58"/>
        <v>3.189815805344667E-12</v>
      </c>
      <c r="T97" s="38">
        <f t="shared" si="59"/>
        <v>8.398993746975085E-15</v>
      </c>
    </row>
    <row r="98" spans="1:20" outlineLevel="1">
      <c r="A98" s="97" t="s">
        <v>77</v>
      </c>
      <c r="B98" s="98"/>
      <c r="C98" s="75">
        <f t="shared" si="79"/>
        <v>0</v>
      </c>
      <c r="D98" s="75">
        <f t="shared" si="79"/>
        <v>1.6072863648540048E-2</v>
      </c>
      <c r="E98" s="75">
        <f t="shared" si="79"/>
        <v>0</v>
      </c>
      <c r="F98" s="75">
        <f t="shared" si="79"/>
        <v>1.2853201805718107E-2</v>
      </c>
      <c r="G98" s="75">
        <f t="shared" si="79"/>
        <v>7.2712583316501718E-3</v>
      </c>
      <c r="H98" s="75">
        <f t="shared" si="79"/>
        <v>2.4703759193680196E-2</v>
      </c>
      <c r="I98" s="76">
        <f t="shared" si="79"/>
        <v>3.3191104935629698E-2</v>
      </c>
      <c r="J98" s="39">
        <f t="shared" si="80"/>
        <v>3.3191104935629698E-2</v>
      </c>
      <c r="K98" s="39">
        <f t="shared" si="80"/>
        <v>3.3191104935629698E-2</v>
      </c>
      <c r="L98" s="39">
        <f t="shared" si="80"/>
        <v>3.3191104935629698E-2</v>
      </c>
      <c r="M98" s="39">
        <f t="shared" si="80"/>
        <v>3.3191104935629698E-2</v>
      </c>
      <c r="N98" s="39">
        <f t="shared" si="80"/>
        <v>3.3191104935629698E-2</v>
      </c>
      <c r="O98" s="39">
        <f t="shared" si="80"/>
        <v>3.3191104935629698E-2</v>
      </c>
      <c r="P98" s="39">
        <f t="shared" si="80"/>
        <v>3.3191104935629698E-2</v>
      </c>
      <c r="Q98" s="39">
        <f t="shared" si="80"/>
        <v>3.3191104935629698E-2</v>
      </c>
      <c r="S98" s="54">
        <f t="shared" si="58"/>
        <v>3.189845758037721E-12</v>
      </c>
      <c r="T98" s="38">
        <f t="shared" si="59"/>
        <v>8.4407436293343593E-15</v>
      </c>
    </row>
    <row r="99" spans="1:20">
      <c r="I99" s="53"/>
      <c r="S99" s="54"/>
      <c r="T99" s="38"/>
    </row>
    <row r="100" spans="1:20">
      <c r="A100" s="8" t="s">
        <v>109</v>
      </c>
      <c r="I100" s="53"/>
      <c r="S100" s="54"/>
      <c r="T100" s="38"/>
    </row>
    <row r="101" spans="1:20" outlineLevel="1">
      <c r="A101" s="33" t="s">
        <v>25</v>
      </c>
      <c r="B101" s="68">
        <f t="shared" ref="B101:I107" si="81">IFERROR(B54/B4,"N/A")</f>
        <v>0</v>
      </c>
      <c r="C101" s="68">
        <f t="shared" si="81"/>
        <v>0</v>
      </c>
      <c r="D101" s="68">
        <f t="shared" si="81"/>
        <v>0</v>
      </c>
      <c r="E101" s="68">
        <f t="shared" si="81"/>
        <v>0</v>
      </c>
      <c r="F101" s="68">
        <f t="shared" si="81"/>
        <v>0</v>
      </c>
      <c r="G101" s="68">
        <f t="shared" si="81"/>
        <v>0</v>
      </c>
      <c r="H101" s="68">
        <f t="shared" si="81"/>
        <v>0</v>
      </c>
      <c r="I101" s="69">
        <f t="shared" si="81"/>
        <v>0</v>
      </c>
      <c r="J101" s="57">
        <f>AVERAGE(F101:I101)</f>
        <v>0</v>
      </c>
      <c r="K101" s="57">
        <f>J101</f>
        <v>0</v>
      </c>
      <c r="L101" s="57">
        <f t="shared" ref="L101:Q101" si="82">K101</f>
        <v>0</v>
      </c>
      <c r="M101" s="57">
        <f t="shared" si="82"/>
        <v>0</v>
      </c>
      <c r="N101" s="57">
        <f t="shared" si="82"/>
        <v>0</v>
      </c>
      <c r="O101" s="57">
        <f t="shared" si="82"/>
        <v>0</v>
      </c>
      <c r="P101" s="57">
        <f t="shared" si="82"/>
        <v>0</v>
      </c>
      <c r="Q101" s="57">
        <f t="shared" si="82"/>
        <v>0</v>
      </c>
      <c r="S101" s="54" t="str">
        <f t="shared" si="58"/>
        <v>N/A</v>
      </c>
      <c r="T101" s="38" t="str">
        <f t="shared" si="59"/>
        <v>N/A</v>
      </c>
    </row>
    <row r="102" spans="1:20" outlineLevel="1">
      <c r="A102" s="33" t="s">
        <v>72</v>
      </c>
      <c r="B102" s="68" t="str">
        <f t="shared" si="81"/>
        <v>N/A</v>
      </c>
      <c r="C102" s="68">
        <f t="shared" si="81"/>
        <v>0</v>
      </c>
      <c r="D102" s="68">
        <f t="shared" si="81"/>
        <v>0</v>
      </c>
      <c r="E102" s="68">
        <f t="shared" si="81"/>
        <v>0</v>
      </c>
      <c r="F102" s="68">
        <f t="shared" si="81"/>
        <v>0</v>
      </c>
      <c r="G102" s="68">
        <f t="shared" si="81"/>
        <v>0</v>
      </c>
      <c r="H102" s="68">
        <f t="shared" si="81"/>
        <v>0</v>
      </c>
      <c r="I102" s="69" t="str">
        <f t="shared" si="81"/>
        <v>N/A</v>
      </c>
      <c r="J102" s="57">
        <f t="shared" ref="J102:J109" si="83">AVERAGE(F102:I102)</f>
        <v>0</v>
      </c>
      <c r="K102" s="57">
        <f t="shared" ref="K102:Q109" si="84">J102</f>
        <v>0</v>
      </c>
      <c r="L102" s="57">
        <f t="shared" si="84"/>
        <v>0</v>
      </c>
      <c r="M102" s="57">
        <f t="shared" si="84"/>
        <v>0</v>
      </c>
      <c r="N102" s="57">
        <f t="shared" si="84"/>
        <v>0</v>
      </c>
      <c r="O102" s="57">
        <f t="shared" si="84"/>
        <v>0</v>
      </c>
      <c r="P102" s="57">
        <f t="shared" si="84"/>
        <v>0</v>
      </c>
      <c r="Q102" s="57">
        <f t="shared" si="84"/>
        <v>0</v>
      </c>
      <c r="S102" s="54" t="str">
        <f t="shared" si="58"/>
        <v>N/A</v>
      </c>
      <c r="T102" s="38" t="str">
        <f t="shared" si="59"/>
        <v>N/A</v>
      </c>
    </row>
    <row r="103" spans="1:20" outlineLevel="1">
      <c r="A103" s="33" t="s">
        <v>73</v>
      </c>
      <c r="B103" s="68" t="str">
        <f t="shared" si="81"/>
        <v>N/A</v>
      </c>
      <c r="C103" s="68">
        <f t="shared" si="81"/>
        <v>1200</v>
      </c>
      <c r="D103" s="68">
        <f t="shared" si="81"/>
        <v>1341.8181818181818</v>
      </c>
      <c r="E103" s="68">
        <f t="shared" si="81"/>
        <v>1404.8955223880596</v>
      </c>
      <c r="F103" s="68">
        <f t="shared" si="81"/>
        <v>1434.4122137404581</v>
      </c>
      <c r="G103" s="68">
        <f t="shared" si="81"/>
        <v>1429.207100591716</v>
      </c>
      <c r="H103" s="68">
        <f t="shared" si="81"/>
        <v>1463.1157894736841</v>
      </c>
      <c r="I103" s="69">
        <f t="shared" si="81"/>
        <v>1490.3139013452915</v>
      </c>
      <c r="J103" s="57">
        <f t="shared" si="83"/>
        <v>1454.2622512877874</v>
      </c>
      <c r="K103" s="57">
        <f t="shared" si="84"/>
        <v>1454.2622512877874</v>
      </c>
      <c r="L103" s="57">
        <f t="shared" si="84"/>
        <v>1454.2622512877874</v>
      </c>
      <c r="M103" s="57">
        <f t="shared" si="84"/>
        <v>1454.2622512877874</v>
      </c>
      <c r="N103" s="57">
        <f t="shared" si="84"/>
        <v>1454.2622512877874</v>
      </c>
      <c r="O103" s="57">
        <f t="shared" si="84"/>
        <v>1454.2622512877874</v>
      </c>
      <c r="P103" s="57">
        <f t="shared" si="84"/>
        <v>1454.2622512877874</v>
      </c>
      <c r="Q103" s="57">
        <f t="shared" si="84"/>
        <v>1454.2622512877874</v>
      </c>
      <c r="S103" s="54">
        <f t="shared" si="58"/>
        <v>-3.0563250904221523E-3</v>
      </c>
      <c r="T103" s="38">
        <f t="shared" si="59"/>
        <v>8.3827843857950528E-15</v>
      </c>
    </row>
    <row r="104" spans="1:20" outlineLevel="1">
      <c r="A104" s="33" t="s">
        <v>12</v>
      </c>
      <c r="B104" s="68" t="str">
        <f t="shared" si="81"/>
        <v>N/A</v>
      </c>
      <c r="C104" s="68" t="str">
        <f t="shared" si="81"/>
        <v>N/A</v>
      </c>
      <c r="D104" s="68">
        <f t="shared" si="81"/>
        <v>5133.6000000000004</v>
      </c>
      <c r="E104" s="68">
        <f t="shared" si="81"/>
        <v>6188.5714285714284</v>
      </c>
      <c r="F104" s="68">
        <f t="shared" si="81"/>
        <v>6309</v>
      </c>
      <c r="G104" s="68">
        <f t="shared" si="81"/>
        <v>5097.545454545455</v>
      </c>
      <c r="H104" s="68">
        <f t="shared" si="81"/>
        <v>4509.0731707317073</v>
      </c>
      <c r="I104" s="69">
        <f t="shared" si="81"/>
        <v>5028.7833333333338</v>
      </c>
      <c r="J104" s="57">
        <f t="shared" si="83"/>
        <v>5236.1004896526238</v>
      </c>
      <c r="K104" s="57">
        <f t="shared" si="84"/>
        <v>5236.1004896526238</v>
      </c>
      <c r="L104" s="57">
        <f t="shared" si="84"/>
        <v>5236.1004896526238</v>
      </c>
      <c r="M104" s="57">
        <f t="shared" si="84"/>
        <v>5236.1004896526238</v>
      </c>
      <c r="N104" s="57">
        <f t="shared" si="84"/>
        <v>5236.1004896526238</v>
      </c>
      <c r="O104" s="57">
        <f t="shared" si="84"/>
        <v>5236.1004896526238</v>
      </c>
      <c r="P104" s="57">
        <f t="shared" si="84"/>
        <v>5236.1004896526238</v>
      </c>
      <c r="Q104" s="57">
        <f t="shared" si="84"/>
        <v>5236.1004896526238</v>
      </c>
      <c r="S104" s="54">
        <f t="shared" si="58"/>
        <v>5.0626429787764471E-3</v>
      </c>
      <c r="T104" s="38">
        <f t="shared" si="59"/>
        <v>8.2944462276406981E-15</v>
      </c>
    </row>
    <row r="105" spans="1:20" outlineLevel="1">
      <c r="A105" s="33" t="s">
        <v>14</v>
      </c>
      <c r="B105" s="68" t="str">
        <f t="shared" si="81"/>
        <v>N/A</v>
      </c>
      <c r="C105" s="68" t="str">
        <f t="shared" si="81"/>
        <v>N/A</v>
      </c>
      <c r="D105" s="68">
        <f t="shared" si="81"/>
        <v>15618</v>
      </c>
      <c r="E105" s="68">
        <f t="shared" si="81"/>
        <v>17550.857142857141</v>
      </c>
      <c r="F105" s="68">
        <f t="shared" si="81"/>
        <v>8748.9230769230762</v>
      </c>
      <c r="G105" s="68">
        <f t="shared" si="81"/>
        <v>8515.7142857142862</v>
      </c>
      <c r="H105" s="68">
        <f t="shared" si="81"/>
        <v>6562.2352941176468</v>
      </c>
      <c r="I105" s="69">
        <f t="shared" si="81"/>
        <v>5413.9354838709678</v>
      </c>
      <c r="J105" s="57">
        <f t="shared" si="83"/>
        <v>7310.2020351564934</v>
      </c>
      <c r="K105" s="57">
        <f t="shared" si="84"/>
        <v>7310.2020351564934</v>
      </c>
      <c r="L105" s="57">
        <f t="shared" si="84"/>
        <v>7310.2020351564934</v>
      </c>
      <c r="M105" s="57">
        <f t="shared" si="84"/>
        <v>7310.2020351564934</v>
      </c>
      <c r="N105" s="57">
        <f t="shared" si="84"/>
        <v>7310.2020351564934</v>
      </c>
      <c r="O105" s="57">
        <f t="shared" si="84"/>
        <v>7310.2020351564934</v>
      </c>
      <c r="P105" s="57">
        <f t="shared" si="84"/>
        <v>7310.2020351564934</v>
      </c>
      <c r="Q105" s="57">
        <f t="shared" si="84"/>
        <v>7310.2020351564934</v>
      </c>
      <c r="S105" s="54">
        <f t="shared" si="58"/>
        <v>3.8250234742346165E-2</v>
      </c>
      <c r="T105" s="38">
        <f t="shared" si="59"/>
        <v>8.3007700699525754E-15</v>
      </c>
    </row>
    <row r="106" spans="1:20" outlineLevel="1">
      <c r="A106" s="33" t="s">
        <v>16</v>
      </c>
      <c r="B106" s="68" t="str">
        <f t="shared" si="81"/>
        <v>N/A</v>
      </c>
      <c r="C106" s="68" t="str">
        <f t="shared" si="81"/>
        <v>N/A</v>
      </c>
      <c r="D106" s="68" t="str">
        <f t="shared" si="81"/>
        <v>N/A</v>
      </c>
      <c r="E106" s="68">
        <f t="shared" si="81"/>
        <v>0</v>
      </c>
      <c r="F106" s="68" t="str">
        <f t="shared" si="81"/>
        <v>N/A</v>
      </c>
      <c r="G106" s="68">
        <f t="shared" si="81"/>
        <v>0</v>
      </c>
      <c r="H106" s="68" t="str">
        <f t="shared" si="81"/>
        <v>N/A</v>
      </c>
      <c r="I106" s="69">
        <f t="shared" si="81"/>
        <v>0</v>
      </c>
      <c r="J106" s="57">
        <f t="shared" si="83"/>
        <v>0</v>
      </c>
      <c r="K106" s="57">
        <f t="shared" si="84"/>
        <v>0</v>
      </c>
      <c r="L106" s="57">
        <f t="shared" si="84"/>
        <v>0</v>
      </c>
      <c r="M106" s="57">
        <f t="shared" si="84"/>
        <v>0</v>
      </c>
      <c r="N106" s="57">
        <f t="shared" si="84"/>
        <v>0</v>
      </c>
      <c r="O106" s="57">
        <f t="shared" si="84"/>
        <v>0</v>
      </c>
      <c r="P106" s="57">
        <f t="shared" si="84"/>
        <v>0</v>
      </c>
      <c r="Q106" s="57">
        <f t="shared" si="84"/>
        <v>0</v>
      </c>
      <c r="S106" s="54" t="str">
        <f t="shared" si="58"/>
        <v>N/A</v>
      </c>
      <c r="T106" s="38" t="str">
        <f t="shared" si="59"/>
        <v>N/A</v>
      </c>
    </row>
    <row r="107" spans="1:20" outlineLevel="1">
      <c r="A107" s="33" t="s">
        <v>74</v>
      </c>
      <c r="B107" s="68" t="str">
        <f t="shared" si="81"/>
        <v>N/A</v>
      </c>
      <c r="C107" s="68" t="str">
        <f t="shared" si="81"/>
        <v>N/A</v>
      </c>
      <c r="D107" s="68" t="str">
        <f t="shared" si="81"/>
        <v>N/A</v>
      </c>
      <c r="E107" s="68" t="str">
        <f t="shared" si="81"/>
        <v>N/A</v>
      </c>
      <c r="F107" s="68" t="str">
        <f t="shared" si="81"/>
        <v>N/A</v>
      </c>
      <c r="G107" s="68">
        <f t="shared" si="81"/>
        <v>0</v>
      </c>
      <c r="H107" s="68">
        <f t="shared" si="81"/>
        <v>0</v>
      </c>
      <c r="I107" s="69" t="str">
        <f t="shared" si="81"/>
        <v>N/A</v>
      </c>
      <c r="J107" s="57">
        <f t="shared" si="83"/>
        <v>0</v>
      </c>
      <c r="K107" s="57">
        <f t="shared" si="84"/>
        <v>0</v>
      </c>
      <c r="L107" s="57">
        <f t="shared" si="84"/>
        <v>0</v>
      </c>
      <c r="M107" s="57">
        <f t="shared" si="84"/>
        <v>0</v>
      </c>
      <c r="N107" s="57">
        <f t="shared" si="84"/>
        <v>0</v>
      </c>
      <c r="O107" s="57">
        <f t="shared" si="84"/>
        <v>0</v>
      </c>
      <c r="P107" s="57">
        <f t="shared" si="84"/>
        <v>0</v>
      </c>
      <c r="Q107" s="57">
        <f t="shared" si="84"/>
        <v>0</v>
      </c>
      <c r="S107" s="54" t="str">
        <f t="shared" si="58"/>
        <v>N/A</v>
      </c>
      <c r="T107" s="38" t="str">
        <f t="shared" si="59"/>
        <v>N/A</v>
      </c>
    </row>
    <row r="108" spans="1:20" outlineLevel="1">
      <c r="A108" s="33" t="s">
        <v>76</v>
      </c>
      <c r="B108" s="68" t="str">
        <f t="shared" ref="B108:I109" si="85">IFERROR(B61/B12,"N/A")</f>
        <v>N/A</v>
      </c>
      <c r="C108" s="68">
        <f t="shared" si="85"/>
        <v>9804</v>
      </c>
      <c r="D108" s="68">
        <f t="shared" si="85"/>
        <v>1728</v>
      </c>
      <c r="E108" s="68">
        <f t="shared" si="85"/>
        <v>4904</v>
      </c>
      <c r="F108" s="68" t="str">
        <f t="shared" si="85"/>
        <v>N/A</v>
      </c>
      <c r="G108" s="68">
        <f t="shared" si="85"/>
        <v>1584</v>
      </c>
      <c r="H108" s="68">
        <f t="shared" si="85"/>
        <v>1440</v>
      </c>
      <c r="I108" s="69">
        <f t="shared" si="85"/>
        <v>13584</v>
      </c>
      <c r="J108" s="57">
        <f>AVERAGE(F108:I108)</f>
        <v>5536</v>
      </c>
      <c r="K108" s="57">
        <f t="shared" si="84"/>
        <v>5536</v>
      </c>
      <c r="L108" s="57">
        <f t="shared" si="84"/>
        <v>5536</v>
      </c>
      <c r="M108" s="57">
        <f t="shared" si="84"/>
        <v>5536</v>
      </c>
      <c r="N108" s="57">
        <f t="shared" si="84"/>
        <v>5536</v>
      </c>
      <c r="O108" s="57">
        <f t="shared" si="84"/>
        <v>5536</v>
      </c>
      <c r="P108" s="57">
        <f t="shared" si="84"/>
        <v>5536</v>
      </c>
      <c r="Q108" s="57">
        <f t="shared" si="84"/>
        <v>5536</v>
      </c>
      <c r="S108" s="54">
        <f t="shared" si="58"/>
        <v>-0.10613681408287866</v>
      </c>
      <c r="T108" s="38">
        <f t="shared" si="59"/>
        <v>8.2719164840384957E-15</v>
      </c>
    </row>
    <row r="109" spans="1:20" outlineLevel="1">
      <c r="A109" s="33" t="s">
        <v>77</v>
      </c>
      <c r="B109" s="68" t="str">
        <f t="shared" si="85"/>
        <v>N/A</v>
      </c>
      <c r="C109" s="68" t="str">
        <f t="shared" si="85"/>
        <v>N/A</v>
      </c>
      <c r="D109" s="68">
        <f t="shared" si="85"/>
        <v>1440</v>
      </c>
      <c r="E109" s="68" t="str">
        <f t="shared" si="85"/>
        <v>N/A</v>
      </c>
      <c r="F109" s="68">
        <f t="shared" si="85"/>
        <v>2460</v>
      </c>
      <c r="G109" s="68">
        <f t="shared" si="85"/>
        <v>1440</v>
      </c>
      <c r="H109" s="68">
        <f t="shared" si="85"/>
        <v>4353</v>
      </c>
      <c r="I109" s="69">
        <f t="shared" si="85"/>
        <v>4666</v>
      </c>
      <c r="J109" s="57">
        <f t="shared" si="83"/>
        <v>3229.75</v>
      </c>
      <c r="K109" s="57">
        <f t="shared" si="84"/>
        <v>3229.75</v>
      </c>
      <c r="L109" s="57">
        <f t="shared" si="84"/>
        <v>3229.75</v>
      </c>
      <c r="M109" s="57">
        <f t="shared" si="84"/>
        <v>3229.75</v>
      </c>
      <c r="N109" s="57">
        <f t="shared" si="84"/>
        <v>3229.75</v>
      </c>
      <c r="O109" s="57">
        <f t="shared" si="84"/>
        <v>3229.75</v>
      </c>
      <c r="P109" s="57">
        <f t="shared" si="84"/>
        <v>3229.75</v>
      </c>
      <c r="Q109" s="57">
        <f t="shared" si="84"/>
        <v>3229.75</v>
      </c>
      <c r="S109" s="54">
        <f t="shared" si="58"/>
        <v>-4.4945793942501228E-2</v>
      </c>
      <c r="T109" s="38">
        <f t="shared" si="59"/>
        <v>8.3235744927324513E-15</v>
      </c>
    </row>
    <row r="110" spans="1:20">
      <c r="I110" s="53"/>
      <c r="S110" s="54"/>
      <c r="T110" s="38"/>
    </row>
    <row r="111" spans="1:20">
      <c r="A111" s="8" t="s">
        <v>110</v>
      </c>
      <c r="I111" s="53"/>
      <c r="S111" s="54"/>
      <c r="T111" s="38"/>
    </row>
    <row r="112" spans="1:20" outlineLevel="1">
      <c r="A112" s="33" t="s">
        <v>25</v>
      </c>
      <c r="B112" s="68">
        <f t="shared" ref="B112:I118" si="86">IFERROR(B78/B4, "N/A")</f>
        <v>5502</v>
      </c>
      <c r="C112" s="68">
        <f t="shared" si="86"/>
        <v>3146.7692307692309</v>
      </c>
      <c r="D112" s="68">
        <f t="shared" si="86"/>
        <v>5173.7419354838712</v>
      </c>
      <c r="E112" s="68">
        <f t="shared" si="86"/>
        <v>2303.0117647058823</v>
      </c>
      <c r="F112" s="68">
        <f t="shared" si="86"/>
        <v>1582.1176470588234</v>
      </c>
      <c r="G112" s="68">
        <f t="shared" si="86"/>
        <v>2601.84</v>
      </c>
      <c r="H112" s="68">
        <f t="shared" si="86"/>
        <v>2844.377049180328</v>
      </c>
      <c r="I112" s="69">
        <f t="shared" si="86"/>
        <v>2777.25</v>
      </c>
      <c r="J112" s="57">
        <f>AVERAGE(F112:I112)</f>
        <v>2451.3961740597879</v>
      </c>
      <c r="K112" s="57">
        <f>J112</f>
        <v>2451.3961740597879</v>
      </c>
      <c r="L112" s="57">
        <f t="shared" ref="L112:Q112" si="87">K112</f>
        <v>2451.3961740597879</v>
      </c>
      <c r="M112" s="57">
        <f t="shared" si="87"/>
        <v>2451.3961740597879</v>
      </c>
      <c r="N112" s="57">
        <f t="shared" si="87"/>
        <v>2451.3961740597879</v>
      </c>
      <c r="O112" s="57">
        <f t="shared" si="87"/>
        <v>2451.3961740597879</v>
      </c>
      <c r="P112" s="57">
        <f t="shared" si="87"/>
        <v>2451.3961740597879</v>
      </c>
      <c r="Q112" s="57">
        <f t="shared" si="87"/>
        <v>2451.3961740597879</v>
      </c>
      <c r="S112" s="54">
        <f t="shared" si="58"/>
        <v>-1.5479381037396251E-2</v>
      </c>
      <c r="T112" s="38">
        <f t="shared" si="59"/>
        <v>8.4363112688759582E-15</v>
      </c>
    </row>
    <row r="113" spans="1:20" outlineLevel="1">
      <c r="A113" s="33" t="s">
        <v>72</v>
      </c>
      <c r="B113" s="68" t="str">
        <f t="shared" si="86"/>
        <v>N/A</v>
      </c>
      <c r="C113" s="68">
        <f t="shared" si="86"/>
        <v>3456</v>
      </c>
      <c r="D113" s="68">
        <f t="shared" si="86"/>
        <v>9558</v>
      </c>
      <c r="E113" s="68">
        <f t="shared" si="86"/>
        <v>4740</v>
      </c>
      <c r="F113" s="68">
        <f t="shared" si="86"/>
        <v>4044</v>
      </c>
      <c r="G113" s="68">
        <f t="shared" si="86"/>
        <v>1944</v>
      </c>
      <c r="H113" s="68">
        <f t="shared" si="86"/>
        <v>1440</v>
      </c>
      <c r="I113" s="69" t="str">
        <f t="shared" si="86"/>
        <v>N/A</v>
      </c>
      <c r="J113" s="57">
        <f t="shared" ref="J113:J118" si="88">AVERAGE(F113:I113)</f>
        <v>2476</v>
      </c>
      <c r="K113" s="57">
        <f t="shared" ref="K113:Q131" si="89">J113</f>
        <v>2476</v>
      </c>
      <c r="L113" s="57">
        <f t="shared" si="89"/>
        <v>2476</v>
      </c>
      <c r="M113" s="57">
        <f t="shared" si="89"/>
        <v>2476</v>
      </c>
      <c r="N113" s="57">
        <f t="shared" si="89"/>
        <v>2476</v>
      </c>
      <c r="O113" s="57">
        <f t="shared" si="89"/>
        <v>2476</v>
      </c>
      <c r="P113" s="57">
        <f t="shared" si="89"/>
        <v>2476</v>
      </c>
      <c r="Q113" s="57">
        <f t="shared" si="89"/>
        <v>2476</v>
      </c>
      <c r="S113" s="54" t="str">
        <f t="shared" si="58"/>
        <v>N/A</v>
      </c>
      <c r="T113" s="38">
        <f t="shared" si="59"/>
        <v>8.2550107008891913E-15</v>
      </c>
    </row>
    <row r="114" spans="1:20" outlineLevel="1">
      <c r="A114" s="33" t="s">
        <v>73</v>
      </c>
      <c r="B114" s="68" t="str">
        <f t="shared" si="86"/>
        <v>N/A</v>
      </c>
      <c r="C114" s="68">
        <f t="shared" si="86"/>
        <v>1200</v>
      </c>
      <c r="D114" s="68">
        <f t="shared" si="86"/>
        <v>1341.8181818181818</v>
      </c>
      <c r="E114" s="68">
        <f t="shared" si="86"/>
        <v>1404.8955223880596</v>
      </c>
      <c r="F114" s="68">
        <f t="shared" si="86"/>
        <v>1434.4122137404581</v>
      </c>
      <c r="G114" s="68">
        <f t="shared" si="86"/>
        <v>1429.207100591716</v>
      </c>
      <c r="H114" s="68">
        <f t="shared" si="86"/>
        <v>1463.1157894736841</v>
      </c>
      <c r="I114" s="69">
        <f t="shared" si="86"/>
        <v>1490.3139013452915</v>
      </c>
      <c r="J114" s="57">
        <f t="shared" si="88"/>
        <v>1454.2622512877874</v>
      </c>
      <c r="K114" s="57">
        <f t="shared" si="89"/>
        <v>1454.2622512877874</v>
      </c>
      <c r="L114" s="57">
        <f t="shared" si="89"/>
        <v>1454.2622512877874</v>
      </c>
      <c r="M114" s="57">
        <f t="shared" si="89"/>
        <v>1454.2622512877874</v>
      </c>
      <c r="N114" s="57">
        <f t="shared" si="89"/>
        <v>1454.2622512877874</v>
      </c>
      <c r="O114" s="57">
        <f t="shared" si="89"/>
        <v>1454.2622512877874</v>
      </c>
      <c r="P114" s="57">
        <f t="shared" si="89"/>
        <v>1454.2622512877874</v>
      </c>
      <c r="Q114" s="57">
        <f t="shared" si="89"/>
        <v>1454.2622512877874</v>
      </c>
      <c r="S114" s="54">
        <f t="shared" si="58"/>
        <v>-3.0563250904221523E-3</v>
      </c>
      <c r="T114" s="38">
        <f t="shared" si="59"/>
        <v>8.3827843857950528E-15</v>
      </c>
    </row>
    <row r="115" spans="1:20" outlineLevel="1">
      <c r="A115" s="33" t="s">
        <v>12</v>
      </c>
      <c r="B115" s="68" t="str">
        <f t="shared" si="86"/>
        <v>N/A</v>
      </c>
      <c r="C115" s="68" t="str">
        <f t="shared" si="86"/>
        <v>N/A</v>
      </c>
      <c r="D115" s="68">
        <f t="shared" si="86"/>
        <v>8373.6</v>
      </c>
      <c r="E115" s="68">
        <f t="shared" si="86"/>
        <v>12046.285714285714</v>
      </c>
      <c r="F115" s="68">
        <f t="shared" si="86"/>
        <v>9362</v>
      </c>
      <c r="G115" s="68">
        <f t="shared" si="86"/>
        <v>7325.181818181818</v>
      </c>
      <c r="H115" s="68">
        <f t="shared" si="86"/>
        <v>6184.9756097560976</v>
      </c>
      <c r="I115" s="69">
        <f t="shared" si="86"/>
        <v>6901</v>
      </c>
      <c r="J115" s="57">
        <f t="shared" si="88"/>
        <v>7443.2893569844782</v>
      </c>
      <c r="K115" s="57">
        <f t="shared" si="89"/>
        <v>7443.2893569844782</v>
      </c>
      <c r="L115" s="57">
        <f t="shared" si="89"/>
        <v>7443.2893569844782</v>
      </c>
      <c r="M115" s="57">
        <f t="shared" si="89"/>
        <v>7443.2893569844782</v>
      </c>
      <c r="N115" s="57">
        <f t="shared" si="89"/>
        <v>7443.2893569844782</v>
      </c>
      <c r="O115" s="57">
        <f t="shared" si="89"/>
        <v>7443.2893569844782</v>
      </c>
      <c r="P115" s="57">
        <f t="shared" si="89"/>
        <v>7443.2893569844782</v>
      </c>
      <c r="Q115" s="57">
        <f t="shared" si="89"/>
        <v>7443.2893569844782</v>
      </c>
      <c r="S115" s="54">
        <f t="shared" si="58"/>
        <v>9.50066503523842E-3</v>
      </c>
      <c r="T115" s="38">
        <f t="shared" si="59"/>
        <v>8.2876341998749042E-15</v>
      </c>
    </row>
    <row r="116" spans="1:20" outlineLevel="1">
      <c r="A116" s="33" t="s">
        <v>14</v>
      </c>
      <c r="B116" s="68" t="str">
        <f t="shared" si="86"/>
        <v>N/A</v>
      </c>
      <c r="C116" s="68" t="str">
        <f t="shared" si="86"/>
        <v>N/A</v>
      </c>
      <c r="D116" s="68">
        <f t="shared" si="86"/>
        <v>11130</v>
      </c>
      <c r="E116" s="68">
        <f t="shared" si="86"/>
        <v>7328.5714285714284</v>
      </c>
      <c r="F116" s="68">
        <f t="shared" si="86"/>
        <v>4209.2307692307695</v>
      </c>
      <c r="G116" s="68">
        <f t="shared" si="86"/>
        <v>4605.4285714285716</v>
      </c>
      <c r="H116" s="68">
        <f t="shared" si="86"/>
        <v>5276.8235294117649</v>
      </c>
      <c r="I116" s="69">
        <f t="shared" si="86"/>
        <v>3948</v>
      </c>
      <c r="J116" s="57">
        <f t="shared" si="88"/>
        <v>4509.8707175177769</v>
      </c>
      <c r="K116" s="57">
        <f t="shared" si="89"/>
        <v>4509.8707175177769</v>
      </c>
      <c r="L116" s="57">
        <f t="shared" si="89"/>
        <v>4509.8707175177769</v>
      </c>
      <c r="M116" s="57">
        <f t="shared" si="89"/>
        <v>4509.8707175177769</v>
      </c>
      <c r="N116" s="57">
        <f t="shared" si="89"/>
        <v>4509.8707175177769</v>
      </c>
      <c r="O116" s="57">
        <f t="shared" si="89"/>
        <v>4509.8707175177769</v>
      </c>
      <c r="P116" s="57">
        <f t="shared" si="89"/>
        <v>4509.8707175177769</v>
      </c>
      <c r="Q116" s="57">
        <f t="shared" si="89"/>
        <v>4509.8707175177769</v>
      </c>
      <c r="S116" s="54">
        <f t="shared" si="58"/>
        <v>1.677150949150634E-2</v>
      </c>
      <c r="T116" s="38">
        <f t="shared" si="59"/>
        <v>8.303862934452063E-15</v>
      </c>
    </row>
    <row r="117" spans="1:20" outlineLevel="1">
      <c r="A117" s="33" t="s">
        <v>16</v>
      </c>
      <c r="B117" s="68" t="str">
        <f t="shared" si="86"/>
        <v>N/A</v>
      </c>
      <c r="C117" s="68" t="str">
        <f t="shared" si="86"/>
        <v>N/A</v>
      </c>
      <c r="D117" s="68" t="str">
        <f t="shared" si="86"/>
        <v>N/A</v>
      </c>
      <c r="E117" s="68">
        <f t="shared" si="86"/>
        <v>1200</v>
      </c>
      <c r="F117" s="68" t="str">
        <f t="shared" si="86"/>
        <v>N/A</v>
      </c>
      <c r="G117" s="68">
        <f t="shared" si="86"/>
        <v>1280</v>
      </c>
      <c r="H117" s="68" t="str">
        <f t="shared" si="86"/>
        <v>N/A</v>
      </c>
      <c r="I117" s="69">
        <f t="shared" si="86"/>
        <v>1440</v>
      </c>
      <c r="J117" s="57">
        <f t="shared" si="88"/>
        <v>1360</v>
      </c>
      <c r="K117" s="57">
        <f t="shared" si="89"/>
        <v>1360</v>
      </c>
      <c r="L117" s="57">
        <f t="shared" si="89"/>
        <v>1360</v>
      </c>
      <c r="M117" s="57">
        <f t="shared" si="89"/>
        <v>1360</v>
      </c>
      <c r="N117" s="57">
        <f t="shared" si="89"/>
        <v>1360</v>
      </c>
      <c r="O117" s="57">
        <f t="shared" si="89"/>
        <v>1360</v>
      </c>
      <c r="P117" s="57">
        <f t="shared" si="89"/>
        <v>1360</v>
      </c>
      <c r="Q117" s="57">
        <f t="shared" si="89"/>
        <v>1360</v>
      </c>
      <c r="S117" s="54">
        <f t="shared" si="58"/>
        <v>-7.1193383138896376E-3</v>
      </c>
      <c r="T117" s="38">
        <f t="shared" si="59"/>
        <v>8.3593552218294516E-15</v>
      </c>
    </row>
    <row r="118" spans="1:20" outlineLevel="1">
      <c r="A118" s="33" t="s">
        <v>74</v>
      </c>
      <c r="B118" s="68" t="str">
        <f t="shared" si="86"/>
        <v>N/A</v>
      </c>
      <c r="C118" s="68" t="str">
        <f t="shared" si="86"/>
        <v>N/A</v>
      </c>
      <c r="D118" s="68" t="str">
        <f t="shared" si="86"/>
        <v>N/A</v>
      </c>
      <c r="E118" s="68" t="str">
        <f t="shared" si="86"/>
        <v>N/A</v>
      </c>
      <c r="F118" s="68" t="str">
        <f t="shared" si="86"/>
        <v>N/A</v>
      </c>
      <c r="G118" s="68">
        <f t="shared" si="86"/>
        <v>1440</v>
      </c>
      <c r="H118" s="68">
        <f t="shared" si="86"/>
        <v>2736</v>
      </c>
      <c r="I118" s="69" t="str">
        <f t="shared" si="86"/>
        <v>N/A</v>
      </c>
      <c r="J118" s="57">
        <f t="shared" si="88"/>
        <v>2088</v>
      </c>
      <c r="K118" s="57">
        <f t="shared" si="89"/>
        <v>2088</v>
      </c>
      <c r="L118" s="57">
        <f t="shared" si="89"/>
        <v>2088</v>
      </c>
      <c r="M118" s="57">
        <f t="shared" si="89"/>
        <v>2088</v>
      </c>
      <c r="N118" s="57">
        <f t="shared" si="89"/>
        <v>2088</v>
      </c>
      <c r="O118" s="57">
        <f t="shared" si="89"/>
        <v>2088</v>
      </c>
      <c r="P118" s="57">
        <f t="shared" si="89"/>
        <v>2088</v>
      </c>
      <c r="Q118" s="57">
        <f t="shared" si="89"/>
        <v>2088</v>
      </c>
      <c r="S118" s="54" t="str">
        <f t="shared" si="58"/>
        <v>N/A</v>
      </c>
      <c r="T118" s="38">
        <f t="shared" si="59"/>
        <v>8.3767913574119635E-15</v>
      </c>
    </row>
    <row r="119" spans="1:20" outlineLevel="1">
      <c r="A119" s="33" t="s">
        <v>76</v>
      </c>
      <c r="B119" s="68" t="str">
        <f t="shared" ref="B119:I120" si="90">IFERROR(B85/B12, "N/A")</f>
        <v>N/A</v>
      </c>
      <c r="C119" s="68">
        <f t="shared" si="90"/>
        <v>0</v>
      </c>
      <c r="D119" s="68">
        <f t="shared" si="90"/>
        <v>0</v>
      </c>
      <c r="E119" s="68">
        <f t="shared" si="90"/>
        <v>0</v>
      </c>
      <c r="F119" s="68" t="str">
        <f t="shared" si="90"/>
        <v>N/A</v>
      </c>
      <c r="G119" s="68">
        <f t="shared" si="90"/>
        <v>0</v>
      </c>
      <c r="H119" s="68">
        <f t="shared" si="90"/>
        <v>0</v>
      </c>
      <c r="I119" s="69">
        <f t="shared" si="90"/>
        <v>0</v>
      </c>
      <c r="J119" s="57">
        <f t="shared" ref="J119:J120" si="91">AVERAGE(F119:I119)</f>
        <v>0</v>
      </c>
      <c r="K119" s="57">
        <f t="shared" si="89"/>
        <v>0</v>
      </c>
      <c r="L119" s="57">
        <f t="shared" si="89"/>
        <v>0</v>
      </c>
      <c r="M119" s="57">
        <f t="shared" si="89"/>
        <v>0</v>
      </c>
      <c r="N119" s="57">
        <f t="shared" si="89"/>
        <v>0</v>
      </c>
      <c r="O119" s="57">
        <f t="shared" si="89"/>
        <v>0</v>
      </c>
      <c r="P119" s="57">
        <f t="shared" si="89"/>
        <v>0</v>
      </c>
      <c r="Q119" s="57">
        <f t="shared" si="89"/>
        <v>0</v>
      </c>
      <c r="S119" s="54" t="str">
        <f t="shared" si="58"/>
        <v>N/A</v>
      </c>
      <c r="T119" s="38" t="str">
        <f t="shared" si="59"/>
        <v>N/A</v>
      </c>
    </row>
    <row r="120" spans="1:20" outlineLevel="1">
      <c r="A120" s="33" t="s">
        <v>77</v>
      </c>
      <c r="B120" s="68" t="str">
        <f t="shared" si="90"/>
        <v>N/A</v>
      </c>
      <c r="C120" s="68" t="str">
        <f t="shared" si="90"/>
        <v>N/A</v>
      </c>
      <c r="D120" s="68">
        <f t="shared" si="90"/>
        <v>0</v>
      </c>
      <c r="E120" s="68" t="str">
        <f t="shared" si="90"/>
        <v>N/A</v>
      </c>
      <c r="F120" s="68">
        <f t="shared" si="90"/>
        <v>0</v>
      </c>
      <c r="G120" s="68">
        <f t="shared" si="90"/>
        <v>0</v>
      </c>
      <c r="H120" s="68">
        <f t="shared" si="90"/>
        <v>0</v>
      </c>
      <c r="I120" s="69">
        <f t="shared" si="90"/>
        <v>0</v>
      </c>
      <c r="J120" s="57">
        <f t="shared" si="91"/>
        <v>0</v>
      </c>
      <c r="K120" s="57">
        <f t="shared" si="89"/>
        <v>0</v>
      </c>
      <c r="L120" s="57">
        <f t="shared" si="89"/>
        <v>0</v>
      </c>
      <c r="M120" s="57">
        <f t="shared" si="89"/>
        <v>0</v>
      </c>
      <c r="N120" s="57">
        <f t="shared" si="89"/>
        <v>0</v>
      </c>
      <c r="O120" s="57">
        <f t="shared" si="89"/>
        <v>0</v>
      </c>
      <c r="P120" s="57">
        <f t="shared" si="89"/>
        <v>0</v>
      </c>
      <c r="Q120" s="57">
        <f t="shared" si="89"/>
        <v>0</v>
      </c>
      <c r="S120" s="54" t="str">
        <f t="shared" si="58"/>
        <v>N/A</v>
      </c>
      <c r="T120" s="38" t="str">
        <f t="shared" si="59"/>
        <v>N/A</v>
      </c>
    </row>
    <row r="121" spans="1:20">
      <c r="A121" s="33"/>
      <c r="B121" s="68"/>
      <c r="C121" s="68"/>
      <c r="D121" s="68"/>
      <c r="E121" s="68"/>
      <c r="F121" s="68"/>
      <c r="G121" s="68"/>
      <c r="H121" s="68"/>
      <c r="I121" s="69"/>
      <c r="J121" s="57"/>
      <c r="K121" s="57"/>
      <c r="L121" s="57"/>
      <c r="M121" s="57"/>
      <c r="N121" s="57"/>
      <c r="O121" s="57"/>
      <c r="P121" s="57"/>
      <c r="Q121" s="57"/>
      <c r="S121" s="54"/>
      <c r="T121" s="38"/>
    </row>
    <row r="122" spans="1:20">
      <c r="A122" s="27" t="s">
        <v>26</v>
      </c>
      <c r="B122" s="57"/>
      <c r="I122" s="53"/>
      <c r="S122" s="54"/>
      <c r="T122" s="38"/>
    </row>
    <row r="123" spans="1:20" outlineLevel="1">
      <c r="A123" s="33" t="s">
        <v>27</v>
      </c>
      <c r="B123" s="68">
        <f t="shared" ref="B123:I129" si="92">IFERROR(B66/B4,"N/A")</f>
        <v>5502</v>
      </c>
      <c r="C123" s="68">
        <f t="shared" si="92"/>
        <v>3146.7692307692309</v>
      </c>
      <c r="D123" s="68">
        <f t="shared" si="92"/>
        <v>5173.7419354838712</v>
      </c>
      <c r="E123" s="68">
        <f t="shared" si="92"/>
        <v>2303.0117647058823</v>
      </c>
      <c r="F123" s="68">
        <f t="shared" si="92"/>
        <v>1582.1176470588234</v>
      </c>
      <c r="G123" s="68">
        <f t="shared" si="92"/>
        <v>2601.84</v>
      </c>
      <c r="H123" s="68">
        <f t="shared" si="92"/>
        <v>2844.377049180328</v>
      </c>
      <c r="I123" s="69">
        <f t="shared" si="92"/>
        <v>2777.25</v>
      </c>
      <c r="J123" s="55">
        <f>Inputs!B24</f>
        <v>2451.3961740597879</v>
      </c>
      <c r="K123" s="57">
        <f t="shared" si="89"/>
        <v>2451.3961740597879</v>
      </c>
      <c r="L123" s="57">
        <f t="shared" si="89"/>
        <v>2451.3961740597879</v>
      </c>
      <c r="M123" s="57">
        <f t="shared" si="89"/>
        <v>2451.3961740597879</v>
      </c>
      <c r="N123" s="57">
        <f t="shared" si="89"/>
        <v>2451.3961740597879</v>
      </c>
      <c r="O123" s="57">
        <f t="shared" si="89"/>
        <v>2451.3961740597879</v>
      </c>
      <c r="P123" s="57">
        <f t="shared" si="89"/>
        <v>2451.3961740597879</v>
      </c>
      <c r="Q123" s="57">
        <f t="shared" si="89"/>
        <v>2451.3961740597879</v>
      </c>
      <c r="S123" s="54">
        <f>IFERROR(RATE(MONTH($Q$3)-MONTH($I$3),0,-I123,Q123),"N/A")</f>
        <v>-1.5479381037396251E-2</v>
      </c>
      <c r="T123" s="38">
        <f>IFERROR(RATE(MONTH($Q$3)-MONTH($K$3),0,-K123,Q123),"N/A")</f>
        <v>8.4363112688759582E-15</v>
      </c>
    </row>
    <row r="124" spans="1:20" outlineLevel="1">
      <c r="A124" s="33" t="s">
        <v>28</v>
      </c>
      <c r="B124" s="68" t="str">
        <f t="shared" si="92"/>
        <v>N/A</v>
      </c>
      <c r="C124" s="68">
        <f t="shared" si="92"/>
        <v>3456</v>
      </c>
      <c r="D124" s="68">
        <f t="shared" si="92"/>
        <v>9558</v>
      </c>
      <c r="E124" s="68">
        <f t="shared" si="92"/>
        <v>4740</v>
      </c>
      <c r="F124" s="68">
        <f t="shared" si="92"/>
        <v>4044</v>
      </c>
      <c r="G124" s="68">
        <f t="shared" si="92"/>
        <v>1944</v>
      </c>
      <c r="H124" s="68">
        <f t="shared" si="92"/>
        <v>1440</v>
      </c>
      <c r="I124" s="69" t="str">
        <f t="shared" si="92"/>
        <v>N/A</v>
      </c>
      <c r="J124" s="55">
        <f>Inputs!B25</f>
        <v>2476</v>
      </c>
      <c r="K124" s="57">
        <f t="shared" ref="K124" si="93">J124</f>
        <v>2476</v>
      </c>
      <c r="L124" s="57">
        <f t="shared" ref="L124" si="94">K124</f>
        <v>2476</v>
      </c>
      <c r="M124" s="57">
        <f t="shared" ref="M124" si="95">L124</f>
        <v>2476</v>
      </c>
      <c r="N124" s="57">
        <f t="shared" ref="N124" si="96">M124</f>
        <v>2476</v>
      </c>
      <c r="O124" s="57">
        <f t="shared" ref="O124" si="97">N124</f>
        <v>2476</v>
      </c>
      <c r="P124" s="57">
        <f t="shared" ref="P124" si="98">O124</f>
        <v>2476</v>
      </c>
      <c r="Q124" s="57">
        <f t="shared" ref="Q124" si="99">P124</f>
        <v>2476</v>
      </c>
      <c r="S124" s="54" t="str">
        <f>IFERROR(RATE(MONTH($Q$3)-MONTH($I$3),0,-I124,Q124),"N/A")</f>
        <v>N/A</v>
      </c>
      <c r="T124" s="38">
        <f>IFERROR(RATE(MONTH($Q$3)-MONTH($K$3),0,-K124,Q124),"N/A")</f>
        <v>8.2550107008891913E-15</v>
      </c>
    </row>
    <row r="125" spans="1:20" outlineLevel="1">
      <c r="A125" s="33" t="s">
        <v>29</v>
      </c>
      <c r="B125" s="68" t="str">
        <f t="shared" si="92"/>
        <v>N/A</v>
      </c>
      <c r="C125" s="68">
        <f t="shared" si="92"/>
        <v>0</v>
      </c>
      <c r="D125" s="68">
        <f t="shared" si="92"/>
        <v>0</v>
      </c>
      <c r="E125" s="68">
        <f t="shared" si="92"/>
        <v>0</v>
      </c>
      <c r="F125" s="68">
        <f t="shared" si="92"/>
        <v>0</v>
      </c>
      <c r="G125" s="68">
        <f t="shared" si="92"/>
        <v>0</v>
      </c>
      <c r="H125" s="68">
        <f t="shared" si="92"/>
        <v>0</v>
      </c>
      <c r="I125" s="69">
        <f t="shared" si="92"/>
        <v>0</v>
      </c>
      <c r="J125" s="55">
        <f>Inputs!B26</f>
        <v>0</v>
      </c>
      <c r="K125" s="57">
        <f t="shared" ref="K125" si="100">J125</f>
        <v>0</v>
      </c>
      <c r="L125" s="57">
        <f t="shared" ref="L125" si="101">K125</f>
        <v>0</v>
      </c>
      <c r="M125" s="57">
        <f t="shared" ref="M125" si="102">L125</f>
        <v>0</v>
      </c>
      <c r="N125" s="57">
        <f t="shared" ref="N125" si="103">M125</f>
        <v>0</v>
      </c>
      <c r="O125" s="57">
        <f t="shared" ref="O125" si="104">N125</f>
        <v>0</v>
      </c>
      <c r="P125" s="57">
        <f t="shared" ref="P125" si="105">O125</f>
        <v>0</v>
      </c>
      <c r="Q125" s="57">
        <f t="shared" ref="Q125" si="106">P125</f>
        <v>0</v>
      </c>
      <c r="S125" s="54" t="str">
        <f>IFERROR(RATE(MONTH($Q$3)-MONTH($I$3),0,-I125,Q125),"N/A")</f>
        <v>N/A</v>
      </c>
      <c r="T125" s="38" t="str">
        <f>IFERROR(RATE(MONTH($Q$3)-MONTH($K$3),0,-K125,Q125),"N/A")</f>
        <v>N/A</v>
      </c>
    </row>
    <row r="126" spans="1:20" outlineLevel="1">
      <c r="A126" s="33" t="s">
        <v>30</v>
      </c>
      <c r="B126" s="68" t="str">
        <f t="shared" si="92"/>
        <v>N/A</v>
      </c>
      <c r="C126" s="68" t="str">
        <f t="shared" si="92"/>
        <v>N/A</v>
      </c>
      <c r="D126" s="68">
        <f t="shared" si="92"/>
        <v>3240</v>
      </c>
      <c r="E126" s="68">
        <f t="shared" si="92"/>
        <v>5857.7142857142853</v>
      </c>
      <c r="F126" s="68">
        <f t="shared" si="92"/>
        <v>3053</v>
      </c>
      <c r="G126" s="68">
        <f t="shared" si="92"/>
        <v>2227.6363636363635</v>
      </c>
      <c r="H126" s="68">
        <f t="shared" si="92"/>
        <v>1675.9024390243903</v>
      </c>
      <c r="I126" s="69">
        <f t="shared" si="92"/>
        <v>1872.2166666666667</v>
      </c>
      <c r="J126" s="55">
        <f>Inputs!B27</f>
        <v>2207.1888673318554</v>
      </c>
      <c r="K126" s="57">
        <f t="shared" si="89"/>
        <v>2207.1888673318554</v>
      </c>
      <c r="L126" s="57">
        <f t="shared" si="89"/>
        <v>2207.1888673318554</v>
      </c>
      <c r="M126" s="57">
        <f t="shared" si="89"/>
        <v>2207.1888673318554</v>
      </c>
      <c r="N126" s="57">
        <f t="shared" si="89"/>
        <v>2207.1888673318554</v>
      </c>
      <c r="O126" s="57">
        <f t="shared" si="89"/>
        <v>2207.1888673318554</v>
      </c>
      <c r="P126" s="57">
        <f t="shared" si="89"/>
        <v>2207.1888673318554</v>
      </c>
      <c r="Q126" s="57">
        <f t="shared" si="89"/>
        <v>2207.1888673318554</v>
      </c>
      <c r="S126" s="54">
        <f t="shared" si="58"/>
        <v>2.0787689117259398E-2</v>
      </c>
      <c r="T126" s="38">
        <f t="shared" si="59"/>
        <v>8.3407736394151056E-15</v>
      </c>
    </row>
    <row r="127" spans="1:20" outlineLevel="1">
      <c r="A127" s="33" t="s">
        <v>31</v>
      </c>
      <c r="B127" s="68" t="str">
        <f t="shared" si="92"/>
        <v>N/A</v>
      </c>
      <c r="C127" s="68" t="str">
        <f t="shared" si="92"/>
        <v>N/A</v>
      </c>
      <c r="D127" s="68">
        <f t="shared" si="92"/>
        <v>-4488</v>
      </c>
      <c r="E127" s="68">
        <f t="shared" si="92"/>
        <v>-10222.285714285714</v>
      </c>
      <c r="F127" s="68">
        <f t="shared" si="92"/>
        <v>-4539.6923076923076</v>
      </c>
      <c r="G127" s="68">
        <f t="shared" si="92"/>
        <v>-3910.2857142857142</v>
      </c>
      <c r="H127" s="68">
        <f t="shared" si="92"/>
        <v>-1285.4117647058824</v>
      </c>
      <c r="I127" s="69">
        <f t="shared" si="92"/>
        <v>-1465.9354838709678</v>
      </c>
      <c r="J127" s="55">
        <f>Inputs!B28</f>
        <v>-2800.3313176387182</v>
      </c>
      <c r="K127" s="57">
        <f t="shared" si="89"/>
        <v>-2800.3313176387182</v>
      </c>
      <c r="L127" s="57">
        <f t="shared" si="89"/>
        <v>-2800.3313176387182</v>
      </c>
      <c r="M127" s="57">
        <f t="shared" si="89"/>
        <v>-2800.3313176387182</v>
      </c>
      <c r="N127" s="57">
        <f t="shared" si="89"/>
        <v>-2800.3313176387182</v>
      </c>
      <c r="O127" s="57">
        <f t="shared" si="89"/>
        <v>-2800.3313176387182</v>
      </c>
      <c r="P127" s="57">
        <f t="shared" si="89"/>
        <v>-2800.3313176387182</v>
      </c>
      <c r="Q127" s="57">
        <f t="shared" si="89"/>
        <v>-2800.3313176387182</v>
      </c>
      <c r="S127" s="54">
        <f t="shared" si="58"/>
        <v>8.426844783308779E-2</v>
      </c>
      <c r="T127" s="38">
        <f t="shared" si="59"/>
        <v>6.6320872014345867E-15</v>
      </c>
    </row>
    <row r="128" spans="1:20" outlineLevel="1">
      <c r="A128" s="33" t="s">
        <v>32</v>
      </c>
      <c r="B128" s="68" t="str">
        <f t="shared" si="92"/>
        <v>N/A</v>
      </c>
      <c r="C128" s="68" t="str">
        <f t="shared" si="92"/>
        <v>N/A</v>
      </c>
      <c r="D128" s="68" t="str">
        <f t="shared" si="92"/>
        <v>N/A</v>
      </c>
      <c r="E128" s="68">
        <f t="shared" si="92"/>
        <v>1200</v>
      </c>
      <c r="F128" s="68" t="str">
        <f t="shared" si="92"/>
        <v>N/A</v>
      </c>
      <c r="G128" s="68">
        <f t="shared" si="92"/>
        <v>1280</v>
      </c>
      <c r="H128" s="68" t="str">
        <f t="shared" si="92"/>
        <v>N/A</v>
      </c>
      <c r="I128" s="69">
        <f t="shared" si="92"/>
        <v>1440</v>
      </c>
      <c r="J128" s="55">
        <f>Inputs!B29</f>
        <v>1360</v>
      </c>
      <c r="K128" s="57">
        <f t="shared" ref="K128:K129" si="107">J128</f>
        <v>1360</v>
      </c>
      <c r="L128" s="57">
        <f t="shared" ref="L128:L129" si="108">K128</f>
        <v>1360</v>
      </c>
      <c r="M128" s="57">
        <f t="shared" ref="M128:M129" si="109">L128</f>
        <v>1360</v>
      </c>
      <c r="N128" s="57">
        <f t="shared" ref="N128:N129" si="110">M128</f>
        <v>1360</v>
      </c>
      <c r="O128" s="57">
        <f t="shared" ref="O128:O129" si="111">N128</f>
        <v>1360</v>
      </c>
      <c r="P128" s="57">
        <f t="shared" ref="P128:P129" si="112">O128</f>
        <v>1360</v>
      </c>
      <c r="Q128" s="57">
        <f t="shared" ref="Q128:Q129" si="113">P128</f>
        <v>1360</v>
      </c>
      <c r="S128" s="54">
        <f t="shared" ref="S128:S129" si="114">IFERROR(RATE(MONTH($Q$3)-MONTH($I$3),0,-I128,Q128),"N/A")</f>
        <v>-7.1193383138896376E-3</v>
      </c>
      <c r="T128" s="38">
        <f t="shared" ref="T128:T129" si="115">IFERROR(RATE(MONTH($Q$3)-MONTH($K$3),0,-K128,Q128),"N/A")</f>
        <v>8.3593552218294516E-15</v>
      </c>
    </row>
    <row r="129" spans="1:20" outlineLevel="1">
      <c r="A129" s="33" t="s">
        <v>33</v>
      </c>
      <c r="B129" s="68" t="str">
        <f t="shared" si="92"/>
        <v>N/A</v>
      </c>
      <c r="C129" s="68" t="str">
        <f t="shared" si="92"/>
        <v>N/A</v>
      </c>
      <c r="D129" s="68" t="str">
        <f t="shared" si="92"/>
        <v>N/A</v>
      </c>
      <c r="E129" s="68" t="str">
        <f t="shared" si="92"/>
        <v>N/A</v>
      </c>
      <c r="F129" s="68" t="str">
        <f t="shared" si="92"/>
        <v>N/A</v>
      </c>
      <c r="G129" s="68">
        <f t="shared" si="92"/>
        <v>1440</v>
      </c>
      <c r="H129" s="68">
        <f t="shared" si="92"/>
        <v>2736</v>
      </c>
      <c r="I129" s="69" t="str">
        <f t="shared" si="92"/>
        <v>N/A</v>
      </c>
      <c r="J129" s="55">
        <f>Inputs!B30</f>
        <v>2088</v>
      </c>
      <c r="K129" s="57">
        <f t="shared" si="107"/>
        <v>2088</v>
      </c>
      <c r="L129" s="57">
        <f t="shared" si="108"/>
        <v>2088</v>
      </c>
      <c r="M129" s="57">
        <f t="shared" si="109"/>
        <v>2088</v>
      </c>
      <c r="N129" s="57">
        <f t="shared" si="110"/>
        <v>2088</v>
      </c>
      <c r="O129" s="57">
        <f t="shared" si="111"/>
        <v>2088</v>
      </c>
      <c r="P129" s="57">
        <f t="shared" si="112"/>
        <v>2088</v>
      </c>
      <c r="Q129" s="57">
        <f t="shared" si="113"/>
        <v>2088</v>
      </c>
      <c r="S129" s="54" t="str">
        <f t="shared" si="114"/>
        <v>N/A</v>
      </c>
      <c r="T129" s="38">
        <f t="shared" si="115"/>
        <v>8.3767913574119635E-15</v>
      </c>
    </row>
    <row r="130" spans="1:20" outlineLevel="1">
      <c r="A130" s="33" t="s">
        <v>34</v>
      </c>
      <c r="B130" s="68" t="str">
        <f t="shared" ref="B130:I131" si="116">IFERROR(B73/B12,"N/A")</f>
        <v>N/A</v>
      </c>
      <c r="C130" s="68">
        <f t="shared" si="116"/>
        <v>-9804</v>
      </c>
      <c r="D130" s="68">
        <f t="shared" si="116"/>
        <v>-1728</v>
      </c>
      <c r="E130" s="68">
        <f t="shared" si="116"/>
        <v>-4904</v>
      </c>
      <c r="F130" s="68" t="str">
        <f t="shared" si="116"/>
        <v>N/A</v>
      </c>
      <c r="G130" s="68">
        <f t="shared" si="116"/>
        <v>-1584</v>
      </c>
      <c r="H130" s="68">
        <f t="shared" si="116"/>
        <v>-1440</v>
      </c>
      <c r="I130" s="69">
        <f t="shared" si="116"/>
        <v>-13584</v>
      </c>
      <c r="J130" s="55">
        <f>Inputs!B31</f>
        <v>-5536</v>
      </c>
      <c r="K130" s="57">
        <f t="shared" si="89"/>
        <v>-5536</v>
      </c>
      <c r="L130" s="57">
        <f t="shared" si="89"/>
        <v>-5536</v>
      </c>
      <c r="M130" s="57">
        <f t="shared" si="89"/>
        <v>-5536</v>
      </c>
      <c r="N130" s="57">
        <f t="shared" si="89"/>
        <v>-5536</v>
      </c>
      <c r="O130" s="57">
        <f t="shared" si="89"/>
        <v>-5536</v>
      </c>
      <c r="P130" s="57">
        <f t="shared" si="89"/>
        <v>-5536</v>
      </c>
      <c r="Q130" s="57">
        <f t="shared" si="89"/>
        <v>-5536</v>
      </c>
      <c r="S130" s="54">
        <f t="shared" si="58"/>
        <v>-0.10613681408287944</v>
      </c>
      <c r="T130" s="38">
        <f t="shared" si="59"/>
        <v>6.5709602261057311E-15</v>
      </c>
    </row>
    <row r="131" spans="1:20" outlineLevel="1">
      <c r="A131" s="33" t="s">
        <v>35</v>
      </c>
      <c r="B131" s="68" t="str">
        <f t="shared" si="116"/>
        <v>N/A</v>
      </c>
      <c r="C131" s="68" t="str">
        <f t="shared" si="116"/>
        <v>N/A</v>
      </c>
      <c r="D131" s="68">
        <f t="shared" si="116"/>
        <v>-1440</v>
      </c>
      <c r="E131" s="68" t="str">
        <f t="shared" si="116"/>
        <v>N/A</v>
      </c>
      <c r="F131" s="68">
        <f t="shared" si="116"/>
        <v>-2460</v>
      </c>
      <c r="G131" s="68">
        <f t="shared" si="116"/>
        <v>-1440</v>
      </c>
      <c r="H131" s="68">
        <f t="shared" si="116"/>
        <v>-4353</v>
      </c>
      <c r="I131" s="69">
        <f t="shared" si="116"/>
        <v>-4666</v>
      </c>
      <c r="J131" s="55">
        <f>Inputs!B32</f>
        <v>-3229.75</v>
      </c>
      <c r="K131" s="57">
        <f t="shared" si="89"/>
        <v>-3229.75</v>
      </c>
      <c r="L131" s="57">
        <f t="shared" si="89"/>
        <v>-3229.75</v>
      </c>
      <c r="M131" s="57">
        <f t="shared" si="89"/>
        <v>-3229.75</v>
      </c>
      <c r="N131" s="57">
        <f t="shared" si="89"/>
        <v>-3229.75</v>
      </c>
      <c r="O131" s="57">
        <f t="shared" si="89"/>
        <v>-3229.75</v>
      </c>
      <c r="P131" s="57">
        <f t="shared" si="89"/>
        <v>-3229.75</v>
      </c>
      <c r="Q131" s="57">
        <f t="shared" si="89"/>
        <v>-3229.75</v>
      </c>
      <c r="S131" s="54">
        <f t="shared" si="58"/>
        <v>-4.4945793942509318E-2</v>
      </c>
      <c r="T131" s="38">
        <f t="shared" si="59"/>
        <v>6.6076773550890046E-15</v>
      </c>
    </row>
    <row r="132" spans="1:20">
      <c r="A132" s="43"/>
    </row>
    <row r="133" spans="1:20">
      <c r="B133" s="57"/>
      <c r="C133" s="57"/>
      <c r="D133" s="57"/>
      <c r="E133" s="57"/>
      <c r="F133" s="57"/>
      <c r="G133" s="57"/>
      <c r="H133" s="57"/>
      <c r="I133" s="57"/>
    </row>
    <row r="134" spans="1:20">
      <c r="A134" s="4" t="s">
        <v>111</v>
      </c>
      <c r="B134" s="57"/>
      <c r="C134" s="57"/>
      <c r="D134" s="57"/>
      <c r="E134" s="57"/>
      <c r="F134" s="57"/>
      <c r="G134" s="57"/>
      <c r="H134" s="57"/>
      <c r="I134" s="57"/>
    </row>
    <row r="135" spans="1:20">
      <c r="B135" s="57"/>
      <c r="C135" s="57"/>
      <c r="D135" s="57"/>
      <c r="E135" s="57"/>
      <c r="F135" s="57"/>
      <c r="G135" s="57"/>
      <c r="H135" s="57"/>
      <c r="I135" s="57"/>
    </row>
    <row r="136" spans="1:20">
      <c r="B136" s="57"/>
      <c r="C136" s="57"/>
      <c r="D136" s="57"/>
      <c r="E136" s="57"/>
      <c r="F136" s="57"/>
      <c r="G136" s="57"/>
      <c r="H136" s="57"/>
      <c r="I136" s="57"/>
    </row>
    <row r="137" spans="1:20">
      <c r="B137" s="57"/>
      <c r="C137" s="57"/>
      <c r="D137" s="57"/>
      <c r="E137" s="57"/>
      <c r="F137" s="57"/>
      <c r="G137" s="57"/>
      <c r="H137" s="57"/>
      <c r="I137" s="57"/>
    </row>
    <row r="138" spans="1:20">
      <c r="B138" s="57"/>
      <c r="C138" s="57"/>
      <c r="D138" s="57"/>
      <c r="E138" s="57"/>
      <c r="F138" s="57"/>
      <c r="G138" s="57"/>
      <c r="H138" s="57"/>
      <c r="I138" s="57"/>
    </row>
    <row r="139" spans="1:20">
      <c r="B139" s="57"/>
      <c r="C139" s="57"/>
      <c r="D139" s="57"/>
      <c r="E139" s="57"/>
      <c r="F139" s="57"/>
      <c r="G139" s="57"/>
      <c r="H139" s="57"/>
      <c r="I139" s="57"/>
    </row>
    <row r="140" spans="1:20">
      <c r="A140" s="43"/>
    </row>
    <row r="141" spans="1:20">
      <c r="B141" s="57"/>
      <c r="C141" s="57"/>
      <c r="D141" s="57"/>
      <c r="E141" s="57"/>
      <c r="F141" s="57"/>
      <c r="G141" s="57"/>
      <c r="H141" s="57"/>
      <c r="I141" s="57"/>
    </row>
    <row r="142" spans="1:20">
      <c r="B142" s="57"/>
      <c r="C142" s="57"/>
      <c r="D142" s="57"/>
      <c r="E142" s="57"/>
      <c r="F142" s="57"/>
      <c r="G142" s="57"/>
      <c r="H142" s="57"/>
      <c r="I142" s="57"/>
    </row>
    <row r="143" spans="1:20">
      <c r="A143" s="43"/>
    </row>
    <row r="144" spans="1:20">
      <c r="A144" s="43"/>
    </row>
  </sheetData>
  <sheetProtection algorithmName="SHA-512" hashValue="DhjeT4PuB3oEI/wJcY0WQlYGH/pOlpFbLIHYRVcNkQUB3y4ybJduoykhS+b34zSbw6caoa3kI5mGp9bRX/Alxg==" saltValue="qLVRxSLS7EYjoMso2BEeCw==" spinCount="100000" sheet="1" objects="1" scenarios="1"/>
  <mergeCells count="2">
    <mergeCell ref="B2:I2"/>
    <mergeCell ref="J2:Q2"/>
  </mergeCells>
  <pageMargins left="0.7" right="0.7" top="0.75" bottom="0.75" header="0.3" footer="0.3"/>
  <pageSetup orientation="portrait" horizontalDpi="0" verticalDpi="0"/>
  <ignoredErrors>
    <ignoredError sqref="J11 L11:Q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4F8AA-B3F4-49AA-9BAE-406E6E2D06E0}">
  <dimension ref="A1:H1568"/>
  <sheetViews>
    <sheetView topLeftCell="B1" workbookViewId="0">
      <selection activeCell="B1" sqref="A1:XFD1048576"/>
    </sheetView>
  </sheetViews>
  <sheetFormatPr defaultColWidth="8.85546875" defaultRowHeight="15"/>
  <cols>
    <col min="1" max="1" width="20" hidden="1" customWidth="1"/>
    <col min="2" max="6" width="20" customWidth="1"/>
    <col min="7" max="7" width="14" customWidth="1"/>
  </cols>
  <sheetData>
    <row r="1" spans="1:8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s="2" t="s">
        <v>117</v>
      </c>
    </row>
    <row r="2" spans="1:8">
      <c r="A2" t="s">
        <v>118</v>
      </c>
      <c r="B2" s="1">
        <v>42979</v>
      </c>
      <c r="C2" s="2">
        <v>0</v>
      </c>
      <c r="D2" s="2">
        <v>1200</v>
      </c>
      <c r="E2" t="s">
        <v>25</v>
      </c>
      <c r="F2" s="2">
        <v>1200</v>
      </c>
      <c r="G2" s="2"/>
      <c r="H2" s="2"/>
    </row>
    <row r="3" spans="1:8">
      <c r="A3" t="s">
        <v>119</v>
      </c>
      <c r="B3" s="1">
        <v>42979</v>
      </c>
      <c r="C3" s="2">
        <v>0</v>
      </c>
      <c r="D3" s="2">
        <v>9804</v>
      </c>
      <c r="E3" t="s">
        <v>25</v>
      </c>
      <c r="F3" s="2">
        <v>9804</v>
      </c>
      <c r="G3" s="2"/>
      <c r="H3" s="2"/>
    </row>
    <row r="4" spans="1:8">
      <c r="A4" t="s">
        <v>119</v>
      </c>
      <c r="B4" s="1">
        <v>43009</v>
      </c>
      <c r="C4" s="2">
        <v>9804</v>
      </c>
      <c r="D4" s="2">
        <v>0</v>
      </c>
      <c r="E4" t="s">
        <v>76</v>
      </c>
      <c r="F4" s="2">
        <v>-9804</v>
      </c>
      <c r="G4" s="2"/>
      <c r="H4" s="2"/>
    </row>
    <row r="5" spans="1:8">
      <c r="A5" t="s">
        <v>118</v>
      </c>
      <c r="B5" s="1">
        <v>43009</v>
      </c>
      <c r="C5" s="2">
        <v>1200</v>
      </c>
      <c r="D5" s="2">
        <v>1200</v>
      </c>
      <c r="E5" t="s">
        <v>73</v>
      </c>
      <c r="F5" s="2">
        <v>0</v>
      </c>
      <c r="G5" s="2"/>
      <c r="H5" s="2"/>
    </row>
    <row r="6" spans="1:8">
      <c r="A6" t="s">
        <v>120</v>
      </c>
      <c r="B6" s="1">
        <v>43009</v>
      </c>
      <c r="C6" s="2">
        <v>0</v>
      </c>
      <c r="D6" s="2">
        <v>1200</v>
      </c>
      <c r="E6" t="s">
        <v>25</v>
      </c>
      <c r="F6" s="2">
        <v>1200</v>
      </c>
      <c r="G6" s="2"/>
      <c r="H6" s="2"/>
    </row>
    <row r="7" spans="1:8">
      <c r="A7" t="s">
        <v>121</v>
      </c>
      <c r="B7" s="1">
        <v>43009</v>
      </c>
      <c r="C7" s="2">
        <v>0</v>
      </c>
      <c r="D7" s="2">
        <v>1200</v>
      </c>
      <c r="E7" t="s">
        <v>25</v>
      </c>
      <c r="F7" s="2">
        <v>1200</v>
      </c>
      <c r="G7" s="2"/>
      <c r="H7" s="2"/>
    </row>
    <row r="8" spans="1:8">
      <c r="A8" t="s">
        <v>122</v>
      </c>
      <c r="B8" s="1">
        <v>43009</v>
      </c>
      <c r="C8" s="2">
        <v>0</v>
      </c>
      <c r="D8" s="2">
        <v>1200</v>
      </c>
      <c r="E8" t="s">
        <v>25</v>
      </c>
      <c r="F8" s="2">
        <v>1200</v>
      </c>
      <c r="G8" s="2"/>
      <c r="H8" s="2"/>
    </row>
    <row r="9" spans="1:8">
      <c r="A9" t="s">
        <v>123</v>
      </c>
      <c r="B9" s="1">
        <v>43009</v>
      </c>
      <c r="C9" s="2">
        <v>0</v>
      </c>
      <c r="D9" s="2">
        <v>1440</v>
      </c>
      <c r="E9" t="s">
        <v>25</v>
      </c>
      <c r="F9" s="2">
        <v>1440</v>
      </c>
      <c r="G9" s="2"/>
      <c r="H9" s="2"/>
    </row>
    <row r="10" spans="1:8">
      <c r="A10" t="s">
        <v>124</v>
      </c>
      <c r="B10" s="1">
        <v>43009</v>
      </c>
      <c r="C10" s="2">
        <v>0</v>
      </c>
      <c r="D10" s="2">
        <v>1440</v>
      </c>
      <c r="E10" t="s">
        <v>25</v>
      </c>
      <c r="F10" s="2">
        <v>1440</v>
      </c>
      <c r="G10" s="2"/>
      <c r="H10" s="2"/>
    </row>
    <row r="11" spans="1:8">
      <c r="A11" t="s">
        <v>125</v>
      </c>
      <c r="B11" s="1">
        <v>43009</v>
      </c>
      <c r="C11" s="2">
        <v>0</v>
      </c>
      <c r="D11" s="2">
        <v>1440</v>
      </c>
      <c r="E11" t="s">
        <v>25</v>
      </c>
      <c r="F11" s="2">
        <v>1440</v>
      </c>
      <c r="G11" s="2"/>
      <c r="H11" s="2"/>
    </row>
    <row r="12" spans="1:8">
      <c r="A12" t="s">
        <v>126</v>
      </c>
      <c r="B12" s="1">
        <v>43009</v>
      </c>
      <c r="C12" s="2">
        <v>0</v>
      </c>
      <c r="D12" s="2">
        <v>1440</v>
      </c>
      <c r="E12" t="s">
        <v>25</v>
      </c>
      <c r="F12" s="2">
        <v>1440</v>
      </c>
      <c r="G12" s="2"/>
      <c r="H12" s="2"/>
    </row>
    <row r="13" spans="1:8">
      <c r="A13" t="s">
        <v>127</v>
      </c>
      <c r="B13" s="1">
        <v>43009</v>
      </c>
      <c r="C13" s="2">
        <v>0</v>
      </c>
      <c r="D13" s="2">
        <v>1440</v>
      </c>
      <c r="E13" t="s">
        <v>25</v>
      </c>
      <c r="F13" s="2">
        <v>1440</v>
      </c>
      <c r="G13" s="2"/>
      <c r="H13" s="2"/>
    </row>
    <row r="14" spans="1:8">
      <c r="A14" t="s">
        <v>128</v>
      </c>
      <c r="B14" s="1">
        <v>43009</v>
      </c>
      <c r="C14" s="2">
        <v>0</v>
      </c>
      <c r="D14" s="2">
        <v>1440</v>
      </c>
      <c r="E14" t="s">
        <v>25</v>
      </c>
      <c r="F14" s="2">
        <v>1440</v>
      </c>
      <c r="G14" s="2"/>
      <c r="H14" s="2"/>
    </row>
    <row r="15" spans="1:8">
      <c r="A15" t="s">
        <v>129</v>
      </c>
      <c r="B15" s="1">
        <v>43009</v>
      </c>
      <c r="C15" s="2">
        <v>0</v>
      </c>
      <c r="D15" s="2">
        <v>1440</v>
      </c>
      <c r="E15" t="s">
        <v>25</v>
      </c>
      <c r="F15" s="2">
        <v>1440</v>
      </c>
      <c r="G15" s="2"/>
      <c r="H15" s="2"/>
    </row>
    <row r="16" spans="1:8">
      <c r="A16" t="s">
        <v>130</v>
      </c>
      <c r="B16" s="1">
        <v>43009</v>
      </c>
      <c r="C16" s="2">
        <v>0</v>
      </c>
      <c r="D16" s="2">
        <v>1440</v>
      </c>
      <c r="E16" t="s">
        <v>25</v>
      </c>
      <c r="F16" s="2">
        <v>1440</v>
      </c>
      <c r="G16" s="2"/>
      <c r="H16" s="2"/>
    </row>
    <row r="17" spans="1:8">
      <c r="A17" t="s">
        <v>131</v>
      </c>
      <c r="B17" s="1">
        <v>43009</v>
      </c>
      <c r="C17" s="2">
        <v>0</v>
      </c>
      <c r="D17" s="2">
        <v>1440</v>
      </c>
      <c r="E17" t="s">
        <v>25</v>
      </c>
      <c r="F17" s="2">
        <v>1440</v>
      </c>
      <c r="G17" s="2"/>
      <c r="H17" s="2"/>
    </row>
    <row r="18" spans="1:8">
      <c r="A18" t="s">
        <v>132</v>
      </c>
      <c r="B18" s="1">
        <v>43009</v>
      </c>
      <c r="C18" s="2">
        <v>0</v>
      </c>
      <c r="D18" s="2">
        <v>1440</v>
      </c>
      <c r="E18" t="s">
        <v>25</v>
      </c>
      <c r="F18" s="2">
        <v>1440</v>
      </c>
      <c r="G18" s="2"/>
      <c r="H18" s="2"/>
    </row>
    <row r="19" spans="1:8">
      <c r="A19" t="s">
        <v>133</v>
      </c>
      <c r="B19" s="1">
        <v>43009</v>
      </c>
      <c r="C19" s="2">
        <v>0</v>
      </c>
      <c r="D19" s="2">
        <v>1440</v>
      </c>
      <c r="E19" t="s">
        <v>25</v>
      </c>
      <c r="F19" s="2">
        <v>1440</v>
      </c>
      <c r="G19" s="2"/>
      <c r="H19" s="2"/>
    </row>
    <row r="20" spans="1:8">
      <c r="A20" t="s">
        <v>134</v>
      </c>
      <c r="B20" s="1">
        <v>43009</v>
      </c>
      <c r="C20" s="2">
        <v>0</v>
      </c>
      <c r="D20" s="2">
        <v>1440</v>
      </c>
      <c r="E20" t="s">
        <v>25</v>
      </c>
      <c r="F20" s="2">
        <v>1440</v>
      </c>
      <c r="G20" s="2"/>
      <c r="H20" s="2"/>
    </row>
    <row r="21" spans="1:8">
      <c r="A21" t="s">
        <v>135</v>
      </c>
      <c r="B21" s="1">
        <v>43009</v>
      </c>
      <c r="C21" s="2">
        <v>0</v>
      </c>
      <c r="D21" s="2">
        <v>1440</v>
      </c>
      <c r="E21" t="s">
        <v>25</v>
      </c>
      <c r="F21" s="2">
        <v>1440</v>
      </c>
      <c r="G21" s="2"/>
      <c r="H21" s="2"/>
    </row>
    <row r="22" spans="1:8">
      <c r="A22" t="s">
        <v>136</v>
      </c>
      <c r="B22" s="1">
        <v>43009</v>
      </c>
      <c r="C22" s="2">
        <v>0</v>
      </c>
      <c r="D22" s="2">
        <v>1440</v>
      </c>
      <c r="E22" t="s">
        <v>25</v>
      </c>
      <c r="F22" s="2">
        <v>1440</v>
      </c>
      <c r="G22" s="2"/>
      <c r="H22" s="2"/>
    </row>
    <row r="23" spans="1:8">
      <c r="A23" t="s">
        <v>137</v>
      </c>
      <c r="B23" s="1">
        <v>43009</v>
      </c>
      <c r="C23" s="2">
        <v>0</v>
      </c>
      <c r="D23" s="2">
        <v>1440</v>
      </c>
      <c r="E23" t="s">
        <v>25</v>
      </c>
      <c r="F23" s="2">
        <v>1440</v>
      </c>
      <c r="G23" s="2"/>
      <c r="H23" s="2"/>
    </row>
    <row r="24" spans="1:8">
      <c r="A24" t="s">
        <v>138</v>
      </c>
      <c r="B24" s="1">
        <v>43009</v>
      </c>
      <c r="C24" s="2">
        <v>0</v>
      </c>
      <c r="D24" s="2">
        <v>1440</v>
      </c>
      <c r="E24" t="s">
        <v>25</v>
      </c>
      <c r="F24" s="2">
        <v>1440</v>
      </c>
      <c r="G24" s="2"/>
      <c r="H24" s="2"/>
    </row>
    <row r="25" spans="1:8">
      <c r="A25" t="s">
        <v>139</v>
      </c>
      <c r="B25" s="1">
        <v>43009</v>
      </c>
      <c r="C25" s="2">
        <v>0</v>
      </c>
      <c r="D25" s="2">
        <v>1440</v>
      </c>
      <c r="E25" t="s">
        <v>25</v>
      </c>
      <c r="F25" s="2">
        <v>1440</v>
      </c>
      <c r="G25" s="2"/>
      <c r="H25" s="2"/>
    </row>
    <row r="26" spans="1:8">
      <c r="A26" t="s">
        <v>140</v>
      </c>
      <c r="B26" s="1">
        <v>43009</v>
      </c>
      <c r="C26" s="2">
        <v>0</v>
      </c>
      <c r="D26" s="2">
        <v>1728</v>
      </c>
      <c r="E26" t="s">
        <v>25</v>
      </c>
      <c r="F26" s="2">
        <v>1728</v>
      </c>
      <c r="G26" s="2"/>
      <c r="H26" s="2"/>
    </row>
    <row r="27" spans="1:8">
      <c r="A27" t="s">
        <v>141</v>
      </c>
      <c r="B27" s="1">
        <v>43009</v>
      </c>
      <c r="C27" s="2">
        <v>0</v>
      </c>
      <c r="D27" s="2">
        <v>2016</v>
      </c>
      <c r="E27" t="s">
        <v>25</v>
      </c>
      <c r="F27" s="2">
        <v>2016</v>
      </c>
      <c r="G27" s="2"/>
      <c r="H27" s="2"/>
    </row>
    <row r="28" spans="1:8">
      <c r="A28" t="s">
        <v>142</v>
      </c>
      <c r="B28" s="1">
        <v>43009</v>
      </c>
      <c r="C28" s="2">
        <v>0</v>
      </c>
      <c r="D28" s="2">
        <v>2880</v>
      </c>
      <c r="E28" t="s">
        <v>25</v>
      </c>
      <c r="F28" s="2">
        <v>2880</v>
      </c>
      <c r="G28" s="2"/>
      <c r="H28" s="2"/>
    </row>
    <row r="29" spans="1:8">
      <c r="A29" t="s">
        <v>143</v>
      </c>
      <c r="B29" s="1">
        <v>43009</v>
      </c>
      <c r="C29" s="2">
        <v>0</v>
      </c>
      <c r="D29" s="2">
        <v>6768</v>
      </c>
      <c r="E29" t="s">
        <v>25</v>
      </c>
      <c r="F29" s="2">
        <v>6768</v>
      </c>
      <c r="G29" s="2"/>
      <c r="H29" s="2"/>
    </row>
    <row r="30" spans="1:8">
      <c r="A30" t="s">
        <v>144</v>
      </c>
      <c r="B30" s="1">
        <v>43009</v>
      </c>
      <c r="C30" s="2">
        <v>0</v>
      </c>
      <c r="D30" s="2">
        <v>11124</v>
      </c>
      <c r="E30" t="s">
        <v>25</v>
      </c>
      <c r="F30" s="2">
        <v>11124</v>
      </c>
      <c r="G30" s="2"/>
      <c r="H30" s="2"/>
    </row>
    <row r="31" spans="1:8">
      <c r="A31" t="s">
        <v>145</v>
      </c>
      <c r="B31" s="1">
        <v>43009</v>
      </c>
      <c r="C31" s="2">
        <v>0</v>
      </c>
      <c r="D31" s="2">
        <v>29220</v>
      </c>
      <c r="E31" t="s">
        <v>25</v>
      </c>
      <c r="F31" s="2">
        <v>29220</v>
      </c>
      <c r="G31" s="2"/>
      <c r="H31" s="2"/>
    </row>
    <row r="32" spans="1:8">
      <c r="A32" t="s">
        <v>146</v>
      </c>
      <c r="B32" s="1">
        <v>43009</v>
      </c>
      <c r="C32" s="2">
        <v>0</v>
      </c>
      <c r="D32" s="2">
        <v>3456</v>
      </c>
      <c r="E32" t="s">
        <v>72</v>
      </c>
      <c r="F32" s="2">
        <v>3456</v>
      </c>
      <c r="G32" s="2"/>
      <c r="H32" s="2"/>
    </row>
    <row r="33" spans="1:8">
      <c r="A33" t="s">
        <v>145</v>
      </c>
      <c r="B33" s="1">
        <v>43040</v>
      </c>
      <c r="C33" s="2">
        <v>29220</v>
      </c>
      <c r="D33" s="2">
        <v>20820</v>
      </c>
      <c r="E33" t="s">
        <v>14</v>
      </c>
      <c r="F33" s="2">
        <v>-8400</v>
      </c>
      <c r="G33" s="2"/>
      <c r="H33" s="2"/>
    </row>
    <row r="34" spans="1:8">
      <c r="A34" t="s">
        <v>140</v>
      </c>
      <c r="B34" s="1">
        <v>43040</v>
      </c>
      <c r="C34" s="2">
        <v>1728</v>
      </c>
      <c r="D34" s="2">
        <v>0</v>
      </c>
      <c r="E34" t="s">
        <v>76</v>
      </c>
      <c r="F34" s="2">
        <v>-1728</v>
      </c>
      <c r="G34" s="2"/>
      <c r="H34" s="2"/>
    </row>
    <row r="35" spans="1:8">
      <c r="A35" t="s">
        <v>139</v>
      </c>
      <c r="B35" s="1">
        <v>43040</v>
      </c>
      <c r="C35" s="2">
        <v>1440</v>
      </c>
      <c r="D35" s="2">
        <v>0</v>
      </c>
      <c r="E35" t="s">
        <v>77</v>
      </c>
      <c r="F35" s="2">
        <v>-1440</v>
      </c>
      <c r="G35" s="2"/>
      <c r="H35" s="2"/>
    </row>
    <row r="36" spans="1:8">
      <c r="A36" t="s">
        <v>141</v>
      </c>
      <c r="B36" s="1">
        <v>43040</v>
      </c>
      <c r="C36" s="2">
        <v>2016</v>
      </c>
      <c r="D36" s="2">
        <v>1440</v>
      </c>
      <c r="E36" t="s">
        <v>14</v>
      </c>
      <c r="F36" s="2">
        <v>-576</v>
      </c>
      <c r="G36" s="2"/>
      <c r="H36" s="2"/>
    </row>
    <row r="37" spans="1:8">
      <c r="A37" t="s">
        <v>123</v>
      </c>
      <c r="B37" s="1">
        <v>43040</v>
      </c>
      <c r="C37" s="2">
        <v>1440</v>
      </c>
      <c r="D37" s="2">
        <v>1440</v>
      </c>
      <c r="E37" t="s">
        <v>73</v>
      </c>
      <c r="F37" s="2">
        <v>0</v>
      </c>
      <c r="G37" s="2"/>
      <c r="H37" s="2"/>
    </row>
    <row r="38" spans="1:8">
      <c r="A38" t="s">
        <v>124</v>
      </c>
      <c r="B38" s="1">
        <v>43040</v>
      </c>
      <c r="C38" s="2">
        <v>1440</v>
      </c>
      <c r="D38" s="2">
        <v>1440</v>
      </c>
      <c r="E38" t="s">
        <v>73</v>
      </c>
      <c r="F38" s="2">
        <v>0</v>
      </c>
      <c r="G38" s="2"/>
      <c r="H38" s="2"/>
    </row>
    <row r="39" spans="1:8">
      <c r="A39" t="s">
        <v>125</v>
      </c>
      <c r="B39" s="1">
        <v>43040</v>
      </c>
      <c r="C39" s="2">
        <v>1440</v>
      </c>
      <c r="D39" s="2">
        <v>1440</v>
      </c>
      <c r="E39" t="s">
        <v>73</v>
      </c>
      <c r="F39" s="2">
        <v>0</v>
      </c>
      <c r="G39" s="2"/>
      <c r="H39" s="2"/>
    </row>
    <row r="40" spans="1:8">
      <c r="A40" t="s">
        <v>126</v>
      </c>
      <c r="B40" s="1">
        <v>43040</v>
      </c>
      <c r="C40" s="2">
        <v>1440</v>
      </c>
      <c r="D40" s="2">
        <v>1440</v>
      </c>
      <c r="E40" t="s">
        <v>73</v>
      </c>
      <c r="F40" s="2">
        <v>0</v>
      </c>
      <c r="G40" s="2"/>
      <c r="H40" s="2"/>
    </row>
    <row r="41" spans="1:8">
      <c r="A41" t="s">
        <v>127</v>
      </c>
      <c r="B41" s="1">
        <v>43040</v>
      </c>
      <c r="C41" s="2">
        <v>1440</v>
      </c>
      <c r="D41" s="2">
        <v>1440</v>
      </c>
      <c r="E41" t="s">
        <v>73</v>
      </c>
      <c r="F41" s="2">
        <v>0</v>
      </c>
      <c r="G41" s="2"/>
      <c r="H41" s="2"/>
    </row>
    <row r="42" spans="1:8">
      <c r="A42" t="s">
        <v>129</v>
      </c>
      <c r="B42" s="1">
        <v>43040</v>
      </c>
      <c r="C42" s="2">
        <v>1440</v>
      </c>
      <c r="D42" s="2">
        <v>1440</v>
      </c>
      <c r="E42" t="s">
        <v>73</v>
      </c>
      <c r="F42" s="2">
        <v>0</v>
      </c>
      <c r="G42" s="2"/>
      <c r="H42" s="2"/>
    </row>
    <row r="43" spans="1:8">
      <c r="A43" t="s">
        <v>132</v>
      </c>
      <c r="B43" s="1">
        <v>43040</v>
      </c>
      <c r="C43" s="2">
        <v>1440</v>
      </c>
      <c r="D43" s="2">
        <v>1440</v>
      </c>
      <c r="E43" t="s">
        <v>73</v>
      </c>
      <c r="F43" s="2">
        <v>0</v>
      </c>
      <c r="G43" s="2"/>
      <c r="H43" s="2"/>
    </row>
    <row r="44" spans="1:8">
      <c r="A44" t="s">
        <v>133</v>
      </c>
      <c r="B44" s="1">
        <v>43040</v>
      </c>
      <c r="C44" s="2">
        <v>1440</v>
      </c>
      <c r="D44" s="2">
        <v>1440</v>
      </c>
      <c r="E44" t="s">
        <v>73</v>
      </c>
      <c r="F44" s="2">
        <v>0</v>
      </c>
      <c r="G44" s="2"/>
      <c r="H44" s="2"/>
    </row>
    <row r="45" spans="1:8">
      <c r="A45" t="s">
        <v>134</v>
      </c>
      <c r="B45" s="1">
        <v>43040</v>
      </c>
      <c r="C45" s="2">
        <v>1440</v>
      </c>
      <c r="D45" s="2">
        <v>1440</v>
      </c>
      <c r="E45" t="s">
        <v>73</v>
      </c>
      <c r="F45" s="2">
        <v>0</v>
      </c>
      <c r="G45" s="2"/>
      <c r="H45" s="2"/>
    </row>
    <row r="46" spans="1:8">
      <c r="A46" t="s">
        <v>135</v>
      </c>
      <c r="B46" s="1">
        <v>43040</v>
      </c>
      <c r="C46" s="2">
        <v>1440</v>
      </c>
      <c r="D46" s="2">
        <v>1440</v>
      </c>
      <c r="E46" t="s">
        <v>73</v>
      </c>
      <c r="F46" s="2">
        <v>0</v>
      </c>
      <c r="G46" s="2"/>
      <c r="H46" s="2"/>
    </row>
    <row r="47" spans="1:8">
      <c r="A47" t="s">
        <v>136</v>
      </c>
      <c r="B47" s="1">
        <v>43040</v>
      </c>
      <c r="C47" s="2">
        <v>1440</v>
      </c>
      <c r="D47" s="2">
        <v>1440</v>
      </c>
      <c r="E47" t="s">
        <v>73</v>
      </c>
      <c r="F47" s="2">
        <v>0</v>
      </c>
      <c r="G47" s="2"/>
      <c r="H47" s="2"/>
    </row>
    <row r="48" spans="1:8">
      <c r="A48" t="s">
        <v>137</v>
      </c>
      <c r="B48" s="1">
        <v>43040</v>
      </c>
      <c r="C48" s="2">
        <v>1440</v>
      </c>
      <c r="D48" s="2">
        <v>1440</v>
      </c>
      <c r="E48" t="s">
        <v>73</v>
      </c>
      <c r="F48" s="2">
        <v>0</v>
      </c>
      <c r="G48" s="2"/>
      <c r="H48" s="2"/>
    </row>
    <row r="49" spans="1:8">
      <c r="A49" t="s">
        <v>138</v>
      </c>
      <c r="B49" s="1">
        <v>43040</v>
      </c>
      <c r="C49" s="2">
        <v>1440</v>
      </c>
      <c r="D49" s="2">
        <v>1440</v>
      </c>
      <c r="E49" t="s">
        <v>73</v>
      </c>
      <c r="F49" s="2">
        <v>0</v>
      </c>
      <c r="G49" s="2"/>
      <c r="H49" s="2"/>
    </row>
    <row r="50" spans="1:8">
      <c r="A50" t="s">
        <v>147</v>
      </c>
      <c r="B50" s="1">
        <v>43040</v>
      </c>
      <c r="C50" s="2">
        <v>1200</v>
      </c>
      <c r="D50" s="2">
        <v>1200</v>
      </c>
      <c r="E50" t="s">
        <v>73</v>
      </c>
      <c r="F50" s="2">
        <v>0</v>
      </c>
      <c r="G50" s="2"/>
      <c r="H50" s="2"/>
    </row>
    <row r="51" spans="1:8">
      <c r="A51" t="s">
        <v>148</v>
      </c>
      <c r="B51" s="1">
        <v>43040</v>
      </c>
      <c r="C51" s="2">
        <v>1200</v>
      </c>
      <c r="D51" s="2">
        <v>1200</v>
      </c>
      <c r="E51" t="s">
        <v>73</v>
      </c>
      <c r="F51" s="2">
        <v>0</v>
      </c>
      <c r="G51" s="2"/>
      <c r="H51" s="2"/>
    </row>
    <row r="52" spans="1:8">
      <c r="A52" t="s">
        <v>120</v>
      </c>
      <c r="B52" s="1">
        <v>43040</v>
      </c>
      <c r="C52" s="2">
        <v>1200</v>
      </c>
      <c r="D52" s="2">
        <v>1200</v>
      </c>
      <c r="E52" t="s">
        <v>73</v>
      </c>
      <c r="F52" s="2">
        <v>0</v>
      </c>
      <c r="G52" s="2"/>
      <c r="H52" s="2"/>
    </row>
    <row r="53" spans="1:8">
      <c r="A53" t="s">
        <v>121</v>
      </c>
      <c r="B53" s="1">
        <v>43040</v>
      </c>
      <c r="C53" s="2">
        <v>1200</v>
      </c>
      <c r="D53" s="2">
        <v>1200</v>
      </c>
      <c r="E53" t="s">
        <v>73</v>
      </c>
      <c r="F53" s="2">
        <v>0</v>
      </c>
      <c r="G53" s="2"/>
      <c r="H53" s="2"/>
    </row>
    <row r="54" spans="1:8">
      <c r="A54" t="s">
        <v>149</v>
      </c>
      <c r="B54" s="1">
        <v>43040</v>
      </c>
      <c r="C54" s="2">
        <v>1200</v>
      </c>
      <c r="D54" s="2">
        <v>1200</v>
      </c>
      <c r="E54" t="s">
        <v>73</v>
      </c>
      <c r="F54" s="2">
        <v>0</v>
      </c>
      <c r="G54" s="2"/>
      <c r="H54" s="2"/>
    </row>
    <row r="55" spans="1:8">
      <c r="A55" t="s">
        <v>150</v>
      </c>
      <c r="B55" s="1">
        <v>43040</v>
      </c>
      <c r="C55" s="2">
        <v>1200</v>
      </c>
      <c r="D55" s="2">
        <v>1200</v>
      </c>
      <c r="E55" t="s">
        <v>73</v>
      </c>
      <c r="F55" s="2">
        <v>0</v>
      </c>
      <c r="G55" s="2"/>
      <c r="H55" s="2"/>
    </row>
    <row r="56" spans="1:8">
      <c r="A56" t="s">
        <v>122</v>
      </c>
      <c r="B56" s="1">
        <v>43040</v>
      </c>
      <c r="C56" s="2">
        <v>1200</v>
      </c>
      <c r="D56" s="2">
        <v>1200</v>
      </c>
      <c r="E56" t="s">
        <v>73</v>
      </c>
      <c r="F56" s="2">
        <v>0</v>
      </c>
      <c r="G56" s="2"/>
      <c r="H56" s="2"/>
    </row>
    <row r="57" spans="1:8">
      <c r="A57" t="s">
        <v>151</v>
      </c>
      <c r="B57" s="1">
        <v>43040</v>
      </c>
      <c r="C57" s="2">
        <v>1200</v>
      </c>
      <c r="D57" s="2">
        <v>1200</v>
      </c>
      <c r="E57" t="s">
        <v>73</v>
      </c>
      <c r="F57" s="2">
        <v>0</v>
      </c>
      <c r="G57" s="2"/>
      <c r="H57" s="2"/>
    </row>
    <row r="58" spans="1:8">
      <c r="A58" t="s">
        <v>118</v>
      </c>
      <c r="B58" s="1">
        <v>43040</v>
      </c>
      <c r="C58" s="2">
        <v>1200</v>
      </c>
      <c r="D58" s="2">
        <v>1200</v>
      </c>
      <c r="E58" t="s">
        <v>73</v>
      </c>
      <c r="F58" s="2">
        <v>0</v>
      </c>
      <c r="G58" s="2"/>
      <c r="H58" s="2"/>
    </row>
    <row r="59" spans="1:8">
      <c r="A59" t="s">
        <v>142</v>
      </c>
      <c r="B59" s="1">
        <v>43040</v>
      </c>
      <c r="C59" s="2">
        <v>2880</v>
      </c>
      <c r="D59" s="2">
        <v>3168</v>
      </c>
      <c r="E59" t="s">
        <v>12</v>
      </c>
      <c r="F59" s="2">
        <v>288</v>
      </c>
      <c r="G59" s="2"/>
      <c r="H59" s="2"/>
    </row>
    <row r="60" spans="1:8">
      <c r="A60" t="s">
        <v>130</v>
      </c>
      <c r="B60" s="1">
        <v>43040</v>
      </c>
      <c r="C60" s="2">
        <v>1440</v>
      </c>
      <c r="D60" s="2">
        <v>2016</v>
      </c>
      <c r="E60" t="s">
        <v>12</v>
      </c>
      <c r="F60" s="2">
        <v>576</v>
      </c>
      <c r="G60" s="2"/>
      <c r="H60" s="2"/>
    </row>
    <row r="61" spans="1:8">
      <c r="A61" t="s">
        <v>146</v>
      </c>
      <c r="B61" s="1">
        <v>43040</v>
      </c>
      <c r="C61" s="2">
        <v>3456</v>
      </c>
      <c r="D61" s="2">
        <v>4524</v>
      </c>
      <c r="E61" t="s">
        <v>12</v>
      </c>
      <c r="F61" s="2">
        <v>1068</v>
      </c>
      <c r="G61" s="2"/>
      <c r="H61" s="2"/>
    </row>
    <row r="62" spans="1:8">
      <c r="A62" t="s">
        <v>152</v>
      </c>
      <c r="B62" s="1">
        <v>43040</v>
      </c>
      <c r="C62" s="2">
        <v>0</v>
      </c>
      <c r="D62" s="2">
        <v>1200</v>
      </c>
      <c r="E62" t="s">
        <v>25</v>
      </c>
      <c r="F62" s="2">
        <v>1200</v>
      </c>
      <c r="G62" s="2"/>
      <c r="H62" s="2"/>
    </row>
    <row r="63" spans="1:8">
      <c r="A63" t="s">
        <v>153</v>
      </c>
      <c r="B63" s="1">
        <v>43040</v>
      </c>
      <c r="C63" s="2">
        <v>0</v>
      </c>
      <c r="D63" s="2">
        <v>1200</v>
      </c>
      <c r="E63" t="s">
        <v>25</v>
      </c>
      <c r="F63" s="2">
        <v>1200</v>
      </c>
      <c r="G63" s="2"/>
      <c r="H63" s="2"/>
    </row>
    <row r="64" spans="1:8">
      <c r="A64" t="s">
        <v>154</v>
      </c>
      <c r="B64" s="1">
        <v>43040</v>
      </c>
      <c r="C64" s="2">
        <v>0</v>
      </c>
      <c r="D64" s="2">
        <v>1200</v>
      </c>
      <c r="E64" t="s">
        <v>25</v>
      </c>
      <c r="F64" s="2">
        <v>1200</v>
      </c>
      <c r="G64" s="2"/>
      <c r="H64" s="2"/>
    </row>
    <row r="65" spans="1:8">
      <c r="A65" t="s">
        <v>155</v>
      </c>
      <c r="B65" s="1">
        <v>43040</v>
      </c>
      <c r="C65" s="2">
        <v>0</v>
      </c>
      <c r="D65" s="2">
        <v>1440</v>
      </c>
      <c r="E65" t="s">
        <v>25</v>
      </c>
      <c r="F65" s="2">
        <v>1440</v>
      </c>
      <c r="G65" s="2"/>
      <c r="H65" s="2"/>
    </row>
    <row r="66" spans="1:8">
      <c r="A66" t="s">
        <v>156</v>
      </c>
      <c r="B66" s="1">
        <v>43040</v>
      </c>
      <c r="C66" s="2">
        <v>0</v>
      </c>
      <c r="D66" s="2">
        <v>1440</v>
      </c>
      <c r="E66" t="s">
        <v>25</v>
      </c>
      <c r="F66" s="2">
        <v>1440</v>
      </c>
      <c r="G66" s="2"/>
      <c r="H66" s="2"/>
    </row>
    <row r="67" spans="1:8">
      <c r="A67" t="s">
        <v>157</v>
      </c>
      <c r="B67" s="1">
        <v>43040</v>
      </c>
      <c r="C67" s="2">
        <v>0</v>
      </c>
      <c r="D67" s="2">
        <v>1440</v>
      </c>
      <c r="E67" t="s">
        <v>25</v>
      </c>
      <c r="F67" s="2">
        <v>1440</v>
      </c>
      <c r="G67" s="2"/>
      <c r="H67" s="2"/>
    </row>
    <row r="68" spans="1:8">
      <c r="A68" t="s">
        <v>158</v>
      </c>
      <c r="B68" s="1">
        <v>43040</v>
      </c>
      <c r="C68" s="2">
        <v>0</v>
      </c>
      <c r="D68" s="2">
        <v>1440</v>
      </c>
      <c r="E68" t="s">
        <v>25</v>
      </c>
      <c r="F68" s="2">
        <v>1440</v>
      </c>
      <c r="G68" s="2"/>
      <c r="H68" s="2"/>
    </row>
    <row r="69" spans="1:8">
      <c r="A69" t="s">
        <v>159</v>
      </c>
      <c r="B69" s="1">
        <v>43040</v>
      </c>
      <c r="C69" s="2">
        <v>0</v>
      </c>
      <c r="D69" s="2">
        <v>1440</v>
      </c>
      <c r="E69" t="s">
        <v>25</v>
      </c>
      <c r="F69" s="2">
        <v>1440</v>
      </c>
      <c r="G69" s="2"/>
      <c r="H69" s="2"/>
    </row>
    <row r="70" spans="1:8">
      <c r="A70" t="s">
        <v>160</v>
      </c>
      <c r="B70" s="1">
        <v>43040</v>
      </c>
      <c r="C70" s="2">
        <v>0</v>
      </c>
      <c r="D70" s="2">
        <v>1440</v>
      </c>
      <c r="E70" t="s">
        <v>25</v>
      </c>
      <c r="F70" s="2">
        <v>1440</v>
      </c>
      <c r="G70" s="2"/>
      <c r="H70" s="2"/>
    </row>
    <row r="71" spans="1:8">
      <c r="A71" t="s">
        <v>161</v>
      </c>
      <c r="B71" s="1">
        <v>43040</v>
      </c>
      <c r="C71" s="2">
        <v>0</v>
      </c>
      <c r="D71" s="2">
        <v>1440</v>
      </c>
      <c r="E71" t="s">
        <v>25</v>
      </c>
      <c r="F71" s="2">
        <v>1440</v>
      </c>
      <c r="G71" s="2"/>
      <c r="H71" s="2"/>
    </row>
    <row r="72" spans="1:8">
      <c r="A72" t="s">
        <v>162</v>
      </c>
      <c r="B72" s="1">
        <v>43040</v>
      </c>
      <c r="C72" s="2">
        <v>0</v>
      </c>
      <c r="D72" s="2">
        <v>1440</v>
      </c>
      <c r="E72" t="s">
        <v>25</v>
      </c>
      <c r="F72" s="2">
        <v>1440</v>
      </c>
      <c r="G72" s="2"/>
      <c r="H72" s="2"/>
    </row>
    <row r="73" spans="1:8">
      <c r="A73" t="s">
        <v>163</v>
      </c>
      <c r="B73" s="1">
        <v>43040</v>
      </c>
      <c r="C73" s="2">
        <v>0</v>
      </c>
      <c r="D73" s="2">
        <v>1440</v>
      </c>
      <c r="E73" t="s">
        <v>25</v>
      </c>
      <c r="F73" s="2">
        <v>1440</v>
      </c>
      <c r="G73" s="2"/>
      <c r="H73" s="2"/>
    </row>
    <row r="74" spans="1:8">
      <c r="A74" t="s">
        <v>164</v>
      </c>
      <c r="B74" s="1">
        <v>43040</v>
      </c>
      <c r="C74" s="2">
        <v>0</v>
      </c>
      <c r="D74" s="2">
        <v>1440</v>
      </c>
      <c r="E74" t="s">
        <v>25</v>
      </c>
      <c r="F74" s="2">
        <v>1440</v>
      </c>
      <c r="G74" s="2"/>
      <c r="H74" s="2"/>
    </row>
    <row r="75" spans="1:8">
      <c r="A75" t="s">
        <v>165</v>
      </c>
      <c r="B75" s="1">
        <v>43040</v>
      </c>
      <c r="C75" s="2">
        <v>0</v>
      </c>
      <c r="D75" s="2">
        <v>1440</v>
      </c>
      <c r="E75" t="s">
        <v>25</v>
      </c>
      <c r="F75" s="2">
        <v>1440</v>
      </c>
      <c r="G75" s="2"/>
      <c r="H75" s="2"/>
    </row>
    <row r="76" spans="1:8">
      <c r="A76" t="s">
        <v>166</v>
      </c>
      <c r="B76" s="1">
        <v>43040</v>
      </c>
      <c r="C76" s="2">
        <v>0</v>
      </c>
      <c r="D76" s="2">
        <v>1440</v>
      </c>
      <c r="E76" t="s">
        <v>25</v>
      </c>
      <c r="F76" s="2">
        <v>1440</v>
      </c>
      <c r="G76" s="2"/>
      <c r="H76" s="2"/>
    </row>
    <row r="77" spans="1:8">
      <c r="A77" t="s">
        <v>167</v>
      </c>
      <c r="B77" s="1">
        <v>43040</v>
      </c>
      <c r="C77" s="2">
        <v>0</v>
      </c>
      <c r="D77" s="2">
        <v>1440</v>
      </c>
      <c r="E77" t="s">
        <v>25</v>
      </c>
      <c r="F77" s="2">
        <v>1440</v>
      </c>
      <c r="G77" s="2"/>
      <c r="H77" s="2"/>
    </row>
    <row r="78" spans="1:8">
      <c r="A78" t="s">
        <v>168</v>
      </c>
      <c r="B78" s="1">
        <v>43040</v>
      </c>
      <c r="C78" s="2">
        <v>0</v>
      </c>
      <c r="D78" s="2">
        <v>1440</v>
      </c>
      <c r="E78" t="s">
        <v>25</v>
      </c>
      <c r="F78" s="2">
        <v>1440</v>
      </c>
      <c r="G78" s="2"/>
      <c r="H78" s="2"/>
    </row>
    <row r="79" spans="1:8">
      <c r="A79" t="s">
        <v>169</v>
      </c>
      <c r="B79" s="1">
        <v>43040</v>
      </c>
      <c r="C79" s="2">
        <v>0</v>
      </c>
      <c r="D79" s="2">
        <v>1440</v>
      </c>
      <c r="E79" t="s">
        <v>25</v>
      </c>
      <c r="F79" s="2">
        <v>1440</v>
      </c>
      <c r="G79" s="2"/>
      <c r="H79" s="2"/>
    </row>
    <row r="80" spans="1:8">
      <c r="A80" t="s">
        <v>170</v>
      </c>
      <c r="B80" s="1">
        <v>43040</v>
      </c>
      <c r="C80" s="2">
        <v>0</v>
      </c>
      <c r="D80" s="2">
        <v>1440</v>
      </c>
      <c r="E80" t="s">
        <v>25</v>
      </c>
      <c r="F80" s="2">
        <v>1440</v>
      </c>
      <c r="G80" s="2"/>
      <c r="H80" s="2"/>
    </row>
    <row r="81" spans="1:8">
      <c r="A81" t="s">
        <v>171</v>
      </c>
      <c r="B81" s="1">
        <v>43040</v>
      </c>
      <c r="C81" s="2">
        <v>0</v>
      </c>
      <c r="D81" s="2">
        <v>1440</v>
      </c>
      <c r="E81" t="s">
        <v>25</v>
      </c>
      <c r="F81" s="2">
        <v>1440</v>
      </c>
      <c r="G81" s="2"/>
      <c r="H81" s="2"/>
    </row>
    <row r="82" spans="1:8">
      <c r="A82" t="s">
        <v>172</v>
      </c>
      <c r="B82" s="1">
        <v>43040</v>
      </c>
      <c r="C82" s="2">
        <v>0</v>
      </c>
      <c r="D82" s="2">
        <v>1440</v>
      </c>
      <c r="E82" t="s">
        <v>25</v>
      </c>
      <c r="F82" s="2">
        <v>1440</v>
      </c>
      <c r="G82" s="2"/>
      <c r="H82" s="2"/>
    </row>
    <row r="83" spans="1:8">
      <c r="A83" t="s">
        <v>173</v>
      </c>
      <c r="B83" s="1">
        <v>43040</v>
      </c>
      <c r="C83" s="2">
        <v>0</v>
      </c>
      <c r="D83" s="2">
        <v>1440</v>
      </c>
      <c r="E83" t="s">
        <v>25</v>
      </c>
      <c r="F83" s="2">
        <v>1440</v>
      </c>
      <c r="G83" s="2"/>
      <c r="H83" s="2"/>
    </row>
    <row r="84" spans="1:8">
      <c r="A84" t="s">
        <v>174</v>
      </c>
      <c r="B84" s="1">
        <v>43040</v>
      </c>
      <c r="C84" s="2">
        <v>0</v>
      </c>
      <c r="D84" s="2">
        <v>1440</v>
      </c>
      <c r="E84" t="s">
        <v>25</v>
      </c>
      <c r="F84" s="2">
        <v>1440</v>
      </c>
      <c r="G84" s="2"/>
      <c r="H84" s="2"/>
    </row>
    <row r="85" spans="1:8">
      <c r="A85" t="s">
        <v>175</v>
      </c>
      <c r="B85" s="1">
        <v>43040</v>
      </c>
      <c r="C85" s="2">
        <v>0</v>
      </c>
      <c r="D85" s="2">
        <v>1440</v>
      </c>
      <c r="E85" t="s">
        <v>25</v>
      </c>
      <c r="F85" s="2">
        <v>1440</v>
      </c>
      <c r="G85" s="2"/>
      <c r="H85" s="2"/>
    </row>
    <row r="86" spans="1:8">
      <c r="A86" t="s">
        <v>176</v>
      </c>
      <c r="B86" s="1">
        <v>43040</v>
      </c>
      <c r="C86" s="2">
        <v>0</v>
      </c>
      <c r="D86" s="2">
        <v>1440</v>
      </c>
      <c r="E86" t="s">
        <v>25</v>
      </c>
      <c r="F86" s="2">
        <v>1440</v>
      </c>
      <c r="G86" s="2"/>
      <c r="H86" s="2"/>
    </row>
    <row r="87" spans="1:8">
      <c r="A87" t="s">
        <v>177</v>
      </c>
      <c r="B87" s="1">
        <v>43040</v>
      </c>
      <c r="C87" s="2">
        <v>0</v>
      </c>
      <c r="D87" s="2">
        <v>1440</v>
      </c>
      <c r="E87" t="s">
        <v>25</v>
      </c>
      <c r="F87" s="2">
        <v>1440</v>
      </c>
      <c r="G87" s="2"/>
      <c r="H87" s="2"/>
    </row>
    <row r="88" spans="1:8">
      <c r="A88" t="s">
        <v>178</v>
      </c>
      <c r="B88" s="1">
        <v>43040</v>
      </c>
      <c r="C88" s="2">
        <v>0</v>
      </c>
      <c r="D88" s="2">
        <v>1440</v>
      </c>
      <c r="E88" t="s">
        <v>25</v>
      </c>
      <c r="F88" s="2">
        <v>1440</v>
      </c>
      <c r="G88" s="2"/>
      <c r="H88" s="2"/>
    </row>
    <row r="89" spans="1:8">
      <c r="A89" t="s">
        <v>179</v>
      </c>
      <c r="B89" s="1">
        <v>43040</v>
      </c>
      <c r="C89" s="2">
        <v>0</v>
      </c>
      <c r="D89" s="2">
        <v>1440</v>
      </c>
      <c r="E89" t="s">
        <v>25</v>
      </c>
      <c r="F89" s="2">
        <v>1440</v>
      </c>
      <c r="G89" s="2"/>
      <c r="H89" s="2"/>
    </row>
    <row r="90" spans="1:8">
      <c r="A90" t="s">
        <v>180</v>
      </c>
      <c r="B90" s="1">
        <v>43040</v>
      </c>
      <c r="C90" s="2">
        <v>0</v>
      </c>
      <c r="D90" s="2">
        <v>1440</v>
      </c>
      <c r="E90" t="s">
        <v>25</v>
      </c>
      <c r="F90" s="2">
        <v>1440</v>
      </c>
      <c r="G90" s="2"/>
      <c r="H90" s="2"/>
    </row>
    <row r="91" spans="1:8">
      <c r="A91" t="s">
        <v>181</v>
      </c>
      <c r="B91" s="1">
        <v>43040</v>
      </c>
      <c r="C91" s="2">
        <v>0</v>
      </c>
      <c r="D91" s="2">
        <v>1440</v>
      </c>
      <c r="E91" t="s">
        <v>25</v>
      </c>
      <c r="F91" s="2">
        <v>1440</v>
      </c>
      <c r="G91" s="2"/>
      <c r="H91" s="2"/>
    </row>
    <row r="92" spans="1:8">
      <c r="A92" t="s">
        <v>182</v>
      </c>
      <c r="B92" s="1">
        <v>43040</v>
      </c>
      <c r="C92" s="2">
        <v>0</v>
      </c>
      <c r="D92" s="2">
        <v>1440</v>
      </c>
      <c r="E92" t="s">
        <v>25</v>
      </c>
      <c r="F92" s="2">
        <v>1440</v>
      </c>
      <c r="G92" s="2"/>
      <c r="H92" s="2"/>
    </row>
    <row r="93" spans="1:8">
      <c r="A93" t="s">
        <v>183</v>
      </c>
      <c r="B93" s="1">
        <v>43040</v>
      </c>
      <c r="C93" s="2">
        <v>0</v>
      </c>
      <c r="D93" s="2">
        <v>1440</v>
      </c>
      <c r="E93" t="s">
        <v>25</v>
      </c>
      <c r="F93" s="2">
        <v>1440</v>
      </c>
      <c r="G93" s="2"/>
      <c r="H93" s="2"/>
    </row>
    <row r="94" spans="1:8">
      <c r="A94" t="s">
        <v>184</v>
      </c>
      <c r="B94" s="1">
        <v>43040</v>
      </c>
      <c r="C94" s="2">
        <v>0</v>
      </c>
      <c r="D94" s="2">
        <v>1440</v>
      </c>
      <c r="E94" t="s">
        <v>25</v>
      </c>
      <c r="F94" s="2">
        <v>1440</v>
      </c>
      <c r="G94" s="2"/>
      <c r="H94" s="2"/>
    </row>
    <row r="95" spans="1:8">
      <c r="A95" t="s">
        <v>185</v>
      </c>
      <c r="B95" s="1">
        <v>43040</v>
      </c>
      <c r="C95" s="2">
        <v>0</v>
      </c>
      <c r="D95" s="2">
        <v>1440</v>
      </c>
      <c r="E95" t="s">
        <v>25</v>
      </c>
      <c r="F95" s="2">
        <v>1440</v>
      </c>
      <c r="G95" s="2"/>
      <c r="H95" s="2"/>
    </row>
    <row r="96" spans="1:8">
      <c r="A96" t="s">
        <v>186</v>
      </c>
      <c r="B96" s="1">
        <v>43040</v>
      </c>
      <c r="C96" s="2">
        <v>0</v>
      </c>
      <c r="D96" s="2">
        <v>1440</v>
      </c>
      <c r="E96" t="s">
        <v>25</v>
      </c>
      <c r="F96" s="2">
        <v>1440</v>
      </c>
      <c r="G96" s="2"/>
      <c r="H96" s="2"/>
    </row>
    <row r="97" spans="1:8">
      <c r="A97" t="s">
        <v>187</v>
      </c>
      <c r="B97" s="1">
        <v>43040</v>
      </c>
      <c r="C97" s="2">
        <v>0</v>
      </c>
      <c r="D97" s="2">
        <v>1440</v>
      </c>
      <c r="E97" t="s">
        <v>25</v>
      </c>
      <c r="F97" s="2">
        <v>1440</v>
      </c>
      <c r="G97" s="2"/>
      <c r="H97" s="2"/>
    </row>
    <row r="98" spans="1:8">
      <c r="A98" t="s">
        <v>188</v>
      </c>
      <c r="B98" s="1">
        <v>43040</v>
      </c>
      <c r="C98" s="2">
        <v>0</v>
      </c>
      <c r="D98" s="2">
        <v>1440</v>
      </c>
      <c r="E98" t="s">
        <v>25</v>
      </c>
      <c r="F98" s="2">
        <v>1440</v>
      </c>
      <c r="G98" s="2"/>
      <c r="H98" s="2"/>
    </row>
    <row r="99" spans="1:8">
      <c r="A99" t="s">
        <v>189</v>
      </c>
      <c r="B99" s="1">
        <v>43040</v>
      </c>
      <c r="C99" s="2">
        <v>0</v>
      </c>
      <c r="D99" s="2">
        <v>1440</v>
      </c>
      <c r="E99" t="s">
        <v>25</v>
      </c>
      <c r="F99" s="2">
        <v>1440</v>
      </c>
      <c r="G99" s="2"/>
      <c r="H99" s="2"/>
    </row>
    <row r="100" spans="1:8">
      <c r="A100" t="s">
        <v>190</v>
      </c>
      <c r="B100" s="1">
        <v>43040</v>
      </c>
      <c r="C100" s="2">
        <v>0</v>
      </c>
      <c r="D100" s="2">
        <v>1440</v>
      </c>
      <c r="E100" t="s">
        <v>25</v>
      </c>
      <c r="F100" s="2">
        <v>1440</v>
      </c>
      <c r="G100" s="2"/>
      <c r="H100" s="2"/>
    </row>
    <row r="101" spans="1:8">
      <c r="A101" t="s">
        <v>191</v>
      </c>
      <c r="B101" s="1">
        <v>43040</v>
      </c>
      <c r="C101" s="2">
        <v>0</v>
      </c>
      <c r="D101" s="2">
        <v>1440</v>
      </c>
      <c r="E101" t="s">
        <v>25</v>
      </c>
      <c r="F101" s="2">
        <v>1440</v>
      </c>
      <c r="G101" s="2"/>
      <c r="H101" s="2"/>
    </row>
    <row r="102" spans="1:8">
      <c r="A102" t="s">
        <v>192</v>
      </c>
      <c r="B102" s="1">
        <v>43040</v>
      </c>
      <c r="C102" s="2">
        <v>0</v>
      </c>
      <c r="D102" s="2">
        <v>1440</v>
      </c>
      <c r="E102" t="s">
        <v>25</v>
      </c>
      <c r="F102" s="2">
        <v>1440</v>
      </c>
      <c r="G102" s="2"/>
      <c r="H102" s="2"/>
    </row>
    <row r="103" spans="1:8">
      <c r="A103" t="s">
        <v>193</v>
      </c>
      <c r="B103" s="1">
        <v>43040</v>
      </c>
      <c r="C103" s="2">
        <v>0</v>
      </c>
      <c r="D103" s="2">
        <v>1440</v>
      </c>
      <c r="E103" t="s">
        <v>25</v>
      </c>
      <c r="F103" s="2">
        <v>1440</v>
      </c>
      <c r="G103" s="2"/>
      <c r="H103" s="2"/>
    </row>
    <row r="104" spans="1:8">
      <c r="A104" t="s">
        <v>194</v>
      </c>
      <c r="B104" s="1">
        <v>43040</v>
      </c>
      <c r="C104" s="2">
        <v>0</v>
      </c>
      <c r="D104" s="2">
        <v>1440</v>
      </c>
      <c r="E104" t="s">
        <v>25</v>
      </c>
      <c r="F104" s="2">
        <v>1440</v>
      </c>
      <c r="G104" s="2"/>
      <c r="H104" s="2"/>
    </row>
    <row r="105" spans="1:8">
      <c r="A105" t="s">
        <v>195</v>
      </c>
      <c r="B105" s="1">
        <v>43040</v>
      </c>
      <c r="C105" s="2">
        <v>0</v>
      </c>
      <c r="D105" s="2">
        <v>1440</v>
      </c>
      <c r="E105" t="s">
        <v>25</v>
      </c>
      <c r="F105" s="2">
        <v>1440</v>
      </c>
      <c r="G105" s="2"/>
      <c r="H105" s="2"/>
    </row>
    <row r="106" spans="1:8">
      <c r="A106" t="s">
        <v>196</v>
      </c>
      <c r="B106" s="1">
        <v>43040</v>
      </c>
      <c r="C106" s="2">
        <v>0</v>
      </c>
      <c r="D106" s="2">
        <v>1440</v>
      </c>
      <c r="E106" t="s">
        <v>25</v>
      </c>
      <c r="F106" s="2">
        <v>1440</v>
      </c>
      <c r="G106" s="2"/>
      <c r="H106" s="2"/>
    </row>
    <row r="107" spans="1:8">
      <c r="A107" t="s">
        <v>197</v>
      </c>
      <c r="B107" s="1">
        <v>43040</v>
      </c>
      <c r="C107" s="2">
        <v>0</v>
      </c>
      <c r="D107" s="2">
        <v>1440</v>
      </c>
      <c r="E107" t="s">
        <v>25</v>
      </c>
      <c r="F107" s="2">
        <v>1440</v>
      </c>
      <c r="G107" s="2"/>
      <c r="H107" s="2"/>
    </row>
    <row r="108" spans="1:8">
      <c r="A108" t="s">
        <v>198</v>
      </c>
      <c r="B108" s="1">
        <v>43040</v>
      </c>
      <c r="C108" s="2">
        <v>0</v>
      </c>
      <c r="D108" s="2">
        <v>2160</v>
      </c>
      <c r="E108" t="s">
        <v>25</v>
      </c>
      <c r="F108" s="2">
        <v>2160</v>
      </c>
      <c r="G108" s="2"/>
      <c r="H108" s="2"/>
    </row>
    <row r="109" spans="1:8">
      <c r="A109" t="s">
        <v>199</v>
      </c>
      <c r="B109" s="1">
        <v>43040</v>
      </c>
      <c r="C109" s="2">
        <v>0</v>
      </c>
      <c r="D109" s="2">
        <v>2304</v>
      </c>
      <c r="E109" t="s">
        <v>25</v>
      </c>
      <c r="F109" s="2">
        <v>2304</v>
      </c>
      <c r="G109" s="2"/>
      <c r="H109" s="2"/>
    </row>
    <row r="110" spans="1:8">
      <c r="A110" t="s">
        <v>200</v>
      </c>
      <c r="B110" s="1">
        <v>43040</v>
      </c>
      <c r="C110" s="2">
        <v>0</v>
      </c>
      <c r="D110" s="2">
        <v>3168</v>
      </c>
      <c r="E110" t="s">
        <v>25</v>
      </c>
      <c r="F110" s="2">
        <v>3168</v>
      </c>
      <c r="G110" s="2"/>
      <c r="H110" s="2"/>
    </row>
    <row r="111" spans="1:8">
      <c r="A111" t="s">
        <v>201</v>
      </c>
      <c r="B111" s="1">
        <v>43040</v>
      </c>
      <c r="C111" s="2">
        <v>0</v>
      </c>
      <c r="D111" s="2">
        <v>3864</v>
      </c>
      <c r="E111" t="s">
        <v>25</v>
      </c>
      <c r="F111" s="2">
        <v>3864</v>
      </c>
      <c r="G111" s="2"/>
      <c r="H111" s="2"/>
    </row>
    <row r="112" spans="1:8">
      <c r="A112" t="s">
        <v>202</v>
      </c>
      <c r="B112" s="1">
        <v>43040</v>
      </c>
      <c r="C112" s="2">
        <v>0</v>
      </c>
      <c r="D112" s="2">
        <v>4260</v>
      </c>
      <c r="E112" t="s">
        <v>25</v>
      </c>
      <c r="F112" s="2">
        <v>4260</v>
      </c>
      <c r="G112" s="2"/>
      <c r="H112" s="2"/>
    </row>
    <row r="113" spans="1:8">
      <c r="A113" t="s">
        <v>203</v>
      </c>
      <c r="B113" s="1">
        <v>43040</v>
      </c>
      <c r="C113" s="2">
        <v>0</v>
      </c>
      <c r="D113" s="2">
        <v>4788</v>
      </c>
      <c r="E113" t="s">
        <v>25</v>
      </c>
      <c r="F113" s="2">
        <v>4788</v>
      </c>
      <c r="G113" s="2"/>
      <c r="H113" s="2"/>
    </row>
    <row r="114" spans="1:8">
      <c r="A114" t="s">
        <v>204</v>
      </c>
      <c r="B114" s="1">
        <v>43040</v>
      </c>
      <c r="C114" s="2">
        <v>0</v>
      </c>
      <c r="D114" s="2">
        <v>5184</v>
      </c>
      <c r="E114" t="s">
        <v>25</v>
      </c>
      <c r="F114" s="2">
        <v>5184</v>
      </c>
      <c r="G114" s="2"/>
      <c r="H114" s="2"/>
    </row>
    <row r="115" spans="1:8">
      <c r="A115" t="s">
        <v>205</v>
      </c>
      <c r="B115" s="1">
        <v>43040</v>
      </c>
      <c r="C115" s="2">
        <v>0</v>
      </c>
      <c r="D115" s="2">
        <v>5580</v>
      </c>
      <c r="E115" t="s">
        <v>25</v>
      </c>
      <c r="F115" s="2">
        <v>5580</v>
      </c>
      <c r="G115" s="2"/>
      <c r="H115" s="2"/>
    </row>
    <row r="116" spans="1:8">
      <c r="A116" t="s">
        <v>206</v>
      </c>
      <c r="B116" s="1">
        <v>43040</v>
      </c>
      <c r="C116" s="2">
        <v>0</v>
      </c>
      <c r="D116" s="2">
        <v>8484</v>
      </c>
      <c r="E116" t="s">
        <v>25</v>
      </c>
      <c r="F116" s="2">
        <v>8484</v>
      </c>
      <c r="G116" s="2"/>
      <c r="H116" s="2"/>
    </row>
    <row r="117" spans="1:8">
      <c r="A117" t="s">
        <v>207</v>
      </c>
      <c r="B117" s="1">
        <v>43040</v>
      </c>
      <c r="C117" s="2">
        <v>0</v>
      </c>
      <c r="D117" s="2">
        <v>9408</v>
      </c>
      <c r="E117" t="s">
        <v>25</v>
      </c>
      <c r="F117" s="2">
        <v>9408</v>
      </c>
      <c r="G117" s="2"/>
      <c r="H117" s="2"/>
    </row>
    <row r="118" spans="1:8">
      <c r="A118" t="s">
        <v>208</v>
      </c>
      <c r="B118" s="1">
        <v>43040</v>
      </c>
      <c r="C118" s="2">
        <v>0</v>
      </c>
      <c r="D118" s="2">
        <v>14820</v>
      </c>
      <c r="E118" t="s">
        <v>25</v>
      </c>
      <c r="F118" s="2">
        <v>14820</v>
      </c>
      <c r="G118" s="2"/>
      <c r="H118" s="2"/>
    </row>
    <row r="119" spans="1:8">
      <c r="A119" t="s">
        <v>209</v>
      </c>
      <c r="B119" s="1">
        <v>43040</v>
      </c>
      <c r="C119" s="2">
        <v>0</v>
      </c>
      <c r="D119" s="2">
        <v>18540</v>
      </c>
      <c r="E119" t="s">
        <v>25</v>
      </c>
      <c r="F119" s="2">
        <v>18540</v>
      </c>
      <c r="G119" s="2"/>
      <c r="H119" s="2"/>
    </row>
    <row r="120" spans="1:8">
      <c r="A120" t="s">
        <v>210</v>
      </c>
      <c r="B120" s="1">
        <v>43040</v>
      </c>
      <c r="C120" s="2">
        <v>0</v>
      </c>
      <c r="D120" s="2">
        <v>28380</v>
      </c>
      <c r="E120" t="s">
        <v>25</v>
      </c>
      <c r="F120" s="2">
        <v>28380</v>
      </c>
      <c r="G120" s="2"/>
      <c r="H120" s="2"/>
    </row>
    <row r="121" spans="1:8">
      <c r="A121" t="s">
        <v>119</v>
      </c>
      <c r="B121" s="1">
        <v>43040</v>
      </c>
      <c r="C121" s="2">
        <v>0</v>
      </c>
      <c r="D121" s="2">
        <v>29100</v>
      </c>
      <c r="E121" t="s">
        <v>25</v>
      </c>
      <c r="F121" s="2">
        <v>29100</v>
      </c>
      <c r="G121" s="2"/>
      <c r="H121" s="2"/>
    </row>
    <row r="122" spans="1:8">
      <c r="A122" t="s">
        <v>211</v>
      </c>
      <c r="B122" s="1">
        <v>43040</v>
      </c>
      <c r="C122" s="2">
        <v>0</v>
      </c>
      <c r="D122" s="2">
        <v>48540</v>
      </c>
      <c r="E122" t="s">
        <v>25</v>
      </c>
      <c r="F122" s="2">
        <v>48540</v>
      </c>
      <c r="G122" s="2"/>
      <c r="H122" s="2"/>
    </row>
    <row r="123" spans="1:8">
      <c r="A123" t="s">
        <v>212</v>
      </c>
      <c r="B123" s="1">
        <v>43040</v>
      </c>
      <c r="C123" s="2">
        <v>0</v>
      </c>
      <c r="D123" s="2">
        <v>66672</v>
      </c>
      <c r="E123" t="s">
        <v>25</v>
      </c>
      <c r="F123" s="2">
        <v>66672</v>
      </c>
      <c r="G123" s="2"/>
      <c r="H123" s="2"/>
    </row>
    <row r="124" spans="1:8">
      <c r="A124" t="s">
        <v>213</v>
      </c>
      <c r="B124" s="1">
        <v>43040</v>
      </c>
      <c r="C124" s="2">
        <v>0</v>
      </c>
      <c r="D124" s="2">
        <v>1584</v>
      </c>
      <c r="E124" t="s">
        <v>72</v>
      </c>
      <c r="F124" s="2">
        <v>1584</v>
      </c>
      <c r="G124" s="2"/>
      <c r="H124" s="2"/>
    </row>
    <row r="125" spans="1:8">
      <c r="A125" t="s">
        <v>214</v>
      </c>
      <c r="B125" s="1">
        <v>43040</v>
      </c>
      <c r="C125" s="2">
        <v>0</v>
      </c>
      <c r="D125" s="2">
        <v>1728</v>
      </c>
      <c r="E125" t="s">
        <v>72</v>
      </c>
      <c r="F125" s="2">
        <v>1728</v>
      </c>
      <c r="G125" s="2"/>
      <c r="H125" s="2"/>
    </row>
    <row r="126" spans="1:8">
      <c r="A126" t="s">
        <v>144</v>
      </c>
      <c r="B126" s="1">
        <v>43040</v>
      </c>
      <c r="C126" s="2">
        <v>11124</v>
      </c>
      <c r="D126" s="2">
        <v>16020</v>
      </c>
      <c r="E126" t="s">
        <v>12</v>
      </c>
      <c r="F126" s="2">
        <v>4896</v>
      </c>
      <c r="G126" s="2"/>
      <c r="H126" s="2"/>
    </row>
    <row r="127" spans="1:8">
      <c r="A127" t="s">
        <v>143</v>
      </c>
      <c r="B127" s="1">
        <v>43040</v>
      </c>
      <c r="C127" s="2">
        <v>6768</v>
      </c>
      <c r="D127" s="2">
        <v>16140</v>
      </c>
      <c r="E127" t="s">
        <v>12</v>
      </c>
      <c r="F127" s="2">
        <v>9372</v>
      </c>
      <c r="G127" s="2"/>
      <c r="H127" s="2"/>
    </row>
    <row r="128" spans="1:8">
      <c r="A128" t="s">
        <v>215</v>
      </c>
      <c r="B128" s="1">
        <v>43040</v>
      </c>
      <c r="C128" s="2">
        <v>0</v>
      </c>
      <c r="D128" s="2">
        <v>16860</v>
      </c>
      <c r="E128" t="s">
        <v>72</v>
      </c>
      <c r="F128" s="2">
        <v>16860</v>
      </c>
      <c r="G128" s="2"/>
      <c r="H128" s="2"/>
    </row>
    <row r="129" spans="1:8">
      <c r="A129" t="s">
        <v>216</v>
      </c>
      <c r="B129" s="1">
        <v>43040</v>
      </c>
      <c r="C129" s="2">
        <v>0</v>
      </c>
      <c r="D129" s="2">
        <v>18060</v>
      </c>
      <c r="E129" t="s">
        <v>72</v>
      </c>
      <c r="F129" s="2">
        <v>18060</v>
      </c>
      <c r="G129" s="2"/>
      <c r="H129" s="2"/>
    </row>
    <row r="130" spans="1:8">
      <c r="A130" t="s">
        <v>212</v>
      </c>
      <c r="B130" s="1">
        <v>43070</v>
      </c>
      <c r="C130" s="2">
        <v>66672</v>
      </c>
      <c r="D130" s="2">
        <v>1440</v>
      </c>
      <c r="E130" t="s">
        <v>14</v>
      </c>
      <c r="F130" s="2">
        <v>-65232</v>
      </c>
      <c r="G130" s="2"/>
      <c r="H130" s="2"/>
    </row>
    <row r="131" spans="1:8">
      <c r="A131" t="s">
        <v>211</v>
      </c>
      <c r="B131" s="1">
        <v>43070</v>
      </c>
      <c r="C131" s="2">
        <v>48540</v>
      </c>
      <c r="D131" s="2">
        <v>3312</v>
      </c>
      <c r="E131" t="s">
        <v>14</v>
      </c>
      <c r="F131" s="2">
        <v>-45228</v>
      </c>
      <c r="G131" s="2"/>
      <c r="H131" s="2"/>
    </row>
    <row r="132" spans="1:8">
      <c r="A132" t="s">
        <v>210</v>
      </c>
      <c r="B132" s="1">
        <v>43070</v>
      </c>
      <c r="C132" s="2">
        <v>28380</v>
      </c>
      <c r="D132" s="2">
        <v>13236</v>
      </c>
      <c r="E132" t="s">
        <v>14</v>
      </c>
      <c r="F132" s="2">
        <v>-15144</v>
      </c>
      <c r="G132" s="2"/>
      <c r="H132" s="2"/>
    </row>
    <row r="133" spans="1:8">
      <c r="A133" t="s">
        <v>207</v>
      </c>
      <c r="B133" s="1">
        <v>43070</v>
      </c>
      <c r="C133" s="2">
        <v>9408</v>
      </c>
      <c r="D133" s="2">
        <v>0</v>
      </c>
      <c r="E133" t="s">
        <v>76</v>
      </c>
      <c r="F133" s="2">
        <v>-9408</v>
      </c>
      <c r="G133" s="2"/>
      <c r="H133" s="2"/>
    </row>
    <row r="134" spans="1:8">
      <c r="A134" t="s">
        <v>215</v>
      </c>
      <c r="B134" s="1">
        <v>43070</v>
      </c>
      <c r="C134" s="2">
        <v>16860</v>
      </c>
      <c r="D134" s="2">
        <v>10596</v>
      </c>
      <c r="E134" t="s">
        <v>14</v>
      </c>
      <c r="F134" s="2">
        <v>-6264</v>
      </c>
      <c r="G134" s="2"/>
      <c r="H134" s="2"/>
    </row>
    <row r="135" spans="1:8">
      <c r="A135" t="s">
        <v>208</v>
      </c>
      <c r="B135" s="1">
        <v>43070</v>
      </c>
      <c r="C135" s="2">
        <v>14820</v>
      </c>
      <c r="D135" s="2">
        <v>10464</v>
      </c>
      <c r="E135" t="s">
        <v>14</v>
      </c>
      <c r="F135" s="2">
        <v>-4356</v>
      </c>
      <c r="G135" s="2"/>
      <c r="H135" s="2"/>
    </row>
    <row r="136" spans="1:8">
      <c r="A136" t="s">
        <v>201</v>
      </c>
      <c r="B136" s="1">
        <v>43070</v>
      </c>
      <c r="C136" s="2">
        <v>3864</v>
      </c>
      <c r="D136" s="2">
        <v>0</v>
      </c>
      <c r="E136" t="s">
        <v>76</v>
      </c>
      <c r="F136" s="2">
        <v>-3864</v>
      </c>
      <c r="G136" s="2"/>
      <c r="H136" s="2"/>
    </row>
    <row r="137" spans="1:8">
      <c r="A137" t="s">
        <v>145</v>
      </c>
      <c r="B137" s="1">
        <v>43070</v>
      </c>
      <c r="C137" s="2">
        <v>20820</v>
      </c>
      <c r="D137" s="2">
        <v>17820</v>
      </c>
      <c r="E137" t="s">
        <v>14</v>
      </c>
      <c r="F137" s="2">
        <v>-3000</v>
      </c>
      <c r="G137" s="2"/>
      <c r="H137" s="2"/>
    </row>
    <row r="138" spans="1:8">
      <c r="A138" t="s">
        <v>182</v>
      </c>
      <c r="B138" s="1">
        <v>43070</v>
      </c>
      <c r="C138" s="2">
        <v>1440</v>
      </c>
      <c r="D138" s="2">
        <v>0</v>
      </c>
      <c r="E138" t="s">
        <v>76</v>
      </c>
      <c r="F138" s="2">
        <v>-1440</v>
      </c>
      <c r="G138" s="2"/>
      <c r="H138" s="2"/>
    </row>
    <row r="139" spans="1:8">
      <c r="A139" t="s">
        <v>216</v>
      </c>
      <c r="B139" s="1">
        <v>43070</v>
      </c>
      <c r="C139" s="2">
        <v>18060</v>
      </c>
      <c r="D139" s="2">
        <v>17100</v>
      </c>
      <c r="E139" t="s">
        <v>14</v>
      </c>
      <c r="F139" s="2">
        <v>-960</v>
      </c>
      <c r="G139" s="2"/>
      <c r="H139" s="2"/>
    </row>
    <row r="140" spans="1:8">
      <c r="A140" t="s">
        <v>204</v>
      </c>
      <c r="B140" s="1">
        <v>43070</v>
      </c>
      <c r="C140" s="2">
        <v>5184</v>
      </c>
      <c r="D140" s="2">
        <v>4260</v>
      </c>
      <c r="E140" t="s">
        <v>14</v>
      </c>
      <c r="F140" s="2">
        <v>-924</v>
      </c>
      <c r="G140" s="2"/>
      <c r="H140" s="2"/>
    </row>
    <row r="141" spans="1:8">
      <c r="A141" t="s">
        <v>203</v>
      </c>
      <c r="B141" s="1">
        <v>43070</v>
      </c>
      <c r="C141" s="2">
        <v>4788</v>
      </c>
      <c r="D141" s="2">
        <v>3996</v>
      </c>
      <c r="E141" t="s">
        <v>14</v>
      </c>
      <c r="F141" s="2">
        <v>-792</v>
      </c>
      <c r="G141" s="2"/>
      <c r="H141" s="2"/>
    </row>
    <row r="142" spans="1:8">
      <c r="A142" t="s">
        <v>206</v>
      </c>
      <c r="B142" s="1">
        <v>43070</v>
      </c>
      <c r="C142" s="2">
        <v>8484</v>
      </c>
      <c r="D142" s="2">
        <v>7956</v>
      </c>
      <c r="E142" t="s">
        <v>14</v>
      </c>
      <c r="F142" s="2">
        <v>-528</v>
      </c>
      <c r="G142" s="2"/>
      <c r="H142" s="2"/>
    </row>
    <row r="143" spans="1:8">
      <c r="A143" t="s">
        <v>202</v>
      </c>
      <c r="B143" s="1">
        <v>43070</v>
      </c>
      <c r="C143" s="2">
        <v>4260</v>
      </c>
      <c r="D143" s="2">
        <v>3996</v>
      </c>
      <c r="E143" t="s">
        <v>14</v>
      </c>
      <c r="F143" s="2">
        <v>-264</v>
      </c>
      <c r="G143" s="2"/>
      <c r="H143" s="2"/>
    </row>
    <row r="144" spans="1:8">
      <c r="A144" t="s">
        <v>199</v>
      </c>
      <c r="B144" s="1">
        <v>43070</v>
      </c>
      <c r="C144" s="2">
        <v>2304</v>
      </c>
      <c r="D144" s="2">
        <v>2160</v>
      </c>
      <c r="E144" t="s">
        <v>14</v>
      </c>
      <c r="F144" s="2">
        <v>-144</v>
      </c>
      <c r="G144" s="2"/>
      <c r="H144" s="2"/>
    </row>
    <row r="145" spans="1:8">
      <c r="A145" t="s">
        <v>130</v>
      </c>
      <c r="B145" s="1">
        <v>43070</v>
      </c>
      <c r="C145" s="2">
        <v>2016</v>
      </c>
      <c r="D145" s="2">
        <v>1872</v>
      </c>
      <c r="E145" t="s">
        <v>14</v>
      </c>
      <c r="F145" s="2">
        <v>-144</v>
      </c>
      <c r="G145" s="2"/>
      <c r="H145" s="2"/>
    </row>
    <row r="146" spans="1:8">
      <c r="A146" t="s">
        <v>146</v>
      </c>
      <c r="B146" s="1">
        <v>43070</v>
      </c>
      <c r="C146" s="2">
        <v>4524</v>
      </c>
      <c r="D146" s="2">
        <v>4392</v>
      </c>
      <c r="E146" t="s">
        <v>14</v>
      </c>
      <c r="F146" s="2">
        <v>-132</v>
      </c>
      <c r="G146" s="2"/>
      <c r="H146" s="2"/>
    </row>
    <row r="147" spans="1:8">
      <c r="A147" t="s">
        <v>200</v>
      </c>
      <c r="B147" s="1">
        <v>43070</v>
      </c>
      <c r="C147" s="2">
        <v>3168</v>
      </c>
      <c r="D147" s="2">
        <v>3168</v>
      </c>
      <c r="E147" t="s">
        <v>73</v>
      </c>
      <c r="F147" s="2">
        <v>0</v>
      </c>
      <c r="G147" s="2"/>
      <c r="H147" s="2"/>
    </row>
    <row r="148" spans="1:8">
      <c r="A148" t="s">
        <v>155</v>
      </c>
      <c r="B148" s="1">
        <v>43070</v>
      </c>
      <c r="C148" s="2">
        <v>1440</v>
      </c>
      <c r="D148" s="2">
        <v>1440</v>
      </c>
      <c r="E148" t="s">
        <v>73</v>
      </c>
      <c r="F148" s="2">
        <v>0</v>
      </c>
      <c r="G148" s="2"/>
      <c r="H148" s="2"/>
    </row>
    <row r="149" spans="1:8">
      <c r="A149" t="s">
        <v>156</v>
      </c>
      <c r="B149" s="1">
        <v>43070</v>
      </c>
      <c r="C149" s="2">
        <v>1440</v>
      </c>
      <c r="D149" s="2">
        <v>1440</v>
      </c>
      <c r="E149" t="s">
        <v>73</v>
      </c>
      <c r="F149" s="2">
        <v>0</v>
      </c>
      <c r="G149" s="2"/>
      <c r="H149" s="2"/>
    </row>
    <row r="150" spans="1:8">
      <c r="A150" t="s">
        <v>158</v>
      </c>
      <c r="B150" s="1">
        <v>43070</v>
      </c>
      <c r="C150" s="2">
        <v>1440</v>
      </c>
      <c r="D150" s="2">
        <v>1440</v>
      </c>
      <c r="E150" t="s">
        <v>73</v>
      </c>
      <c r="F150" s="2">
        <v>0</v>
      </c>
      <c r="G150" s="2"/>
      <c r="H150" s="2"/>
    </row>
    <row r="151" spans="1:8">
      <c r="A151" t="s">
        <v>123</v>
      </c>
      <c r="B151" s="1">
        <v>43070</v>
      </c>
      <c r="C151" s="2">
        <v>1440</v>
      </c>
      <c r="D151" s="2">
        <v>1440</v>
      </c>
      <c r="E151" t="s">
        <v>73</v>
      </c>
      <c r="F151" s="2">
        <v>0</v>
      </c>
      <c r="G151" s="2"/>
      <c r="H151" s="2"/>
    </row>
    <row r="152" spans="1:8">
      <c r="A152" t="s">
        <v>159</v>
      </c>
      <c r="B152" s="1">
        <v>43070</v>
      </c>
      <c r="C152" s="2">
        <v>1440</v>
      </c>
      <c r="D152" s="2">
        <v>1440</v>
      </c>
      <c r="E152" t="s">
        <v>73</v>
      </c>
      <c r="F152" s="2">
        <v>0</v>
      </c>
      <c r="G152" s="2"/>
      <c r="H152" s="2"/>
    </row>
    <row r="153" spans="1:8">
      <c r="A153" t="s">
        <v>160</v>
      </c>
      <c r="B153" s="1">
        <v>43070</v>
      </c>
      <c r="C153" s="2">
        <v>1440</v>
      </c>
      <c r="D153" s="2">
        <v>1440</v>
      </c>
      <c r="E153" t="s">
        <v>73</v>
      </c>
      <c r="F153" s="2">
        <v>0</v>
      </c>
      <c r="G153" s="2"/>
      <c r="H153" s="2"/>
    </row>
    <row r="154" spans="1:8">
      <c r="A154" t="s">
        <v>161</v>
      </c>
      <c r="B154" s="1">
        <v>43070</v>
      </c>
      <c r="C154" s="2">
        <v>1440</v>
      </c>
      <c r="D154" s="2">
        <v>1440</v>
      </c>
      <c r="E154" t="s">
        <v>73</v>
      </c>
      <c r="F154" s="2">
        <v>0</v>
      </c>
      <c r="G154" s="2"/>
      <c r="H154" s="2"/>
    </row>
    <row r="155" spans="1:8">
      <c r="A155" t="s">
        <v>163</v>
      </c>
      <c r="B155" s="1">
        <v>43070</v>
      </c>
      <c r="C155" s="2">
        <v>1440</v>
      </c>
      <c r="D155" s="2">
        <v>1440</v>
      </c>
      <c r="E155" t="s">
        <v>73</v>
      </c>
      <c r="F155" s="2">
        <v>0</v>
      </c>
      <c r="G155" s="2"/>
      <c r="H155" s="2"/>
    </row>
    <row r="156" spans="1:8">
      <c r="A156" t="s">
        <v>124</v>
      </c>
      <c r="B156" s="1">
        <v>43070</v>
      </c>
      <c r="C156" s="2">
        <v>1440</v>
      </c>
      <c r="D156" s="2">
        <v>1440</v>
      </c>
      <c r="E156" t="s">
        <v>73</v>
      </c>
      <c r="F156" s="2">
        <v>0</v>
      </c>
      <c r="G156" s="2"/>
      <c r="H156" s="2"/>
    </row>
    <row r="157" spans="1:8">
      <c r="A157" t="s">
        <v>164</v>
      </c>
      <c r="B157" s="1">
        <v>43070</v>
      </c>
      <c r="C157" s="2">
        <v>1440</v>
      </c>
      <c r="D157" s="2">
        <v>1440</v>
      </c>
      <c r="E157" t="s">
        <v>73</v>
      </c>
      <c r="F157" s="2">
        <v>0</v>
      </c>
      <c r="G157" s="2"/>
      <c r="H157" s="2"/>
    </row>
    <row r="158" spans="1:8">
      <c r="A158" t="s">
        <v>165</v>
      </c>
      <c r="B158" s="1">
        <v>43070</v>
      </c>
      <c r="C158" s="2">
        <v>1440</v>
      </c>
      <c r="D158" s="2">
        <v>1440</v>
      </c>
      <c r="E158" t="s">
        <v>73</v>
      </c>
      <c r="F158" s="2">
        <v>0</v>
      </c>
      <c r="G158" s="2"/>
      <c r="H158" s="2"/>
    </row>
    <row r="159" spans="1:8">
      <c r="A159" t="s">
        <v>166</v>
      </c>
      <c r="B159" s="1">
        <v>43070</v>
      </c>
      <c r="C159" s="2">
        <v>1440</v>
      </c>
      <c r="D159" s="2">
        <v>1440</v>
      </c>
      <c r="E159" t="s">
        <v>73</v>
      </c>
      <c r="F159" s="2">
        <v>0</v>
      </c>
      <c r="G159" s="2"/>
      <c r="H159" s="2"/>
    </row>
    <row r="160" spans="1:8">
      <c r="A160" t="s">
        <v>167</v>
      </c>
      <c r="B160" s="1">
        <v>43070</v>
      </c>
      <c r="C160" s="2">
        <v>1440</v>
      </c>
      <c r="D160" s="2">
        <v>1440</v>
      </c>
      <c r="E160" t="s">
        <v>73</v>
      </c>
      <c r="F160" s="2">
        <v>0</v>
      </c>
      <c r="G160" s="2"/>
      <c r="H160" s="2"/>
    </row>
    <row r="161" spans="1:8">
      <c r="A161" t="s">
        <v>126</v>
      </c>
      <c r="B161" s="1">
        <v>43070</v>
      </c>
      <c r="C161" s="2">
        <v>1440</v>
      </c>
      <c r="D161" s="2">
        <v>1440</v>
      </c>
      <c r="E161" t="s">
        <v>73</v>
      </c>
      <c r="F161" s="2">
        <v>0</v>
      </c>
      <c r="G161" s="2"/>
      <c r="H161" s="2"/>
    </row>
    <row r="162" spans="1:8">
      <c r="A162" t="s">
        <v>168</v>
      </c>
      <c r="B162" s="1">
        <v>43070</v>
      </c>
      <c r="C162" s="2">
        <v>1440</v>
      </c>
      <c r="D162" s="2">
        <v>1440</v>
      </c>
      <c r="E162" t="s">
        <v>73</v>
      </c>
      <c r="F162" s="2">
        <v>0</v>
      </c>
      <c r="G162" s="2"/>
      <c r="H162" s="2"/>
    </row>
    <row r="163" spans="1:8">
      <c r="A163" t="s">
        <v>127</v>
      </c>
      <c r="B163" s="1">
        <v>43070</v>
      </c>
      <c r="C163" s="2">
        <v>1440</v>
      </c>
      <c r="D163" s="2">
        <v>1440</v>
      </c>
      <c r="E163" t="s">
        <v>73</v>
      </c>
      <c r="F163" s="2">
        <v>0</v>
      </c>
      <c r="G163" s="2"/>
      <c r="H163" s="2"/>
    </row>
    <row r="164" spans="1:8">
      <c r="A164" t="s">
        <v>170</v>
      </c>
      <c r="B164" s="1">
        <v>43070</v>
      </c>
      <c r="C164" s="2">
        <v>1440</v>
      </c>
      <c r="D164" s="2">
        <v>1440</v>
      </c>
      <c r="E164" t="s">
        <v>73</v>
      </c>
      <c r="F164" s="2">
        <v>0</v>
      </c>
      <c r="G164" s="2"/>
      <c r="H164" s="2"/>
    </row>
    <row r="165" spans="1:8">
      <c r="A165" t="s">
        <v>129</v>
      </c>
      <c r="B165" s="1">
        <v>43070</v>
      </c>
      <c r="C165" s="2">
        <v>1440</v>
      </c>
      <c r="D165" s="2">
        <v>1440</v>
      </c>
      <c r="E165" t="s">
        <v>73</v>
      </c>
      <c r="F165" s="2">
        <v>0</v>
      </c>
      <c r="G165" s="2"/>
      <c r="H165" s="2"/>
    </row>
    <row r="166" spans="1:8">
      <c r="A166" t="s">
        <v>171</v>
      </c>
      <c r="B166" s="1">
        <v>43070</v>
      </c>
      <c r="C166" s="2">
        <v>1440</v>
      </c>
      <c r="D166" s="2">
        <v>1440</v>
      </c>
      <c r="E166" t="s">
        <v>73</v>
      </c>
      <c r="F166" s="2">
        <v>0</v>
      </c>
      <c r="G166" s="2"/>
      <c r="H166" s="2"/>
    </row>
    <row r="167" spans="1:8">
      <c r="A167" t="s">
        <v>172</v>
      </c>
      <c r="B167" s="1">
        <v>43070</v>
      </c>
      <c r="C167" s="2">
        <v>1440</v>
      </c>
      <c r="D167" s="2">
        <v>1440</v>
      </c>
      <c r="E167" t="s">
        <v>73</v>
      </c>
      <c r="F167" s="2">
        <v>0</v>
      </c>
      <c r="G167" s="2"/>
      <c r="H167" s="2"/>
    </row>
    <row r="168" spans="1:8">
      <c r="A168" t="s">
        <v>173</v>
      </c>
      <c r="B168" s="1">
        <v>43070</v>
      </c>
      <c r="C168" s="2">
        <v>1440</v>
      </c>
      <c r="D168" s="2">
        <v>1440</v>
      </c>
      <c r="E168" t="s">
        <v>73</v>
      </c>
      <c r="F168" s="2">
        <v>0</v>
      </c>
      <c r="G168" s="2"/>
      <c r="H168" s="2"/>
    </row>
    <row r="169" spans="1:8">
      <c r="A169" t="s">
        <v>174</v>
      </c>
      <c r="B169" s="1">
        <v>43070</v>
      </c>
      <c r="C169" s="2">
        <v>1440</v>
      </c>
      <c r="D169" s="2">
        <v>1440</v>
      </c>
      <c r="E169" t="s">
        <v>73</v>
      </c>
      <c r="F169" s="2">
        <v>0</v>
      </c>
      <c r="G169" s="2"/>
      <c r="H169" s="2"/>
    </row>
    <row r="170" spans="1:8">
      <c r="A170" t="s">
        <v>175</v>
      </c>
      <c r="B170" s="1">
        <v>43070</v>
      </c>
      <c r="C170" s="2">
        <v>1440</v>
      </c>
      <c r="D170" s="2">
        <v>1440</v>
      </c>
      <c r="E170" t="s">
        <v>73</v>
      </c>
      <c r="F170" s="2">
        <v>0</v>
      </c>
      <c r="G170" s="2"/>
      <c r="H170" s="2"/>
    </row>
    <row r="171" spans="1:8">
      <c r="A171" t="s">
        <v>176</v>
      </c>
      <c r="B171" s="1">
        <v>43070</v>
      </c>
      <c r="C171" s="2">
        <v>1440</v>
      </c>
      <c r="D171" s="2">
        <v>1440</v>
      </c>
      <c r="E171" t="s">
        <v>73</v>
      </c>
      <c r="F171" s="2">
        <v>0</v>
      </c>
      <c r="G171" s="2"/>
      <c r="H171" s="2"/>
    </row>
    <row r="172" spans="1:8">
      <c r="A172" t="s">
        <v>177</v>
      </c>
      <c r="B172" s="1">
        <v>43070</v>
      </c>
      <c r="C172" s="2">
        <v>1440</v>
      </c>
      <c r="D172" s="2">
        <v>1440</v>
      </c>
      <c r="E172" t="s">
        <v>73</v>
      </c>
      <c r="F172" s="2">
        <v>0</v>
      </c>
      <c r="G172" s="2"/>
      <c r="H172" s="2"/>
    </row>
    <row r="173" spans="1:8">
      <c r="A173" t="s">
        <v>132</v>
      </c>
      <c r="B173" s="1">
        <v>43070</v>
      </c>
      <c r="C173" s="2">
        <v>1440</v>
      </c>
      <c r="D173" s="2">
        <v>1440</v>
      </c>
      <c r="E173" t="s">
        <v>73</v>
      </c>
      <c r="F173" s="2">
        <v>0</v>
      </c>
      <c r="G173" s="2"/>
      <c r="H173" s="2"/>
    </row>
    <row r="174" spans="1:8">
      <c r="A174" t="s">
        <v>178</v>
      </c>
      <c r="B174" s="1">
        <v>43070</v>
      </c>
      <c r="C174" s="2">
        <v>1440</v>
      </c>
      <c r="D174" s="2">
        <v>1440</v>
      </c>
      <c r="E174" t="s">
        <v>73</v>
      </c>
      <c r="F174" s="2">
        <v>0</v>
      </c>
      <c r="G174" s="2"/>
      <c r="H174" s="2"/>
    </row>
    <row r="175" spans="1:8">
      <c r="A175" t="s">
        <v>179</v>
      </c>
      <c r="B175" s="1">
        <v>43070</v>
      </c>
      <c r="C175" s="2">
        <v>1440</v>
      </c>
      <c r="D175" s="2">
        <v>1440</v>
      </c>
      <c r="E175" t="s">
        <v>73</v>
      </c>
      <c r="F175" s="2">
        <v>0</v>
      </c>
      <c r="G175" s="2"/>
      <c r="H175" s="2"/>
    </row>
    <row r="176" spans="1:8">
      <c r="A176" t="s">
        <v>180</v>
      </c>
      <c r="B176" s="1">
        <v>43070</v>
      </c>
      <c r="C176" s="2">
        <v>1440</v>
      </c>
      <c r="D176" s="2">
        <v>1440</v>
      </c>
      <c r="E176" t="s">
        <v>73</v>
      </c>
      <c r="F176" s="2">
        <v>0</v>
      </c>
      <c r="G176" s="2"/>
      <c r="H176" s="2"/>
    </row>
    <row r="177" spans="1:8">
      <c r="A177" t="s">
        <v>181</v>
      </c>
      <c r="B177" s="1">
        <v>43070</v>
      </c>
      <c r="C177" s="2">
        <v>1440</v>
      </c>
      <c r="D177" s="2">
        <v>1440</v>
      </c>
      <c r="E177" t="s">
        <v>73</v>
      </c>
      <c r="F177" s="2">
        <v>0</v>
      </c>
      <c r="G177" s="2"/>
      <c r="H177" s="2"/>
    </row>
    <row r="178" spans="1:8">
      <c r="A178" t="s">
        <v>183</v>
      </c>
      <c r="B178" s="1">
        <v>43070</v>
      </c>
      <c r="C178" s="2">
        <v>1440</v>
      </c>
      <c r="D178" s="2">
        <v>1440</v>
      </c>
      <c r="E178" t="s">
        <v>73</v>
      </c>
      <c r="F178" s="2">
        <v>0</v>
      </c>
      <c r="G178" s="2"/>
      <c r="H178" s="2"/>
    </row>
    <row r="179" spans="1:8">
      <c r="A179" t="s">
        <v>184</v>
      </c>
      <c r="B179" s="1">
        <v>43070</v>
      </c>
      <c r="C179" s="2">
        <v>1440</v>
      </c>
      <c r="D179" s="2">
        <v>1440</v>
      </c>
      <c r="E179" t="s">
        <v>73</v>
      </c>
      <c r="F179" s="2">
        <v>0</v>
      </c>
      <c r="G179" s="2"/>
      <c r="H179" s="2"/>
    </row>
    <row r="180" spans="1:8">
      <c r="A180" t="s">
        <v>185</v>
      </c>
      <c r="B180" s="1">
        <v>43070</v>
      </c>
      <c r="C180" s="2">
        <v>1440</v>
      </c>
      <c r="D180" s="2">
        <v>1440</v>
      </c>
      <c r="E180" t="s">
        <v>73</v>
      </c>
      <c r="F180" s="2">
        <v>0</v>
      </c>
      <c r="G180" s="2"/>
      <c r="H180" s="2"/>
    </row>
    <row r="181" spans="1:8">
      <c r="A181" t="s">
        <v>186</v>
      </c>
      <c r="B181" s="1">
        <v>43070</v>
      </c>
      <c r="C181" s="2">
        <v>1440</v>
      </c>
      <c r="D181" s="2">
        <v>1440</v>
      </c>
      <c r="E181" t="s">
        <v>73</v>
      </c>
      <c r="F181" s="2">
        <v>0</v>
      </c>
      <c r="G181" s="2"/>
      <c r="H181" s="2"/>
    </row>
    <row r="182" spans="1:8">
      <c r="A182" t="s">
        <v>134</v>
      </c>
      <c r="B182" s="1">
        <v>43070</v>
      </c>
      <c r="C182" s="2">
        <v>1440</v>
      </c>
      <c r="D182" s="2">
        <v>1440</v>
      </c>
      <c r="E182" t="s">
        <v>73</v>
      </c>
      <c r="F182" s="2">
        <v>0</v>
      </c>
      <c r="G182" s="2"/>
      <c r="H182" s="2"/>
    </row>
    <row r="183" spans="1:8">
      <c r="A183" t="s">
        <v>187</v>
      </c>
      <c r="B183" s="1">
        <v>43070</v>
      </c>
      <c r="C183" s="2">
        <v>1440</v>
      </c>
      <c r="D183" s="2">
        <v>1440</v>
      </c>
      <c r="E183" t="s">
        <v>73</v>
      </c>
      <c r="F183" s="2">
        <v>0</v>
      </c>
      <c r="G183" s="2"/>
      <c r="H183" s="2"/>
    </row>
    <row r="184" spans="1:8">
      <c r="A184" t="s">
        <v>188</v>
      </c>
      <c r="B184" s="1">
        <v>43070</v>
      </c>
      <c r="C184" s="2">
        <v>1440</v>
      </c>
      <c r="D184" s="2">
        <v>1440</v>
      </c>
      <c r="E184" t="s">
        <v>73</v>
      </c>
      <c r="F184" s="2">
        <v>0</v>
      </c>
      <c r="G184" s="2"/>
      <c r="H184" s="2"/>
    </row>
    <row r="185" spans="1:8">
      <c r="A185" t="s">
        <v>135</v>
      </c>
      <c r="B185" s="1">
        <v>43070</v>
      </c>
      <c r="C185" s="2">
        <v>1440</v>
      </c>
      <c r="D185" s="2">
        <v>1440</v>
      </c>
      <c r="E185" t="s">
        <v>73</v>
      </c>
      <c r="F185" s="2">
        <v>0</v>
      </c>
      <c r="G185" s="2"/>
      <c r="H185" s="2"/>
    </row>
    <row r="186" spans="1:8">
      <c r="A186" t="s">
        <v>136</v>
      </c>
      <c r="B186" s="1">
        <v>43070</v>
      </c>
      <c r="C186" s="2">
        <v>1440</v>
      </c>
      <c r="D186" s="2">
        <v>1440</v>
      </c>
      <c r="E186" t="s">
        <v>73</v>
      </c>
      <c r="F186" s="2">
        <v>0</v>
      </c>
      <c r="G186" s="2"/>
      <c r="H186" s="2"/>
    </row>
    <row r="187" spans="1:8">
      <c r="A187" t="s">
        <v>189</v>
      </c>
      <c r="B187" s="1">
        <v>43070</v>
      </c>
      <c r="C187" s="2">
        <v>1440</v>
      </c>
      <c r="D187" s="2">
        <v>1440</v>
      </c>
      <c r="E187" t="s">
        <v>73</v>
      </c>
      <c r="F187" s="2">
        <v>0</v>
      </c>
      <c r="G187" s="2"/>
      <c r="H187" s="2"/>
    </row>
    <row r="188" spans="1:8">
      <c r="A188" t="s">
        <v>190</v>
      </c>
      <c r="B188" s="1">
        <v>43070</v>
      </c>
      <c r="C188" s="2">
        <v>1440</v>
      </c>
      <c r="D188" s="2">
        <v>1440</v>
      </c>
      <c r="E188" t="s">
        <v>73</v>
      </c>
      <c r="F188" s="2">
        <v>0</v>
      </c>
      <c r="G188" s="2"/>
      <c r="H188" s="2"/>
    </row>
    <row r="189" spans="1:8">
      <c r="A189" t="s">
        <v>191</v>
      </c>
      <c r="B189" s="1">
        <v>43070</v>
      </c>
      <c r="C189" s="2">
        <v>1440</v>
      </c>
      <c r="D189" s="2">
        <v>1440</v>
      </c>
      <c r="E189" t="s">
        <v>73</v>
      </c>
      <c r="F189" s="2">
        <v>0</v>
      </c>
      <c r="G189" s="2"/>
      <c r="H189" s="2"/>
    </row>
    <row r="190" spans="1:8">
      <c r="A190" t="s">
        <v>192</v>
      </c>
      <c r="B190" s="1">
        <v>43070</v>
      </c>
      <c r="C190" s="2">
        <v>1440</v>
      </c>
      <c r="D190" s="2">
        <v>1440</v>
      </c>
      <c r="E190" t="s">
        <v>73</v>
      </c>
      <c r="F190" s="2">
        <v>0</v>
      </c>
      <c r="G190" s="2"/>
      <c r="H190" s="2"/>
    </row>
    <row r="191" spans="1:8">
      <c r="A191" t="s">
        <v>137</v>
      </c>
      <c r="B191" s="1">
        <v>43070</v>
      </c>
      <c r="C191" s="2">
        <v>1440</v>
      </c>
      <c r="D191" s="2">
        <v>1440</v>
      </c>
      <c r="E191" t="s">
        <v>73</v>
      </c>
      <c r="F191" s="2">
        <v>0</v>
      </c>
      <c r="G191" s="2"/>
      <c r="H191" s="2"/>
    </row>
    <row r="192" spans="1:8">
      <c r="A192" t="s">
        <v>193</v>
      </c>
      <c r="B192" s="1">
        <v>43070</v>
      </c>
      <c r="C192" s="2">
        <v>1440</v>
      </c>
      <c r="D192" s="2">
        <v>1440</v>
      </c>
      <c r="E192" t="s">
        <v>73</v>
      </c>
      <c r="F192" s="2">
        <v>0</v>
      </c>
      <c r="G192" s="2"/>
      <c r="H192" s="2"/>
    </row>
    <row r="193" spans="1:8">
      <c r="A193" t="s">
        <v>194</v>
      </c>
      <c r="B193" s="1">
        <v>43070</v>
      </c>
      <c r="C193" s="2">
        <v>1440</v>
      </c>
      <c r="D193" s="2">
        <v>1440</v>
      </c>
      <c r="E193" t="s">
        <v>73</v>
      </c>
      <c r="F193" s="2">
        <v>0</v>
      </c>
      <c r="G193" s="2"/>
      <c r="H193" s="2"/>
    </row>
    <row r="194" spans="1:8">
      <c r="A194" t="s">
        <v>138</v>
      </c>
      <c r="B194" s="1">
        <v>43070</v>
      </c>
      <c r="C194" s="2">
        <v>1440</v>
      </c>
      <c r="D194" s="2">
        <v>1440</v>
      </c>
      <c r="E194" t="s">
        <v>73</v>
      </c>
      <c r="F194" s="2">
        <v>0</v>
      </c>
      <c r="G194" s="2"/>
      <c r="H194" s="2"/>
    </row>
    <row r="195" spans="1:8">
      <c r="A195" t="s">
        <v>195</v>
      </c>
      <c r="B195" s="1">
        <v>43070</v>
      </c>
      <c r="C195" s="2">
        <v>1440</v>
      </c>
      <c r="D195" s="2">
        <v>1440</v>
      </c>
      <c r="E195" t="s">
        <v>73</v>
      </c>
      <c r="F195" s="2">
        <v>0</v>
      </c>
      <c r="G195" s="2"/>
      <c r="H195" s="2"/>
    </row>
    <row r="196" spans="1:8">
      <c r="A196" t="s">
        <v>197</v>
      </c>
      <c r="B196" s="1">
        <v>43070</v>
      </c>
      <c r="C196" s="2">
        <v>1440</v>
      </c>
      <c r="D196" s="2">
        <v>1440</v>
      </c>
      <c r="E196" t="s">
        <v>73</v>
      </c>
      <c r="F196" s="2">
        <v>0</v>
      </c>
      <c r="G196" s="2"/>
      <c r="H196" s="2"/>
    </row>
    <row r="197" spans="1:8">
      <c r="A197" t="s">
        <v>147</v>
      </c>
      <c r="B197" s="1">
        <v>43070</v>
      </c>
      <c r="C197" s="2">
        <v>1200</v>
      </c>
      <c r="D197" s="2">
        <v>1200</v>
      </c>
      <c r="E197" t="s">
        <v>73</v>
      </c>
      <c r="F197" s="2">
        <v>0</v>
      </c>
      <c r="G197" s="2"/>
      <c r="H197" s="2"/>
    </row>
    <row r="198" spans="1:8">
      <c r="A198" t="s">
        <v>148</v>
      </c>
      <c r="B198" s="1">
        <v>43070</v>
      </c>
      <c r="C198" s="2">
        <v>1200</v>
      </c>
      <c r="D198" s="2">
        <v>1200</v>
      </c>
      <c r="E198" t="s">
        <v>73</v>
      </c>
      <c r="F198" s="2">
        <v>0</v>
      </c>
      <c r="G198" s="2"/>
      <c r="H198" s="2"/>
    </row>
    <row r="199" spans="1:8">
      <c r="A199" t="s">
        <v>217</v>
      </c>
      <c r="B199" s="1">
        <v>43070</v>
      </c>
      <c r="C199" s="2">
        <v>1200</v>
      </c>
      <c r="D199" s="2">
        <v>1200</v>
      </c>
      <c r="E199" t="s">
        <v>73</v>
      </c>
      <c r="F199" s="2">
        <v>0</v>
      </c>
      <c r="G199" s="2"/>
      <c r="H199" s="2"/>
    </row>
    <row r="200" spans="1:8">
      <c r="A200" t="s">
        <v>120</v>
      </c>
      <c r="B200" s="1">
        <v>43070</v>
      </c>
      <c r="C200" s="2">
        <v>1200</v>
      </c>
      <c r="D200" s="2">
        <v>1200</v>
      </c>
      <c r="E200" t="s">
        <v>73</v>
      </c>
      <c r="F200" s="2">
        <v>0</v>
      </c>
      <c r="G200" s="2"/>
      <c r="H200" s="2"/>
    </row>
    <row r="201" spans="1:8">
      <c r="A201" t="s">
        <v>121</v>
      </c>
      <c r="B201" s="1">
        <v>43070</v>
      </c>
      <c r="C201" s="2">
        <v>1200</v>
      </c>
      <c r="D201" s="2">
        <v>1200</v>
      </c>
      <c r="E201" t="s">
        <v>73</v>
      </c>
      <c r="F201" s="2">
        <v>0</v>
      </c>
      <c r="G201" s="2"/>
      <c r="H201" s="2"/>
    </row>
    <row r="202" spans="1:8">
      <c r="A202" t="s">
        <v>152</v>
      </c>
      <c r="B202" s="1">
        <v>43070</v>
      </c>
      <c r="C202" s="2">
        <v>1200</v>
      </c>
      <c r="D202" s="2">
        <v>1200</v>
      </c>
      <c r="E202" t="s">
        <v>73</v>
      </c>
      <c r="F202" s="2">
        <v>0</v>
      </c>
      <c r="G202" s="2"/>
      <c r="H202" s="2"/>
    </row>
    <row r="203" spans="1:8">
      <c r="A203" t="s">
        <v>153</v>
      </c>
      <c r="B203" s="1">
        <v>43070</v>
      </c>
      <c r="C203" s="2">
        <v>1200</v>
      </c>
      <c r="D203" s="2">
        <v>1200</v>
      </c>
      <c r="E203" t="s">
        <v>73</v>
      </c>
      <c r="F203" s="2">
        <v>0</v>
      </c>
      <c r="G203" s="2"/>
      <c r="H203" s="2"/>
    </row>
    <row r="204" spans="1:8">
      <c r="A204" t="s">
        <v>149</v>
      </c>
      <c r="B204" s="1">
        <v>43070</v>
      </c>
      <c r="C204" s="2">
        <v>1200</v>
      </c>
      <c r="D204" s="2">
        <v>1200</v>
      </c>
      <c r="E204" t="s">
        <v>73</v>
      </c>
      <c r="F204" s="2">
        <v>0</v>
      </c>
      <c r="G204" s="2"/>
      <c r="H204" s="2"/>
    </row>
    <row r="205" spans="1:8">
      <c r="A205" t="s">
        <v>154</v>
      </c>
      <c r="B205" s="1">
        <v>43070</v>
      </c>
      <c r="C205" s="2">
        <v>1200</v>
      </c>
      <c r="D205" s="2">
        <v>1200</v>
      </c>
      <c r="E205" t="s">
        <v>73</v>
      </c>
      <c r="F205" s="2">
        <v>0</v>
      </c>
      <c r="G205" s="2"/>
      <c r="H205" s="2"/>
    </row>
    <row r="206" spans="1:8">
      <c r="A206" t="s">
        <v>150</v>
      </c>
      <c r="B206" s="1">
        <v>43070</v>
      </c>
      <c r="C206" s="2">
        <v>1200</v>
      </c>
      <c r="D206" s="2">
        <v>1200</v>
      </c>
      <c r="E206" t="s">
        <v>73</v>
      </c>
      <c r="F206" s="2">
        <v>0</v>
      </c>
      <c r="G206" s="2"/>
      <c r="H206" s="2"/>
    </row>
    <row r="207" spans="1:8">
      <c r="A207" t="s">
        <v>122</v>
      </c>
      <c r="B207" s="1">
        <v>43070</v>
      </c>
      <c r="C207" s="2">
        <v>1200</v>
      </c>
      <c r="D207" s="2">
        <v>1200</v>
      </c>
      <c r="E207" t="s">
        <v>73</v>
      </c>
      <c r="F207" s="2">
        <v>0</v>
      </c>
      <c r="G207" s="2"/>
      <c r="H207" s="2"/>
    </row>
    <row r="208" spans="1:8">
      <c r="A208" t="s">
        <v>218</v>
      </c>
      <c r="B208" s="1">
        <v>43070</v>
      </c>
      <c r="C208" s="2">
        <v>1200</v>
      </c>
      <c r="D208" s="2">
        <v>1200</v>
      </c>
      <c r="E208" t="s">
        <v>73</v>
      </c>
      <c r="F208" s="2">
        <v>0</v>
      </c>
      <c r="G208" s="2"/>
      <c r="H208" s="2"/>
    </row>
    <row r="209" spans="1:8">
      <c r="A209" t="s">
        <v>151</v>
      </c>
      <c r="B209" s="1">
        <v>43070</v>
      </c>
      <c r="C209" s="2">
        <v>1200</v>
      </c>
      <c r="D209" s="2">
        <v>1200</v>
      </c>
      <c r="E209" t="s">
        <v>73</v>
      </c>
      <c r="F209" s="2">
        <v>0</v>
      </c>
      <c r="G209" s="2"/>
      <c r="H209" s="2"/>
    </row>
    <row r="210" spans="1:8">
      <c r="A210" t="s">
        <v>219</v>
      </c>
      <c r="B210" s="1">
        <v>43070</v>
      </c>
      <c r="C210" s="2">
        <v>1200</v>
      </c>
      <c r="D210" s="2">
        <v>1200</v>
      </c>
      <c r="E210" t="s">
        <v>73</v>
      </c>
      <c r="F210" s="2">
        <v>0</v>
      </c>
      <c r="G210" s="2"/>
      <c r="H210" s="2"/>
    </row>
    <row r="211" spans="1:8">
      <c r="A211" t="s">
        <v>118</v>
      </c>
      <c r="B211" s="1">
        <v>43070</v>
      </c>
      <c r="C211" s="2">
        <v>1200</v>
      </c>
      <c r="D211" s="2">
        <v>1200</v>
      </c>
      <c r="E211" t="s">
        <v>73</v>
      </c>
      <c r="F211" s="2">
        <v>0</v>
      </c>
      <c r="G211" s="2"/>
      <c r="H211" s="2"/>
    </row>
    <row r="212" spans="1:8">
      <c r="A212" t="s">
        <v>220</v>
      </c>
      <c r="B212" s="1">
        <v>43070</v>
      </c>
      <c r="C212" s="2">
        <v>1200</v>
      </c>
      <c r="D212" s="2">
        <v>1200</v>
      </c>
      <c r="E212" t="s">
        <v>73</v>
      </c>
      <c r="F212" s="2">
        <v>0</v>
      </c>
      <c r="G212" s="2"/>
      <c r="H212" s="2"/>
    </row>
    <row r="213" spans="1:8">
      <c r="A213" t="s">
        <v>221</v>
      </c>
      <c r="B213" s="1">
        <v>43070</v>
      </c>
      <c r="C213" s="2">
        <v>1200</v>
      </c>
      <c r="D213" s="2">
        <v>1200</v>
      </c>
      <c r="E213" t="s">
        <v>73</v>
      </c>
      <c r="F213" s="2">
        <v>0</v>
      </c>
      <c r="G213" s="2"/>
      <c r="H213" s="2"/>
    </row>
    <row r="214" spans="1:8">
      <c r="A214" t="s">
        <v>198</v>
      </c>
      <c r="B214" s="1">
        <v>43070</v>
      </c>
      <c r="C214" s="2">
        <v>2160</v>
      </c>
      <c r="D214" s="2">
        <v>2304</v>
      </c>
      <c r="E214" t="s">
        <v>12</v>
      </c>
      <c r="F214" s="2">
        <v>144</v>
      </c>
      <c r="G214" s="2"/>
      <c r="H214" s="2"/>
    </row>
    <row r="215" spans="1:8">
      <c r="A215" t="s">
        <v>141</v>
      </c>
      <c r="B215" s="1">
        <v>43070</v>
      </c>
      <c r="C215" s="2">
        <v>1440</v>
      </c>
      <c r="D215" s="2">
        <v>1728</v>
      </c>
      <c r="E215" t="s">
        <v>12</v>
      </c>
      <c r="F215" s="2">
        <v>288</v>
      </c>
      <c r="G215" s="2"/>
      <c r="H215" s="2"/>
    </row>
    <row r="216" spans="1:8">
      <c r="A216" t="s">
        <v>133</v>
      </c>
      <c r="B216" s="1">
        <v>43070</v>
      </c>
      <c r="C216" s="2">
        <v>1440</v>
      </c>
      <c r="D216" s="2">
        <v>1872</v>
      </c>
      <c r="E216" t="s">
        <v>12</v>
      </c>
      <c r="F216" s="2">
        <v>432</v>
      </c>
      <c r="G216" s="2"/>
      <c r="H216" s="2"/>
    </row>
    <row r="217" spans="1:8">
      <c r="A217" t="s">
        <v>205</v>
      </c>
      <c r="B217" s="1">
        <v>43070</v>
      </c>
      <c r="C217" s="2">
        <v>5580</v>
      </c>
      <c r="D217" s="2">
        <v>6240</v>
      </c>
      <c r="E217" t="s">
        <v>12</v>
      </c>
      <c r="F217" s="2">
        <v>660</v>
      </c>
      <c r="G217" s="2"/>
      <c r="H217" s="2"/>
    </row>
    <row r="218" spans="1:8">
      <c r="A218" t="s">
        <v>157</v>
      </c>
      <c r="B218" s="1">
        <v>43070</v>
      </c>
      <c r="C218" s="2">
        <v>1440</v>
      </c>
      <c r="D218" s="2">
        <v>2304</v>
      </c>
      <c r="E218" t="s">
        <v>12</v>
      </c>
      <c r="F218" s="2">
        <v>864</v>
      </c>
      <c r="G218" s="2"/>
      <c r="H218" s="2"/>
    </row>
    <row r="219" spans="1:8">
      <c r="A219" t="s">
        <v>209</v>
      </c>
      <c r="B219" s="1">
        <v>43070</v>
      </c>
      <c r="C219" s="2">
        <v>18540</v>
      </c>
      <c r="D219" s="2">
        <v>19620</v>
      </c>
      <c r="E219" t="s">
        <v>12</v>
      </c>
      <c r="F219" s="2">
        <v>1080</v>
      </c>
      <c r="G219" s="2"/>
      <c r="H219" s="2"/>
    </row>
    <row r="220" spans="1:8">
      <c r="A220" t="s">
        <v>214</v>
      </c>
      <c r="B220" s="1">
        <v>43070</v>
      </c>
      <c r="C220" s="2">
        <v>1728</v>
      </c>
      <c r="D220" s="2">
        <v>2880</v>
      </c>
      <c r="E220" t="s">
        <v>12</v>
      </c>
      <c r="F220" s="2">
        <v>1152</v>
      </c>
      <c r="G220" s="2"/>
      <c r="H220" s="2"/>
    </row>
    <row r="221" spans="1:8">
      <c r="A221" t="s">
        <v>222</v>
      </c>
      <c r="B221" s="1">
        <v>43070</v>
      </c>
      <c r="C221" s="2">
        <v>0</v>
      </c>
      <c r="D221" s="2">
        <v>1200</v>
      </c>
      <c r="E221" t="s">
        <v>16</v>
      </c>
      <c r="F221" s="2">
        <v>1200</v>
      </c>
      <c r="G221" s="2"/>
      <c r="H221" s="2"/>
    </row>
    <row r="222" spans="1:8">
      <c r="A222" t="s">
        <v>162</v>
      </c>
      <c r="B222" s="1">
        <v>43070</v>
      </c>
      <c r="C222" s="2">
        <v>1440</v>
      </c>
      <c r="D222" s="2">
        <v>2880</v>
      </c>
      <c r="E222" t="s">
        <v>12</v>
      </c>
      <c r="F222" s="2">
        <v>1440</v>
      </c>
      <c r="G222" s="2"/>
      <c r="H222" s="2"/>
    </row>
    <row r="223" spans="1:8">
      <c r="A223" t="s">
        <v>223</v>
      </c>
      <c r="B223" s="1">
        <v>43070</v>
      </c>
      <c r="C223" s="2">
        <v>0</v>
      </c>
      <c r="D223" s="2">
        <v>1440</v>
      </c>
      <c r="E223" t="s">
        <v>72</v>
      </c>
      <c r="F223" s="2">
        <v>1440</v>
      </c>
      <c r="G223" s="2"/>
      <c r="H223" s="2"/>
    </row>
    <row r="224" spans="1:8">
      <c r="A224" t="s">
        <v>224</v>
      </c>
      <c r="B224" s="1">
        <v>43070</v>
      </c>
      <c r="C224" s="2">
        <v>0</v>
      </c>
      <c r="D224" s="2">
        <v>1200</v>
      </c>
      <c r="E224" t="s">
        <v>25</v>
      </c>
      <c r="F224" s="2">
        <v>1200</v>
      </c>
      <c r="G224" s="2"/>
      <c r="H224" s="2"/>
    </row>
    <row r="225" spans="1:8">
      <c r="A225" t="s">
        <v>225</v>
      </c>
      <c r="B225" s="1">
        <v>43070</v>
      </c>
      <c r="C225" s="2">
        <v>0</v>
      </c>
      <c r="D225" s="2">
        <v>1200</v>
      </c>
      <c r="E225" t="s">
        <v>25</v>
      </c>
      <c r="F225" s="2">
        <v>1200</v>
      </c>
      <c r="G225" s="2"/>
      <c r="H225" s="2"/>
    </row>
    <row r="226" spans="1:8">
      <c r="A226" t="s">
        <v>226</v>
      </c>
      <c r="B226" s="1">
        <v>43070</v>
      </c>
      <c r="C226" s="2">
        <v>0</v>
      </c>
      <c r="D226" s="2">
        <v>1440</v>
      </c>
      <c r="E226" t="s">
        <v>25</v>
      </c>
      <c r="F226" s="2">
        <v>1440</v>
      </c>
      <c r="G226" s="2"/>
      <c r="H226" s="2"/>
    </row>
    <row r="227" spans="1:8">
      <c r="A227" t="s">
        <v>227</v>
      </c>
      <c r="B227" s="1">
        <v>43070</v>
      </c>
      <c r="C227" s="2">
        <v>0</v>
      </c>
      <c r="D227" s="2">
        <v>1440</v>
      </c>
      <c r="E227" t="s">
        <v>25</v>
      </c>
      <c r="F227" s="2">
        <v>1440</v>
      </c>
      <c r="G227" s="2"/>
      <c r="H227" s="2"/>
    </row>
    <row r="228" spans="1:8">
      <c r="A228" t="s">
        <v>228</v>
      </c>
      <c r="B228" s="1">
        <v>43070</v>
      </c>
      <c r="C228" s="2">
        <v>0</v>
      </c>
      <c r="D228" s="2">
        <v>1440</v>
      </c>
      <c r="E228" t="s">
        <v>25</v>
      </c>
      <c r="F228" s="2">
        <v>1440</v>
      </c>
      <c r="G228" s="2"/>
      <c r="H228" s="2"/>
    </row>
    <row r="229" spans="1:8">
      <c r="A229" t="s">
        <v>229</v>
      </c>
      <c r="B229" s="1">
        <v>43070</v>
      </c>
      <c r="C229" s="2">
        <v>0</v>
      </c>
      <c r="D229" s="2">
        <v>1440</v>
      </c>
      <c r="E229" t="s">
        <v>25</v>
      </c>
      <c r="F229" s="2">
        <v>1440</v>
      </c>
      <c r="G229" s="2"/>
      <c r="H229" s="2"/>
    </row>
    <row r="230" spans="1:8">
      <c r="A230" t="s">
        <v>230</v>
      </c>
      <c r="B230" s="1">
        <v>43070</v>
      </c>
      <c r="C230" s="2">
        <v>0</v>
      </c>
      <c r="D230" s="2">
        <v>1440</v>
      </c>
      <c r="E230" t="s">
        <v>25</v>
      </c>
      <c r="F230" s="2">
        <v>1440</v>
      </c>
      <c r="G230" s="2"/>
      <c r="H230" s="2"/>
    </row>
    <row r="231" spans="1:8">
      <c r="A231" t="s">
        <v>231</v>
      </c>
      <c r="B231" s="1">
        <v>43070</v>
      </c>
      <c r="C231" s="2">
        <v>0</v>
      </c>
      <c r="D231" s="2">
        <v>1440</v>
      </c>
      <c r="E231" t="s">
        <v>25</v>
      </c>
      <c r="F231" s="2">
        <v>1440</v>
      </c>
      <c r="G231" s="2"/>
      <c r="H231" s="2"/>
    </row>
    <row r="232" spans="1:8">
      <c r="A232" t="s">
        <v>232</v>
      </c>
      <c r="B232" s="1">
        <v>43070</v>
      </c>
      <c r="C232" s="2">
        <v>0</v>
      </c>
      <c r="D232" s="2">
        <v>1440</v>
      </c>
      <c r="E232" t="s">
        <v>25</v>
      </c>
      <c r="F232" s="2">
        <v>1440</v>
      </c>
      <c r="G232" s="2"/>
      <c r="H232" s="2"/>
    </row>
    <row r="233" spans="1:8">
      <c r="A233" t="s">
        <v>233</v>
      </c>
      <c r="B233" s="1">
        <v>43070</v>
      </c>
      <c r="C233" s="2">
        <v>0</v>
      </c>
      <c r="D233" s="2">
        <v>1440</v>
      </c>
      <c r="E233" t="s">
        <v>25</v>
      </c>
      <c r="F233" s="2">
        <v>1440</v>
      </c>
      <c r="G233" s="2"/>
      <c r="H233" s="2"/>
    </row>
    <row r="234" spans="1:8">
      <c r="A234" t="s">
        <v>234</v>
      </c>
      <c r="B234" s="1">
        <v>43070</v>
      </c>
      <c r="C234" s="2">
        <v>0</v>
      </c>
      <c r="D234" s="2">
        <v>1440</v>
      </c>
      <c r="E234" t="s">
        <v>25</v>
      </c>
      <c r="F234" s="2">
        <v>1440</v>
      </c>
      <c r="G234" s="2"/>
      <c r="H234" s="2"/>
    </row>
    <row r="235" spans="1:8">
      <c r="A235" t="s">
        <v>235</v>
      </c>
      <c r="B235" s="1">
        <v>43070</v>
      </c>
      <c r="C235" s="2">
        <v>0</v>
      </c>
      <c r="D235" s="2">
        <v>1440</v>
      </c>
      <c r="E235" t="s">
        <v>25</v>
      </c>
      <c r="F235" s="2">
        <v>1440</v>
      </c>
      <c r="G235" s="2"/>
      <c r="H235" s="2"/>
    </row>
    <row r="236" spans="1:8">
      <c r="A236" t="s">
        <v>236</v>
      </c>
      <c r="B236" s="1">
        <v>43070</v>
      </c>
      <c r="C236" s="2">
        <v>0</v>
      </c>
      <c r="D236" s="2">
        <v>1440</v>
      </c>
      <c r="E236" t="s">
        <v>25</v>
      </c>
      <c r="F236" s="2">
        <v>1440</v>
      </c>
      <c r="G236" s="2"/>
      <c r="H236" s="2"/>
    </row>
    <row r="237" spans="1:8">
      <c r="A237" t="s">
        <v>237</v>
      </c>
      <c r="B237" s="1">
        <v>43070</v>
      </c>
      <c r="C237" s="2">
        <v>0</v>
      </c>
      <c r="D237" s="2">
        <v>1440</v>
      </c>
      <c r="E237" t="s">
        <v>25</v>
      </c>
      <c r="F237" s="2">
        <v>1440</v>
      </c>
      <c r="G237" s="2"/>
      <c r="H237" s="2"/>
    </row>
    <row r="238" spans="1:8">
      <c r="A238" t="s">
        <v>238</v>
      </c>
      <c r="B238" s="1">
        <v>43070</v>
      </c>
      <c r="C238" s="2">
        <v>0</v>
      </c>
      <c r="D238" s="2">
        <v>1440</v>
      </c>
      <c r="E238" t="s">
        <v>25</v>
      </c>
      <c r="F238" s="2">
        <v>1440</v>
      </c>
      <c r="G238" s="2"/>
      <c r="H238" s="2"/>
    </row>
    <row r="239" spans="1:8">
      <c r="A239" t="s">
        <v>239</v>
      </c>
      <c r="B239" s="1">
        <v>43070</v>
      </c>
      <c r="C239" s="2">
        <v>0</v>
      </c>
      <c r="D239" s="2">
        <v>1440</v>
      </c>
      <c r="E239" t="s">
        <v>25</v>
      </c>
      <c r="F239" s="2">
        <v>1440</v>
      </c>
      <c r="G239" s="2"/>
      <c r="H239" s="2"/>
    </row>
    <row r="240" spans="1:8">
      <c r="A240" t="s">
        <v>240</v>
      </c>
      <c r="B240" s="1">
        <v>43070</v>
      </c>
      <c r="C240" s="2">
        <v>0</v>
      </c>
      <c r="D240" s="2">
        <v>1440</v>
      </c>
      <c r="E240" t="s">
        <v>25</v>
      </c>
      <c r="F240" s="2">
        <v>1440</v>
      </c>
      <c r="G240" s="2"/>
      <c r="H240" s="2"/>
    </row>
    <row r="241" spans="1:8">
      <c r="A241" t="s">
        <v>241</v>
      </c>
      <c r="B241" s="1">
        <v>43070</v>
      </c>
      <c r="C241" s="2">
        <v>0</v>
      </c>
      <c r="D241" s="2">
        <v>1440</v>
      </c>
      <c r="E241" t="s">
        <v>25</v>
      </c>
      <c r="F241" s="2">
        <v>1440</v>
      </c>
      <c r="G241" s="2"/>
      <c r="H241" s="2"/>
    </row>
    <row r="242" spans="1:8">
      <c r="A242" t="s">
        <v>242</v>
      </c>
      <c r="B242" s="1">
        <v>43070</v>
      </c>
      <c r="C242" s="2">
        <v>0</v>
      </c>
      <c r="D242" s="2">
        <v>1440</v>
      </c>
      <c r="E242" t="s">
        <v>25</v>
      </c>
      <c r="F242" s="2">
        <v>1440</v>
      </c>
      <c r="G242" s="2"/>
      <c r="H242" s="2"/>
    </row>
    <row r="243" spans="1:8">
      <c r="A243" t="s">
        <v>243</v>
      </c>
      <c r="B243" s="1">
        <v>43070</v>
      </c>
      <c r="C243" s="2">
        <v>0</v>
      </c>
      <c r="D243" s="2">
        <v>1440</v>
      </c>
      <c r="E243" t="s">
        <v>25</v>
      </c>
      <c r="F243" s="2">
        <v>1440</v>
      </c>
      <c r="G243" s="2"/>
      <c r="H243" s="2"/>
    </row>
    <row r="244" spans="1:8">
      <c r="A244" t="s">
        <v>244</v>
      </c>
      <c r="B244" s="1">
        <v>43070</v>
      </c>
      <c r="C244" s="2">
        <v>0</v>
      </c>
      <c r="D244" s="2">
        <v>1440</v>
      </c>
      <c r="E244" t="s">
        <v>25</v>
      </c>
      <c r="F244" s="2">
        <v>1440</v>
      </c>
      <c r="G244" s="2"/>
      <c r="H244" s="2"/>
    </row>
    <row r="245" spans="1:8">
      <c r="A245" t="s">
        <v>245</v>
      </c>
      <c r="B245" s="1">
        <v>43070</v>
      </c>
      <c r="C245" s="2">
        <v>0</v>
      </c>
      <c r="D245" s="2">
        <v>1440</v>
      </c>
      <c r="E245" t="s">
        <v>25</v>
      </c>
      <c r="F245" s="2">
        <v>1440</v>
      </c>
      <c r="G245" s="2"/>
      <c r="H245" s="2"/>
    </row>
    <row r="246" spans="1:8">
      <c r="A246" t="s">
        <v>246</v>
      </c>
      <c r="B246" s="1">
        <v>43070</v>
      </c>
      <c r="C246" s="2">
        <v>0</v>
      </c>
      <c r="D246" s="2">
        <v>1440</v>
      </c>
      <c r="E246" t="s">
        <v>25</v>
      </c>
      <c r="F246" s="2">
        <v>1440</v>
      </c>
      <c r="G246" s="2"/>
      <c r="H246" s="2"/>
    </row>
    <row r="247" spans="1:8">
      <c r="A247" t="s">
        <v>247</v>
      </c>
      <c r="B247" s="1">
        <v>43070</v>
      </c>
      <c r="C247" s="2">
        <v>0</v>
      </c>
      <c r="D247" s="2">
        <v>1440</v>
      </c>
      <c r="E247" t="s">
        <v>25</v>
      </c>
      <c r="F247" s="2">
        <v>1440</v>
      </c>
      <c r="G247" s="2"/>
      <c r="H247" s="2"/>
    </row>
    <row r="248" spans="1:8">
      <c r="A248" t="s">
        <v>248</v>
      </c>
      <c r="B248" s="1">
        <v>43070</v>
      </c>
      <c r="C248" s="2">
        <v>0</v>
      </c>
      <c r="D248" s="2">
        <v>1440</v>
      </c>
      <c r="E248" t="s">
        <v>25</v>
      </c>
      <c r="F248" s="2">
        <v>1440</v>
      </c>
      <c r="G248" s="2"/>
      <c r="H248" s="2"/>
    </row>
    <row r="249" spans="1:8">
      <c r="A249" t="s">
        <v>249</v>
      </c>
      <c r="B249" s="1">
        <v>43070</v>
      </c>
      <c r="C249" s="2">
        <v>0</v>
      </c>
      <c r="D249" s="2">
        <v>1440</v>
      </c>
      <c r="E249" t="s">
        <v>25</v>
      </c>
      <c r="F249" s="2">
        <v>1440</v>
      </c>
      <c r="G249" s="2"/>
      <c r="H249" s="2"/>
    </row>
    <row r="250" spans="1:8">
      <c r="A250" t="s">
        <v>250</v>
      </c>
      <c r="B250" s="1">
        <v>43070</v>
      </c>
      <c r="C250" s="2">
        <v>0</v>
      </c>
      <c r="D250" s="2">
        <v>1440</v>
      </c>
      <c r="E250" t="s">
        <v>25</v>
      </c>
      <c r="F250" s="2">
        <v>1440</v>
      </c>
      <c r="G250" s="2"/>
      <c r="H250" s="2"/>
    </row>
    <row r="251" spans="1:8">
      <c r="A251" t="s">
        <v>251</v>
      </c>
      <c r="B251" s="1">
        <v>43070</v>
      </c>
      <c r="C251" s="2">
        <v>0</v>
      </c>
      <c r="D251" s="2">
        <v>1440</v>
      </c>
      <c r="E251" t="s">
        <v>25</v>
      </c>
      <c r="F251" s="2">
        <v>1440</v>
      </c>
      <c r="G251" s="2"/>
      <c r="H251" s="2"/>
    </row>
    <row r="252" spans="1:8">
      <c r="A252" t="s">
        <v>252</v>
      </c>
      <c r="B252" s="1">
        <v>43070</v>
      </c>
      <c r="C252" s="2">
        <v>0</v>
      </c>
      <c r="D252" s="2">
        <v>1440</v>
      </c>
      <c r="E252" t="s">
        <v>25</v>
      </c>
      <c r="F252" s="2">
        <v>1440</v>
      </c>
      <c r="G252" s="2"/>
      <c r="H252" s="2"/>
    </row>
    <row r="253" spans="1:8">
      <c r="A253" t="s">
        <v>253</v>
      </c>
      <c r="B253" s="1">
        <v>43070</v>
      </c>
      <c r="C253" s="2">
        <v>0</v>
      </c>
      <c r="D253" s="2">
        <v>1440</v>
      </c>
      <c r="E253" t="s">
        <v>25</v>
      </c>
      <c r="F253" s="2">
        <v>1440</v>
      </c>
      <c r="G253" s="2"/>
      <c r="H253" s="2"/>
    </row>
    <row r="254" spans="1:8">
      <c r="A254" t="s">
        <v>254</v>
      </c>
      <c r="B254" s="1">
        <v>43070</v>
      </c>
      <c r="C254" s="2">
        <v>0</v>
      </c>
      <c r="D254" s="2">
        <v>1440</v>
      </c>
      <c r="E254" t="s">
        <v>25</v>
      </c>
      <c r="F254" s="2">
        <v>1440</v>
      </c>
      <c r="G254" s="2"/>
      <c r="H254" s="2"/>
    </row>
    <row r="255" spans="1:8">
      <c r="A255" t="s">
        <v>255</v>
      </c>
      <c r="B255" s="1">
        <v>43070</v>
      </c>
      <c r="C255" s="2">
        <v>0</v>
      </c>
      <c r="D255" s="2">
        <v>1440</v>
      </c>
      <c r="E255" t="s">
        <v>25</v>
      </c>
      <c r="F255" s="2">
        <v>1440</v>
      </c>
      <c r="G255" s="2"/>
      <c r="H255" s="2"/>
    </row>
    <row r="256" spans="1:8">
      <c r="A256" t="s">
        <v>256</v>
      </c>
      <c r="B256" s="1">
        <v>43070</v>
      </c>
      <c r="C256" s="2">
        <v>0</v>
      </c>
      <c r="D256" s="2">
        <v>1440</v>
      </c>
      <c r="E256" t="s">
        <v>25</v>
      </c>
      <c r="F256" s="2">
        <v>1440</v>
      </c>
      <c r="G256" s="2"/>
      <c r="H256" s="2"/>
    </row>
    <row r="257" spans="1:8">
      <c r="A257" t="s">
        <v>257</v>
      </c>
      <c r="B257" s="1">
        <v>43070</v>
      </c>
      <c r="C257" s="2">
        <v>0</v>
      </c>
      <c r="D257" s="2">
        <v>1440</v>
      </c>
      <c r="E257" t="s">
        <v>25</v>
      </c>
      <c r="F257" s="2">
        <v>1440</v>
      </c>
      <c r="G257" s="2"/>
      <c r="H257" s="2"/>
    </row>
    <row r="258" spans="1:8">
      <c r="A258" t="s">
        <v>258</v>
      </c>
      <c r="B258" s="1">
        <v>43070</v>
      </c>
      <c r="C258" s="2">
        <v>0</v>
      </c>
      <c r="D258" s="2">
        <v>1440</v>
      </c>
      <c r="E258" t="s">
        <v>25</v>
      </c>
      <c r="F258" s="2">
        <v>1440</v>
      </c>
      <c r="G258" s="2"/>
      <c r="H258" s="2"/>
    </row>
    <row r="259" spans="1:8">
      <c r="A259" t="s">
        <v>259</v>
      </c>
      <c r="B259" s="1">
        <v>43070</v>
      </c>
      <c r="C259" s="2">
        <v>0</v>
      </c>
      <c r="D259" s="2">
        <v>1440</v>
      </c>
      <c r="E259" t="s">
        <v>25</v>
      </c>
      <c r="F259" s="2">
        <v>1440</v>
      </c>
      <c r="G259" s="2"/>
      <c r="H259" s="2"/>
    </row>
    <row r="260" spans="1:8">
      <c r="A260" t="s">
        <v>260</v>
      </c>
      <c r="B260" s="1">
        <v>43070</v>
      </c>
      <c r="C260" s="2">
        <v>0</v>
      </c>
      <c r="D260" s="2">
        <v>1440</v>
      </c>
      <c r="E260" t="s">
        <v>25</v>
      </c>
      <c r="F260" s="2">
        <v>1440</v>
      </c>
      <c r="G260" s="2"/>
      <c r="H260" s="2"/>
    </row>
    <row r="261" spans="1:8">
      <c r="A261" t="s">
        <v>261</v>
      </c>
      <c r="B261" s="1">
        <v>43070</v>
      </c>
      <c r="C261" s="2">
        <v>0</v>
      </c>
      <c r="D261" s="2">
        <v>1440</v>
      </c>
      <c r="E261" t="s">
        <v>25</v>
      </c>
      <c r="F261" s="2">
        <v>1440</v>
      </c>
      <c r="G261" s="2"/>
      <c r="H261" s="2"/>
    </row>
    <row r="262" spans="1:8">
      <c r="A262" t="s">
        <v>262</v>
      </c>
      <c r="B262" s="1">
        <v>43070</v>
      </c>
      <c r="C262" s="2">
        <v>0</v>
      </c>
      <c r="D262" s="2">
        <v>1440</v>
      </c>
      <c r="E262" t="s">
        <v>25</v>
      </c>
      <c r="F262" s="2">
        <v>1440</v>
      </c>
      <c r="G262" s="2"/>
      <c r="H262" s="2"/>
    </row>
    <row r="263" spans="1:8">
      <c r="A263" t="s">
        <v>263</v>
      </c>
      <c r="B263" s="1">
        <v>43070</v>
      </c>
      <c r="C263" s="2">
        <v>0</v>
      </c>
      <c r="D263" s="2">
        <v>1440</v>
      </c>
      <c r="E263" t="s">
        <v>25</v>
      </c>
      <c r="F263" s="2">
        <v>1440</v>
      </c>
      <c r="G263" s="2"/>
      <c r="H263" s="2"/>
    </row>
    <row r="264" spans="1:8">
      <c r="A264" t="s">
        <v>264</v>
      </c>
      <c r="B264" s="1">
        <v>43070</v>
      </c>
      <c r="C264" s="2">
        <v>0</v>
      </c>
      <c r="D264" s="2">
        <v>1440</v>
      </c>
      <c r="E264" t="s">
        <v>25</v>
      </c>
      <c r="F264" s="2">
        <v>1440</v>
      </c>
      <c r="G264" s="2"/>
      <c r="H264" s="2"/>
    </row>
    <row r="265" spans="1:8">
      <c r="A265" t="s">
        <v>265</v>
      </c>
      <c r="B265" s="1">
        <v>43070</v>
      </c>
      <c r="C265" s="2">
        <v>0</v>
      </c>
      <c r="D265" s="2">
        <v>1440</v>
      </c>
      <c r="E265" t="s">
        <v>25</v>
      </c>
      <c r="F265" s="2">
        <v>1440</v>
      </c>
      <c r="G265" s="2"/>
      <c r="H265" s="2"/>
    </row>
    <row r="266" spans="1:8">
      <c r="A266" t="s">
        <v>266</v>
      </c>
      <c r="B266" s="1">
        <v>43070</v>
      </c>
      <c r="C266" s="2">
        <v>0</v>
      </c>
      <c r="D266" s="2">
        <v>1440</v>
      </c>
      <c r="E266" t="s">
        <v>25</v>
      </c>
      <c r="F266" s="2">
        <v>1440</v>
      </c>
      <c r="G266" s="2"/>
      <c r="H266" s="2"/>
    </row>
    <row r="267" spans="1:8">
      <c r="A267" t="s">
        <v>267</v>
      </c>
      <c r="B267" s="1">
        <v>43070</v>
      </c>
      <c r="C267" s="2">
        <v>0</v>
      </c>
      <c r="D267" s="2">
        <v>1440</v>
      </c>
      <c r="E267" t="s">
        <v>25</v>
      </c>
      <c r="F267" s="2">
        <v>1440</v>
      </c>
      <c r="G267" s="2"/>
      <c r="H267" s="2"/>
    </row>
    <row r="268" spans="1:8">
      <c r="A268" t="s">
        <v>268</v>
      </c>
      <c r="B268" s="1">
        <v>43070</v>
      </c>
      <c r="C268" s="2">
        <v>0</v>
      </c>
      <c r="D268" s="2">
        <v>1440</v>
      </c>
      <c r="E268" t="s">
        <v>25</v>
      </c>
      <c r="F268" s="2">
        <v>1440</v>
      </c>
      <c r="G268" s="2"/>
      <c r="H268" s="2"/>
    </row>
    <row r="269" spans="1:8">
      <c r="A269" t="s">
        <v>140</v>
      </c>
      <c r="B269" s="1">
        <v>43070</v>
      </c>
      <c r="C269" s="2">
        <v>0</v>
      </c>
      <c r="D269" s="2">
        <v>1440</v>
      </c>
      <c r="E269" t="s">
        <v>25</v>
      </c>
      <c r="F269" s="2">
        <v>1440</v>
      </c>
      <c r="G269" s="2"/>
      <c r="H269" s="2"/>
    </row>
    <row r="270" spans="1:8">
      <c r="A270" t="s">
        <v>269</v>
      </c>
      <c r="B270" s="1">
        <v>43070</v>
      </c>
      <c r="C270" s="2">
        <v>0</v>
      </c>
      <c r="D270" s="2">
        <v>1440</v>
      </c>
      <c r="E270" t="s">
        <v>25</v>
      </c>
      <c r="F270" s="2">
        <v>1440</v>
      </c>
      <c r="G270" s="2"/>
      <c r="H270" s="2"/>
    </row>
    <row r="271" spans="1:8">
      <c r="A271" t="s">
        <v>270</v>
      </c>
      <c r="B271" s="1">
        <v>43070</v>
      </c>
      <c r="C271" s="2">
        <v>0</v>
      </c>
      <c r="D271" s="2">
        <v>1440</v>
      </c>
      <c r="E271" t="s">
        <v>25</v>
      </c>
      <c r="F271" s="2">
        <v>1440</v>
      </c>
      <c r="G271" s="2"/>
      <c r="H271" s="2"/>
    </row>
    <row r="272" spans="1:8">
      <c r="A272" t="s">
        <v>271</v>
      </c>
      <c r="B272" s="1">
        <v>43070</v>
      </c>
      <c r="C272" s="2">
        <v>0</v>
      </c>
      <c r="D272" s="2">
        <v>1440</v>
      </c>
      <c r="E272" t="s">
        <v>25</v>
      </c>
      <c r="F272" s="2">
        <v>1440</v>
      </c>
      <c r="G272" s="2"/>
      <c r="H272" s="2"/>
    </row>
    <row r="273" spans="1:8">
      <c r="A273" t="s">
        <v>272</v>
      </c>
      <c r="B273" s="1">
        <v>43070</v>
      </c>
      <c r="C273" s="2">
        <v>0</v>
      </c>
      <c r="D273" s="2">
        <v>1440</v>
      </c>
      <c r="E273" t="s">
        <v>25</v>
      </c>
      <c r="F273" s="2">
        <v>1440</v>
      </c>
      <c r="G273" s="2"/>
      <c r="H273" s="2"/>
    </row>
    <row r="274" spans="1:8">
      <c r="A274" t="s">
        <v>273</v>
      </c>
      <c r="B274" s="1">
        <v>43070</v>
      </c>
      <c r="C274" s="2">
        <v>0</v>
      </c>
      <c r="D274" s="2">
        <v>1440</v>
      </c>
      <c r="E274" t="s">
        <v>25</v>
      </c>
      <c r="F274" s="2">
        <v>1440</v>
      </c>
      <c r="G274" s="2"/>
      <c r="H274" s="2"/>
    </row>
    <row r="275" spans="1:8">
      <c r="A275" t="s">
        <v>274</v>
      </c>
      <c r="B275" s="1">
        <v>43070</v>
      </c>
      <c r="C275" s="2">
        <v>0</v>
      </c>
      <c r="D275" s="2">
        <v>1440</v>
      </c>
      <c r="E275" t="s">
        <v>25</v>
      </c>
      <c r="F275" s="2">
        <v>1440</v>
      </c>
      <c r="G275" s="2"/>
      <c r="H275" s="2"/>
    </row>
    <row r="276" spans="1:8">
      <c r="A276" t="s">
        <v>275</v>
      </c>
      <c r="B276" s="1">
        <v>43070</v>
      </c>
      <c r="C276" s="2">
        <v>0</v>
      </c>
      <c r="D276" s="2">
        <v>1440</v>
      </c>
      <c r="E276" t="s">
        <v>25</v>
      </c>
      <c r="F276" s="2">
        <v>1440</v>
      </c>
      <c r="G276" s="2"/>
      <c r="H276" s="2"/>
    </row>
    <row r="277" spans="1:8">
      <c r="A277" t="s">
        <v>276</v>
      </c>
      <c r="B277" s="1">
        <v>43070</v>
      </c>
      <c r="C277" s="2">
        <v>0</v>
      </c>
      <c r="D277" s="2">
        <v>1440</v>
      </c>
      <c r="E277" t="s">
        <v>25</v>
      </c>
      <c r="F277" s="2">
        <v>1440</v>
      </c>
      <c r="G277" s="2"/>
      <c r="H277" s="2"/>
    </row>
    <row r="278" spans="1:8">
      <c r="A278" t="s">
        <v>277</v>
      </c>
      <c r="B278" s="1">
        <v>43070</v>
      </c>
      <c r="C278" s="2">
        <v>0</v>
      </c>
      <c r="D278" s="2">
        <v>1440</v>
      </c>
      <c r="E278" t="s">
        <v>25</v>
      </c>
      <c r="F278" s="2">
        <v>1440</v>
      </c>
      <c r="G278" s="2"/>
      <c r="H278" s="2"/>
    </row>
    <row r="279" spans="1:8">
      <c r="A279" t="s">
        <v>278</v>
      </c>
      <c r="B279" s="1">
        <v>43070</v>
      </c>
      <c r="C279" s="2">
        <v>0</v>
      </c>
      <c r="D279" s="2">
        <v>1440</v>
      </c>
      <c r="E279" t="s">
        <v>25</v>
      </c>
      <c r="F279" s="2">
        <v>1440</v>
      </c>
      <c r="G279" s="2"/>
      <c r="H279" s="2"/>
    </row>
    <row r="280" spans="1:8">
      <c r="A280" t="s">
        <v>279</v>
      </c>
      <c r="B280" s="1">
        <v>43070</v>
      </c>
      <c r="C280" s="2">
        <v>0</v>
      </c>
      <c r="D280" s="2">
        <v>1440</v>
      </c>
      <c r="E280" t="s">
        <v>25</v>
      </c>
      <c r="F280" s="2">
        <v>1440</v>
      </c>
      <c r="G280" s="2"/>
      <c r="H280" s="2"/>
    </row>
    <row r="281" spans="1:8">
      <c r="A281" t="s">
        <v>280</v>
      </c>
      <c r="B281" s="1">
        <v>43070</v>
      </c>
      <c r="C281" s="2">
        <v>0</v>
      </c>
      <c r="D281" s="2">
        <v>1440</v>
      </c>
      <c r="E281" t="s">
        <v>25</v>
      </c>
      <c r="F281" s="2">
        <v>1440</v>
      </c>
      <c r="G281" s="2"/>
      <c r="H281" s="2"/>
    </row>
    <row r="282" spans="1:8">
      <c r="A282" t="s">
        <v>281</v>
      </c>
      <c r="B282" s="1">
        <v>43070</v>
      </c>
      <c r="C282" s="2">
        <v>0</v>
      </c>
      <c r="D282" s="2">
        <v>1440</v>
      </c>
      <c r="E282" t="s">
        <v>25</v>
      </c>
      <c r="F282" s="2">
        <v>1440</v>
      </c>
      <c r="G282" s="2"/>
      <c r="H282" s="2"/>
    </row>
    <row r="283" spans="1:8">
      <c r="A283" t="s">
        <v>282</v>
      </c>
      <c r="B283" s="1">
        <v>43070</v>
      </c>
      <c r="C283" s="2">
        <v>0</v>
      </c>
      <c r="D283" s="2">
        <v>1440</v>
      </c>
      <c r="E283" t="s">
        <v>25</v>
      </c>
      <c r="F283" s="2">
        <v>1440</v>
      </c>
      <c r="G283" s="2"/>
      <c r="H283" s="2"/>
    </row>
    <row r="284" spans="1:8">
      <c r="A284" t="s">
        <v>283</v>
      </c>
      <c r="B284" s="1">
        <v>43070</v>
      </c>
      <c r="C284" s="2">
        <v>0</v>
      </c>
      <c r="D284" s="2">
        <v>1440</v>
      </c>
      <c r="E284" t="s">
        <v>25</v>
      </c>
      <c r="F284" s="2">
        <v>1440</v>
      </c>
      <c r="G284" s="2"/>
      <c r="H284" s="2"/>
    </row>
    <row r="285" spans="1:8">
      <c r="A285" t="s">
        <v>284</v>
      </c>
      <c r="B285" s="1">
        <v>43070</v>
      </c>
      <c r="C285" s="2">
        <v>0</v>
      </c>
      <c r="D285" s="2">
        <v>1440</v>
      </c>
      <c r="E285" t="s">
        <v>25</v>
      </c>
      <c r="F285" s="2">
        <v>1440</v>
      </c>
      <c r="G285" s="2"/>
      <c r="H285" s="2"/>
    </row>
    <row r="286" spans="1:8">
      <c r="A286" t="s">
        <v>285</v>
      </c>
      <c r="B286" s="1">
        <v>43070</v>
      </c>
      <c r="C286" s="2">
        <v>0</v>
      </c>
      <c r="D286" s="2">
        <v>1440</v>
      </c>
      <c r="E286" t="s">
        <v>25</v>
      </c>
      <c r="F286" s="2">
        <v>1440</v>
      </c>
      <c r="G286" s="2"/>
      <c r="H286" s="2"/>
    </row>
    <row r="287" spans="1:8">
      <c r="A287" t="s">
        <v>286</v>
      </c>
      <c r="B287" s="1">
        <v>43070</v>
      </c>
      <c r="C287" s="2">
        <v>0</v>
      </c>
      <c r="D287" s="2">
        <v>1440</v>
      </c>
      <c r="E287" t="s">
        <v>25</v>
      </c>
      <c r="F287" s="2">
        <v>1440</v>
      </c>
      <c r="G287" s="2"/>
      <c r="H287" s="2"/>
    </row>
    <row r="288" spans="1:8">
      <c r="A288" t="s">
        <v>287</v>
      </c>
      <c r="B288" s="1">
        <v>43070</v>
      </c>
      <c r="C288" s="2">
        <v>0</v>
      </c>
      <c r="D288" s="2">
        <v>1440</v>
      </c>
      <c r="E288" t="s">
        <v>25</v>
      </c>
      <c r="F288" s="2">
        <v>1440</v>
      </c>
      <c r="G288" s="2"/>
      <c r="H288" s="2"/>
    </row>
    <row r="289" spans="1:8">
      <c r="A289" t="s">
        <v>288</v>
      </c>
      <c r="B289" s="1">
        <v>43070</v>
      </c>
      <c r="C289" s="2">
        <v>0</v>
      </c>
      <c r="D289" s="2">
        <v>1440</v>
      </c>
      <c r="E289" t="s">
        <v>25</v>
      </c>
      <c r="F289" s="2">
        <v>1440</v>
      </c>
      <c r="G289" s="2"/>
      <c r="H289" s="2"/>
    </row>
    <row r="290" spans="1:8">
      <c r="A290" t="s">
        <v>289</v>
      </c>
      <c r="B290" s="1">
        <v>43070</v>
      </c>
      <c r="C290" s="2">
        <v>0</v>
      </c>
      <c r="D290" s="2">
        <v>1728</v>
      </c>
      <c r="E290" t="s">
        <v>25</v>
      </c>
      <c r="F290" s="2">
        <v>1728</v>
      </c>
      <c r="G290" s="2"/>
      <c r="H290" s="2"/>
    </row>
    <row r="291" spans="1:8">
      <c r="A291" t="s">
        <v>290</v>
      </c>
      <c r="B291" s="1">
        <v>43070</v>
      </c>
      <c r="C291" s="2">
        <v>0</v>
      </c>
      <c r="D291" s="2">
        <v>2016</v>
      </c>
      <c r="E291" t="s">
        <v>25</v>
      </c>
      <c r="F291" s="2">
        <v>2016</v>
      </c>
      <c r="G291" s="2"/>
      <c r="H291" s="2"/>
    </row>
    <row r="292" spans="1:8">
      <c r="A292" t="s">
        <v>291</v>
      </c>
      <c r="B292" s="1">
        <v>43070</v>
      </c>
      <c r="C292" s="2">
        <v>0</v>
      </c>
      <c r="D292" s="2">
        <v>2160</v>
      </c>
      <c r="E292" t="s">
        <v>25</v>
      </c>
      <c r="F292" s="2">
        <v>2160</v>
      </c>
      <c r="G292" s="2"/>
      <c r="H292" s="2"/>
    </row>
    <row r="293" spans="1:8">
      <c r="A293" t="s">
        <v>292</v>
      </c>
      <c r="B293" s="1">
        <v>43070</v>
      </c>
      <c r="C293" s="2">
        <v>0</v>
      </c>
      <c r="D293" s="2">
        <v>2448</v>
      </c>
      <c r="E293" t="s">
        <v>25</v>
      </c>
      <c r="F293" s="2">
        <v>2448</v>
      </c>
      <c r="G293" s="2"/>
      <c r="H293" s="2"/>
    </row>
    <row r="294" spans="1:8">
      <c r="A294" t="s">
        <v>293</v>
      </c>
      <c r="B294" s="1">
        <v>43070</v>
      </c>
      <c r="C294" s="2">
        <v>0</v>
      </c>
      <c r="D294" s="2">
        <v>2592</v>
      </c>
      <c r="E294" t="s">
        <v>25</v>
      </c>
      <c r="F294" s="2">
        <v>2592</v>
      </c>
      <c r="G294" s="2"/>
      <c r="H294" s="2"/>
    </row>
    <row r="295" spans="1:8">
      <c r="A295" t="s">
        <v>294</v>
      </c>
      <c r="B295" s="1">
        <v>43070</v>
      </c>
      <c r="C295" s="2">
        <v>0</v>
      </c>
      <c r="D295" s="2">
        <v>2880</v>
      </c>
      <c r="E295" t="s">
        <v>25</v>
      </c>
      <c r="F295" s="2">
        <v>2880</v>
      </c>
      <c r="G295" s="2"/>
      <c r="H295" s="2"/>
    </row>
    <row r="296" spans="1:8">
      <c r="A296" t="s">
        <v>295</v>
      </c>
      <c r="B296" s="1">
        <v>43070</v>
      </c>
      <c r="C296" s="2">
        <v>0</v>
      </c>
      <c r="D296" s="2">
        <v>2880</v>
      </c>
      <c r="E296" t="s">
        <v>25</v>
      </c>
      <c r="F296" s="2">
        <v>2880</v>
      </c>
      <c r="G296" s="2"/>
      <c r="H296" s="2"/>
    </row>
    <row r="297" spans="1:8">
      <c r="A297" t="s">
        <v>296</v>
      </c>
      <c r="B297" s="1">
        <v>43070</v>
      </c>
      <c r="C297" s="2">
        <v>0</v>
      </c>
      <c r="D297" s="2">
        <v>2880</v>
      </c>
      <c r="E297" t="s">
        <v>25</v>
      </c>
      <c r="F297" s="2">
        <v>2880</v>
      </c>
      <c r="G297" s="2"/>
      <c r="H297" s="2"/>
    </row>
    <row r="298" spans="1:8">
      <c r="A298" t="s">
        <v>297</v>
      </c>
      <c r="B298" s="1">
        <v>43070</v>
      </c>
      <c r="C298" s="2">
        <v>0</v>
      </c>
      <c r="D298" s="2">
        <v>3600</v>
      </c>
      <c r="E298" t="s">
        <v>25</v>
      </c>
      <c r="F298" s="2">
        <v>3600</v>
      </c>
      <c r="G298" s="2"/>
      <c r="H298" s="2"/>
    </row>
    <row r="299" spans="1:8">
      <c r="A299" t="s">
        <v>298</v>
      </c>
      <c r="B299" s="1">
        <v>43070</v>
      </c>
      <c r="C299" s="2">
        <v>0</v>
      </c>
      <c r="D299" s="2">
        <v>3732</v>
      </c>
      <c r="E299" t="s">
        <v>25</v>
      </c>
      <c r="F299" s="2">
        <v>3732</v>
      </c>
      <c r="G299" s="2"/>
      <c r="H299" s="2"/>
    </row>
    <row r="300" spans="1:8">
      <c r="A300" t="s">
        <v>299</v>
      </c>
      <c r="B300" s="1">
        <v>43070</v>
      </c>
      <c r="C300" s="2">
        <v>0</v>
      </c>
      <c r="D300" s="2">
        <v>4068</v>
      </c>
      <c r="E300" t="s">
        <v>25</v>
      </c>
      <c r="F300" s="2">
        <v>4068</v>
      </c>
      <c r="G300" s="2"/>
      <c r="H300" s="2"/>
    </row>
    <row r="301" spans="1:8">
      <c r="A301" t="s">
        <v>300</v>
      </c>
      <c r="B301" s="1">
        <v>43070</v>
      </c>
      <c r="C301" s="2">
        <v>0</v>
      </c>
      <c r="D301" s="2">
        <v>4656</v>
      </c>
      <c r="E301" t="s">
        <v>25</v>
      </c>
      <c r="F301" s="2">
        <v>4656</v>
      </c>
      <c r="G301" s="2"/>
      <c r="H301" s="2"/>
    </row>
    <row r="302" spans="1:8">
      <c r="A302" t="s">
        <v>301</v>
      </c>
      <c r="B302" s="1">
        <v>43070</v>
      </c>
      <c r="C302" s="2">
        <v>0</v>
      </c>
      <c r="D302" s="2">
        <v>5184</v>
      </c>
      <c r="E302" t="s">
        <v>25</v>
      </c>
      <c r="F302" s="2">
        <v>5184</v>
      </c>
      <c r="G302" s="2"/>
      <c r="H302" s="2"/>
    </row>
    <row r="303" spans="1:8">
      <c r="A303" t="s">
        <v>302</v>
      </c>
      <c r="B303" s="1">
        <v>43070</v>
      </c>
      <c r="C303" s="2">
        <v>0</v>
      </c>
      <c r="D303" s="2">
        <v>5580</v>
      </c>
      <c r="E303" t="s">
        <v>25</v>
      </c>
      <c r="F303" s="2">
        <v>5580</v>
      </c>
      <c r="G303" s="2"/>
      <c r="H303" s="2"/>
    </row>
    <row r="304" spans="1:8">
      <c r="A304" t="s">
        <v>303</v>
      </c>
      <c r="B304" s="1">
        <v>43070</v>
      </c>
      <c r="C304" s="2">
        <v>0</v>
      </c>
      <c r="D304" s="2">
        <v>6372</v>
      </c>
      <c r="E304" t="s">
        <v>25</v>
      </c>
      <c r="F304" s="2">
        <v>6372</v>
      </c>
      <c r="G304" s="2"/>
      <c r="H304" s="2"/>
    </row>
    <row r="305" spans="1:8">
      <c r="A305" t="s">
        <v>304</v>
      </c>
      <c r="B305" s="1">
        <v>43070</v>
      </c>
      <c r="C305" s="2">
        <v>0</v>
      </c>
      <c r="D305" s="2">
        <v>8088</v>
      </c>
      <c r="E305" t="s">
        <v>25</v>
      </c>
      <c r="F305" s="2">
        <v>8088</v>
      </c>
      <c r="G305" s="2"/>
      <c r="H305" s="2"/>
    </row>
    <row r="306" spans="1:8">
      <c r="A306" t="s">
        <v>305</v>
      </c>
      <c r="B306" s="1">
        <v>43070</v>
      </c>
      <c r="C306" s="2">
        <v>0</v>
      </c>
      <c r="D306" s="2">
        <v>8748</v>
      </c>
      <c r="E306" t="s">
        <v>25</v>
      </c>
      <c r="F306" s="2">
        <v>8748</v>
      </c>
      <c r="G306" s="2"/>
      <c r="H306" s="2"/>
    </row>
    <row r="307" spans="1:8">
      <c r="A307" t="s">
        <v>306</v>
      </c>
      <c r="B307" s="1">
        <v>43070</v>
      </c>
      <c r="C307" s="2">
        <v>0</v>
      </c>
      <c r="D307" s="2">
        <v>11124</v>
      </c>
      <c r="E307" t="s">
        <v>25</v>
      </c>
      <c r="F307" s="2">
        <v>11124</v>
      </c>
      <c r="G307" s="2"/>
      <c r="H307" s="2"/>
    </row>
    <row r="308" spans="1:8">
      <c r="A308" t="s">
        <v>307</v>
      </c>
      <c r="B308" s="1">
        <v>43070</v>
      </c>
      <c r="C308" s="2">
        <v>0</v>
      </c>
      <c r="D308" s="2">
        <v>20460</v>
      </c>
      <c r="E308" t="s">
        <v>25</v>
      </c>
      <c r="F308" s="2">
        <v>20460</v>
      </c>
      <c r="G308" s="2"/>
      <c r="H308" s="2"/>
    </row>
    <row r="309" spans="1:8">
      <c r="A309" t="s">
        <v>308</v>
      </c>
      <c r="B309" s="1">
        <v>43070</v>
      </c>
      <c r="C309" s="2">
        <v>0</v>
      </c>
      <c r="D309" s="2">
        <v>3456</v>
      </c>
      <c r="E309" t="s">
        <v>72</v>
      </c>
      <c r="F309" s="2">
        <v>3456</v>
      </c>
      <c r="G309" s="2"/>
      <c r="H309" s="2"/>
    </row>
    <row r="310" spans="1:8">
      <c r="A310" t="s">
        <v>142</v>
      </c>
      <c r="B310" s="1">
        <v>43070</v>
      </c>
      <c r="C310" s="2">
        <v>3168</v>
      </c>
      <c r="D310" s="2">
        <v>6636</v>
      </c>
      <c r="E310" t="s">
        <v>12</v>
      </c>
      <c r="F310" s="2">
        <v>3468</v>
      </c>
      <c r="G310" s="2"/>
      <c r="H310" s="2"/>
    </row>
    <row r="311" spans="1:8">
      <c r="A311" t="s">
        <v>169</v>
      </c>
      <c r="B311" s="1">
        <v>43070</v>
      </c>
      <c r="C311" s="2">
        <v>1440</v>
      </c>
      <c r="D311" s="2">
        <v>4920</v>
      </c>
      <c r="E311" t="s">
        <v>12</v>
      </c>
      <c r="F311" s="2">
        <v>3480</v>
      </c>
      <c r="G311" s="2"/>
      <c r="H311" s="2"/>
    </row>
    <row r="312" spans="1:8">
      <c r="A312" t="s">
        <v>309</v>
      </c>
      <c r="B312" s="1">
        <v>43070</v>
      </c>
      <c r="C312" s="2">
        <v>0</v>
      </c>
      <c r="D312" s="2">
        <v>4128</v>
      </c>
      <c r="E312" t="s">
        <v>72</v>
      </c>
      <c r="F312" s="2">
        <v>4128</v>
      </c>
      <c r="G312" s="2"/>
      <c r="H312" s="2"/>
    </row>
    <row r="313" spans="1:8">
      <c r="A313" t="s">
        <v>196</v>
      </c>
      <c r="B313" s="1">
        <v>43070</v>
      </c>
      <c r="C313" s="2">
        <v>1440</v>
      </c>
      <c r="D313" s="2">
        <v>5844</v>
      </c>
      <c r="E313" t="s">
        <v>12</v>
      </c>
      <c r="F313" s="2">
        <v>4404</v>
      </c>
      <c r="G313" s="2"/>
      <c r="H313" s="2"/>
    </row>
    <row r="314" spans="1:8">
      <c r="A314" t="s">
        <v>310</v>
      </c>
      <c r="B314" s="1">
        <v>43070</v>
      </c>
      <c r="C314" s="2">
        <v>0</v>
      </c>
      <c r="D314" s="2">
        <v>9936</v>
      </c>
      <c r="E314" t="s">
        <v>72</v>
      </c>
      <c r="F314" s="2">
        <v>9936</v>
      </c>
      <c r="G314" s="2"/>
      <c r="H314" s="2"/>
    </row>
    <row r="315" spans="1:8">
      <c r="A315" t="s">
        <v>119</v>
      </c>
      <c r="B315" s="1">
        <v>43070</v>
      </c>
      <c r="C315" s="2">
        <v>29100</v>
      </c>
      <c r="D315" s="2">
        <v>40140</v>
      </c>
      <c r="E315" t="s">
        <v>12</v>
      </c>
      <c r="F315" s="2">
        <v>11040</v>
      </c>
      <c r="G315" s="2"/>
      <c r="H315" s="2"/>
    </row>
    <row r="316" spans="1:8">
      <c r="A316" t="s">
        <v>143</v>
      </c>
      <c r="B316" s="1">
        <v>43070</v>
      </c>
      <c r="C316" s="2">
        <v>16140</v>
      </c>
      <c r="D316" s="2">
        <v>40620</v>
      </c>
      <c r="E316" t="s">
        <v>12</v>
      </c>
      <c r="F316" s="2">
        <v>24480</v>
      </c>
      <c r="G316" s="2"/>
      <c r="H316" s="2"/>
    </row>
    <row r="317" spans="1:8">
      <c r="A317" t="s">
        <v>213</v>
      </c>
      <c r="B317" s="1">
        <v>43070</v>
      </c>
      <c r="C317" s="2">
        <v>1584</v>
      </c>
      <c r="D317" s="2">
        <v>30660</v>
      </c>
      <c r="E317" t="s">
        <v>12</v>
      </c>
      <c r="F317" s="2">
        <v>29076</v>
      </c>
      <c r="G317" s="2"/>
      <c r="H317" s="2"/>
    </row>
    <row r="318" spans="1:8">
      <c r="A318" t="s">
        <v>119</v>
      </c>
      <c r="B318" s="1">
        <v>43101</v>
      </c>
      <c r="C318" s="2">
        <v>40140</v>
      </c>
      <c r="D318" s="2">
        <v>1872</v>
      </c>
      <c r="E318" t="s">
        <v>14</v>
      </c>
      <c r="F318" s="2">
        <v>-38268</v>
      </c>
      <c r="G318" s="2"/>
      <c r="H318" s="2"/>
    </row>
    <row r="319" spans="1:8">
      <c r="A319" t="s">
        <v>213</v>
      </c>
      <c r="B319" s="1">
        <v>43101</v>
      </c>
      <c r="C319" s="2">
        <v>30660</v>
      </c>
      <c r="D319" s="2">
        <v>2448</v>
      </c>
      <c r="E319" t="s">
        <v>14</v>
      </c>
      <c r="F319" s="2">
        <v>-28212</v>
      </c>
      <c r="G319" s="2"/>
      <c r="H319" s="2"/>
    </row>
    <row r="320" spans="1:8">
      <c r="A320" t="s">
        <v>143</v>
      </c>
      <c r="B320" s="1">
        <v>43101</v>
      </c>
      <c r="C320" s="2">
        <v>40620</v>
      </c>
      <c r="D320" s="2">
        <v>15180</v>
      </c>
      <c r="E320" t="s">
        <v>14</v>
      </c>
      <c r="F320" s="2">
        <v>-25440</v>
      </c>
      <c r="G320" s="2"/>
      <c r="H320" s="2"/>
    </row>
    <row r="321" spans="1:8">
      <c r="A321" t="s">
        <v>305</v>
      </c>
      <c r="B321" s="1">
        <v>43101</v>
      </c>
      <c r="C321" s="2">
        <v>8748</v>
      </c>
      <c r="D321" s="2">
        <v>3600</v>
      </c>
      <c r="E321" t="s">
        <v>14</v>
      </c>
      <c r="F321" s="2">
        <v>-5148</v>
      </c>
      <c r="G321" s="2"/>
      <c r="H321" s="2"/>
    </row>
    <row r="322" spans="1:8">
      <c r="A322" t="s">
        <v>299</v>
      </c>
      <c r="B322" s="1">
        <v>43101</v>
      </c>
      <c r="C322" s="2">
        <v>4068</v>
      </c>
      <c r="D322" s="2">
        <v>0</v>
      </c>
      <c r="E322" t="s">
        <v>77</v>
      </c>
      <c r="F322" s="2">
        <v>-4068</v>
      </c>
      <c r="G322" s="2"/>
      <c r="H322" s="2"/>
    </row>
    <row r="323" spans="1:8">
      <c r="A323" t="s">
        <v>208</v>
      </c>
      <c r="B323" s="1">
        <v>43101</v>
      </c>
      <c r="C323" s="2">
        <v>10464</v>
      </c>
      <c r="D323" s="2">
        <v>6504</v>
      </c>
      <c r="E323" t="s">
        <v>14</v>
      </c>
      <c r="F323" s="2">
        <v>-3960</v>
      </c>
      <c r="G323" s="2"/>
      <c r="H323" s="2"/>
    </row>
    <row r="324" spans="1:8">
      <c r="A324" t="s">
        <v>300</v>
      </c>
      <c r="B324" s="1">
        <v>43101</v>
      </c>
      <c r="C324" s="2">
        <v>4656</v>
      </c>
      <c r="D324" s="2">
        <v>1440</v>
      </c>
      <c r="E324" t="s">
        <v>14</v>
      </c>
      <c r="F324" s="2">
        <v>-3216</v>
      </c>
      <c r="G324" s="2"/>
      <c r="H324" s="2"/>
    </row>
    <row r="325" spans="1:8">
      <c r="A325" t="s">
        <v>298</v>
      </c>
      <c r="B325" s="1">
        <v>43101</v>
      </c>
      <c r="C325" s="2">
        <v>3732</v>
      </c>
      <c r="D325" s="2">
        <v>1440</v>
      </c>
      <c r="E325" t="s">
        <v>14</v>
      </c>
      <c r="F325" s="2">
        <v>-2292</v>
      </c>
      <c r="G325" s="2"/>
      <c r="H325" s="2"/>
    </row>
    <row r="326" spans="1:8">
      <c r="A326" t="s">
        <v>133</v>
      </c>
      <c r="B326" s="1">
        <v>43101</v>
      </c>
      <c r="C326" s="2">
        <v>1872</v>
      </c>
      <c r="D326" s="2">
        <v>0</v>
      </c>
      <c r="E326" t="s">
        <v>77</v>
      </c>
      <c r="F326" s="2">
        <v>-1872</v>
      </c>
      <c r="G326" s="2"/>
      <c r="H326" s="2"/>
    </row>
    <row r="327" spans="1:8">
      <c r="A327" t="s">
        <v>211</v>
      </c>
      <c r="B327" s="1">
        <v>43101</v>
      </c>
      <c r="C327" s="2">
        <v>3312</v>
      </c>
      <c r="D327" s="2">
        <v>1440</v>
      </c>
      <c r="E327" t="s">
        <v>14</v>
      </c>
      <c r="F327" s="2">
        <v>-1872</v>
      </c>
      <c r="G327" s="2"/>
      <c r="H327" s="2"/>
    </row>
    <row r="328" spans="1:8">
      <c r="A328" t="s">
        <v>216</v>
      </c>
      <c r="B328" s="1">
        <v>43101</v>
      </c>
      <c r="C328" s="2">
        <v>17100</v>
      </c>
      <c r="D328" s="2">
        <v>15540</v>
      </c>
      <c r="E328" t="s">
        <v>14</v>
      </c>
      <c r="F328" s="2">
        <v>-1560</v>
      </c>
      <c r="G328" s="2"/>
      <c r="H328" s="2"/>
    </row>
    <row r="329" spans="1:8">
      <c r="A329" t="s">
        <v>226</v>
      </c>
      <c r="B329" s="1">
        <v>43101</v>
      </c>
      <c r="C329" s="2">
        <v>1440</v>
      </c>
      <c r="D329" s="2">
        <v>0</v>
      </c>
      <c r="E329" t="s">
        <v>77</v>
      </c>
      <c r="F329" s="2">
        <v>-1440</v>
      </c>
      <c r="G329" s="2"/>
      <c r="H329" s="2"/>
    </row>
    <row r="330" spans="1:8">
      <c r="A330" t="s">
        <v>162</v>
      </c>
      <c r="B330" s="1">
        <v>43101</v>
      </c>
      <c r="C330" s="2">
        <v>2880</v>
      </c>
      <c r="D330" s="2">
        <v>1440</v>
      </c>
      <c r="E330" t="s">
        <v>14</v>
      </c>
      <c r="F330" s="2">
        <v>-1440</v>
      </c>
      <c r="G330" s="2"/>
      <c r="H330" s="2"/>
    </row>
    <row r="331" spans="1:8">
      <c r="A331" t="s">
        <v>309</v>
      </c>
      <c r="B331" s="1">
        <v>43101</v>
      </c>
      <c r="C331" s="2">
        <v>4128</v>
      </c>
      <c r="D331" s="2">
        <v>2880</v>
      </c>
      <c r="E331" t="s">
        <v>14</v>
      </c>
      <c r="F331" s="2">
        <v>-1248</v>
      </c>
      <c r="G331" s="2"/>
      <c r="H331" s="2"/>
    </row>
    <row r="332" spans="1:8">
      <c r="A332" t="s">
        <v>293</v>
      </c>
      <c r="B332" s="1">
        <v>43101</v>
      </c>
      <c r="C332" s="2">
        <v>2592</v>
      </c>
      <c r="D332" s="2">
        <v>1440</v>
      </c>
      <c r="E332" t="s">
        <v>14</v>
      </c>
      <c r="F332" s="2">
        <v>-1152</v>
      </c>
      <c r="G332" s="2"/>
      <c r="H332" s="2"/>
    </row>
    <row r="333" spans="1:8">
      <c r="A333" t="s">
        <v>199</v>
      </c>
      <c r="B333" s="1">
        <v>43101</v>
      </c>
      <c r="C333" s="2">
        <v>2160</v>
      </c>
      <c r="D333" s="2">
        <v>1440</v>
      </c>
      <c r="E333" t="s">
        <v>14</v>
      </c>
      <c r="F333" s="2">
        <v>-720</v>
      </c>
      <c r="G333" s="2"/>
      <c r="H333" s="2"/>
    </row>
    <row r="334" spans="1:8">
      <c r="A334" t="s">
        <v>198</v>
      </c>
      <c r="B334" s="1">
        <v>43101</v>
      </c>
      <c r="C334" s="2">
        <v>2304</v>
      </c>
      <c r="D334" s="2">
        <v>1872</v>
      </c>
      <c r="E334" t="s">
        <v>14</v>
      </c>
      <c r="F334" s="2">
        <v>-432</v>
      </c>
      <c r="G334" s="2"/>
      <c r="H334" s="2"/>
    </row>
    <row r="335" spans="1:8">
      <c r="A335" t="s">
        <v>130</v>
      </c>
      <c r="B335" s="1">
        <v>43101</v>
      </c>
      <c r="C335" s="2">
        <v>1872</v>
      </c>
      <c r="D335" s="2">
        <v>1440</v>
      </c>
      <c r="E335" t="s">
        <v>14</v>
      </c>
      <c r="F335" s="2">
        <v>-432</v>
      </c>
      <c r="G335" s="2"/>
      <c r="H335" s="2"/>
    </row>
    <row r="336" spans="1:8">
      <c r="A336" t="s">
        <v>303</v>
      </c>
      <c r="B336" s="1">
        <v>43101</v>
      </c>
      <c r="C336" s="2">
        <v>6372</v>
      </c>
      <c r="D336" s="2">
        <v>5976</v>
      </c>
      <c r="E336" t="s">
        <v>14</v>
      </c>
      <c r="F336" s="2">
        <v>-396</v>
      </c>
      <c r="G336" s="2"/>
      <c r="H336" s="2"/>
    </row>
    <row r="337" spans="1:8">
      <c r="A337" t="s">
        <v>295</v>
      </c>
      <c r="B337" s="1">
        <v>43101</v>
      </c>
      <c r="C337" s="2">
        <v>2880</v>
      </c>
      <c r="D337" s="2">
        <v>2592</v>
      </c>
      <c r="E337" t="s">
        <v>14</v>
      </c>
      <c r="F337" s="2">
        <v>-288</v>
      </c>
      <c r="G337" s="2"/>
      <c r="H337" s="2"/>
    </row>
    <row r="338" spans="1:8">
      <c r="A338" t="s">
        <v>214</v>
      </c>
      <c r="B338" s="1">
        <v>43101</v>
      </c>
      <c r="C338" s="2">
        <v>2880</v>
      </c>
      <c r="D338" s="2">
        <v>2592</v>
      </c>
      <c r="E338" t="s">
        <v>14</v>
      </c>
      <c r="F338" s="2">
        <v>-288</v>
      </c>
      <c r="G338" s="2"/>
      <c r="H338" s="2"/>
    </row>
    <row r="339" spans="1:8">
      <c r="A339" t="s">
        <v>157</v>
      </c>
      <c r="B339" s="1">
        <v>43101</v>
      </c>
      <c r="C339" s="2">
        <v>2304</v>
      </c>
      <c r="D339" s="2">
        <v>2016</v>
      </c>
      <c r="E339" t="s">
        <v>14</v>
      </c>
      <c r="F339" s="2">
        <v>-288</v>
      </c>
      <c r="G339" s="2"/>
      <c r="H339" s="2"/>
    </row>
    <row r="340" spans="1:8">
      <c r="A340" t="s">
        <v>141</v>
      </c>
      <c r="B340" s="1">
        <v>43101</v>
      </c>
      <c r="C340" s="2">
        <v>1728</v>
      </c>
      <c r="D340" s="2">
        <v>1440</v>
      </c>
      <c r="E340" t="s">
        <v>14</v>
      </c>
      <c r="F340" s="2">
        <v>-288</v>
      </c>
      <c r="G340" s="2"/>
      <c r="H340" s="2"/>
    </row>
    <row r="341" spans="1:8">
      <c r="A341" t="s">
        <v>289</v>
      </c>
      <c r="B341" s="1">
        <v>43101</v>
      </c>
      <c r="C341" s="2">
        <v>1728</v>
      </c>
      <c r="D341" s="2">
        <v>1440</v>
      </c>
      <c r="E341" t="s">
        <v>14</v>
      </c>
      <c r="F341" s="2">
        <v>-288</v>
      </c>
      <c r="G341" s="2"/>
      <c r="H341" s="2"/>
    </row>
    <row r="342" spans="1:8">
      <c r="A342" t="s">
        <v>203</v>
      </c>
      <c r="B342" s="1">
        <v>43101</v>
      </c>
      <c r="C342" s="2">
        <v>3996</v>
      </c>
      <c r="D342" s="2">
        <v>3732</v>
      </c>
      <c r="E342" t="s">
        <v>14</v>
      </c>
      <c r="F342" s="2">
        <v>-264</v>
      </c>
      <c r="G342" s="2"/>
      <c r="H342" s="2"/>
    </row>
    <row r="343" spans="1:8">
      <c r="A343" t="s">
        <v>291</v>
      </c>
      <c r="B343" s="1">
        <v>43101</v>
      </c>
      <c r="C343" s="2">
        <v>2160</v>
      </c>
      <c r="D343" s="2">
        <v>2016</v>
      </c>
      <c r="E343" t="s">
        <v>14</v>
      </c>
      <c r="F343" s="2">
        <v>-144</v>
      </c>
      <c r="G343" s="2"/>
      <c r="H343" s="2"/>
    </row>
    <row r="344" spans="1:8">
      <c r="A344" t="s">
        <v>290</v>
      </c>
      <c r="B344" s="1">
        <v>43101</v>
      </c>
      <c r="C344" s="2">
        <v>2016</v>
      </c>
      <c r="D344" s="2">
        <v>1872</v>
      </c>
      <c r="E344" t="s">
        <v>14</v>
      </c>
      <c r="F344" s="2">
        <v>-144</v>
      </c>
      <c r="G344" s="2"/>
      <c r="H344" s="2"/>
    </row>
    <row r="345" spans="1:8">
      <c r="A345" t="s">
        <v>302</v>
      </c>
      <c r="B345" s="1">
        <v>43101</v>
      </c>
      <c r="C345" s="2">
        <v>5580</v>
      </c>
      <c r="D345" s="2">
        <v>5448</v>
      </c>
      <c r="E345" t="s">
        <v>14</v>
      </c>
      <c r="F345" s="2">
        <v>-132</v>
      </c>
      <c r="G345" s="2"/>
      <c r="H345" s="2"/>
    </row>
    <row r="346" spans="1:8">
      <c r="A346" t="s">
        <v>307</v>
      </c>
      <c r="B346" s="1">
        <v>43101</v>
      </c>
      <c r="C346" s="2">
        <v>20460</v>
      </c>
      <c r="D346" s="2">
        <v>20340</v>
      </c>
      <c r="E346" t="s">
        <v>14</v>
      </c>
      <c r="F346" s="2">
        <v>-120</v>
      </c>
      <c r="G346" s="2"/>
      <c r="H346" s="2"/>
    </row>
    <row r="347" spans="1:8">
      <c r="A347" t="s">
        <v>204</v>
      </c>
      <c r="B347" s="1">
        <v>43101</v>
      </c>
      <c r="C347" s="2">
        <v>4260</v>
      </c>
      <c r="D347" s="2">
        <v>4260</v>
      </c>
      <c r="E347" t="s">
        <v>73</v>
      </c>
      <c r="F347" s="2">
        <v>0</v>
      </c>
      <c r="G347" s="2"/>
      <c r="H347" s="2"/>
    </row>
    <row r="348" spans="1:8">
      <c r="A348" t="s">
        <v>200</v>
      </c>
      <c r="B348" s="1">
        <v>43101</v>
      </c>
      <c r="C348" s="2">
        <v>3168</v>
      </c>
      <c r="D348" s="2">
        <v>3168</v>
      </c>
      <c r="E348" t="s">
        <v>73</v>
      </c>
      <c r="F348" s="2">
        <v>0</v>
      </c>
      <c r="G348" s="2"/>
      <c r="H348" s="2"/>
    </row>
    <row r="349" spans="1:8">
      <c r="A349" t="s">
        <v>155</v>
      </c>
      <c r="B349" s="1">
        <v>43101</v>
      </c>
      <c r="C349" s="2">
        <v>1440</v>
      </c>
      <c r="D349" s="2">
        <v>1440</v>
      </c>
      <c r="E349" t="s">
        <v>73</v>
      </c>
      <c r="F349" s="2">
        <v>0</v>
      </c>
      <c r="G349" s="2"/>
      <c r="H349" s="2"/>
    </row>
    <row r="350" spans="1:8">
      <c r="A350" t="s">
        <v>156</v>
      </c>
      <c r="B350" s="1">
        <v>43101</v>
      </c>
      <c r="C350" s="2">
        <v>1440</v>
      </c>
      <c r="D350" s="2">
        <v>1440</v>
      </c>
      <c r="E350" t="s">
        <v>73</v>
      </c>
      <c r="F350" s="2">
        <v>0</v>
      </c>
      <c r="G350" s="2"/>
      <c r="H350" s="2"/>
    </row>
    <row r="351" spans="1:8">
      <c r="A351" t="s">
        <v>158</v>
      </c>
      <c r="B351" s="1">
        <v>43101</v>
      </c>
      <c r="C351" s="2">
        <v>1440</v>
      </c>
      <c r="D351" s="2">
        <v>1440</v>
      </c>
      <c r="E351" t="s">
        <v>73</v>
      </c>
      <c r="F351" s="2">
        <v>0</v>
      </c>
      <c r="G351" s="2"/>
      <c r="H351" s="2"/>
    </row>
    <row r="352" spans="1:8">
      <c r="A352" t="s">
        <v>123</v>
      </c>
      <c r="B352" s="1">
        <v>43101</v>
      </c>
      <c r="C352" s="2">
        <v>1440</v>
      </c>
      <c r="D352" s="2">
        <v>1440</v>
      </c>
      <c r="E352" t="s">
        <v>73</v>
      </c>
      <c r="F352" s="2">
        <v>0</v>
      </c>
      <c r="G352" s="2"/>
      <c r="H352" s="2"/>
    </row>
    <row r="353" spans="1:8">
      <c r="A353" t="s">
        <v>159</v>
      </c>
      <c r="B353" s="1">
        <v>43101</v>
      </c>
      <c r="C353" s="2">
        <v>1440</v>
      </c>
      <c r="D353" s="2">
        <v>1440</v>
      </c>
      <c r="E353" t="s">
        <v>73</v>
      </c>
      <c r="F353" s="2">
        <v>0</v>
      </c>
      <c r="G353" s="2"/>
      <c r="H353" s="2"/>
    </row>
    <row r="354" spans="1:8">
      <c r="A354" t="s">
        <v>228</v>
      </c>
      <c r="B354" s="1">
        <v>43101</v>
      </c>
      <c r="C354" s="2">
        <v>1440</v>
      </c>
      <c r="D354" s="2">
        <v>1440</v>
      </c>
      <c r="E354" t="s">
        <v>73</v>
      </c>
      <c r="F354" s="2">
        <v>0</v>
      </c>
      <c r="G354" s="2"/>
      <c r="H354" s="2"/>
    </row>
    <row r="355" spans="1:8">
      <c r="A355" t="s">
        <v>229</v>
      </c>
      <c r="B355" s="1">
        <v>43101</v>
      </c>
      <c r="C355" s="2">
        <v>1440</v>
      </c>
      <c r="D355" s="2">
        <v>1440</v>
      </c>
      <c r="E355" t="s">
        <v>73</v>
      </c>
      <c r="F355" s="2">
        <v>0</v>
      </c>
      <c r="G355" s="2"/>
      <c r="H355" s="2"/>
    </row>
    <row r="356" spans="1:8">
      <c r="A356" t="s">
        <v>160</v>
      </c>
      <c r="B356" s="1">
        <v>43101</v>
      </c>
      <c r="C356" s="2">
        <v>1440</v>
      </c>
      <c r="D356" s="2">
        <v>1440</v>
      </c>
      <c r="E356" t="s">
        <v>73</v>
      </c>
      <c r="F356" s="2">
        <v>0</v>
      </c>
      <c r="G356" s="2"/>
      <c r="H356" s="2"/>
    </row>
    <row r="357" spans="1:8">
      <c r="A357" t="s">
        <v>230</v>
      </c>
      <c r="B357" s="1">
        <v>43101</v>
      </c>
      <c r="C357" s="2">
        <v>1440</v>
      </c>
      <c r="D357" s="2">
        <v>1440</v>
      </c>
      <c r="E357" t="s">
        <v>73</v>
      </c>
      <c r="F357" s="2">
        <v>0</v>
      </c>
      <c r="G357" s="2"/>
      <c r="H357" s="2"/>
    </row>
    <row r="358" spans="1:8">
      <c r="A358" t="s">
        <v>231</v>
      </c>
      <c r="B358" s="1">
        <v>43101</v>
      </c>
      <c r="C358" s="2">
        <v>1440</v>
      </c>
      <c r="D358" s="2">
        <v>1440</v>
      </c>
      <c r="E358" t="s">
        <v>73</v>
      </c>
      <c r="F358" s="2">
        <v>0</v>
      </c>
      <c r="G358" s="2"/>
      <c r="H358" s="2"/>
    </row>
    <row r="359" spans="1:8">
      <c r="A359" t="s">
        <v>161</v>
      </c>
      <c r="B359" s="1">
        <v>43101</v>
      </c>
      <c r="C359" s="2">
        <v>1440</v>
      </c>
      <c r="D359" s="2">
        <v>1440</v>
      </c>
      <c r="E359" t="s">
        <v>73</v>
      </c>
      <c r="F359" s="2">
        <v>0</v>
      </c>
      <c r="G359" s="2"/>
      <c r="H359" s="2"/>
    </row>
    <row r="360" spans="1:8">
      <c r="A360" t="s">
        <v>232</v>
      </c>
      <c r="B360" s="1">
        <v>43101</v>
      </c>
      <c r="C360" s="2">
        <v>1440</v>
      </c>
      <c r="D360" s="2">
        <v>1440</v>
      </c>
      <c r="E360" t="s">
        <v>73</v>
      </c>
      <c r="F360" s="2">
        <v>0</v>
      </c>
      <c r="G360" s="2"/>
      <c r="H360" s="2"/>
    </row>
    <row r="361" spans="1:8">
      <c r="A361" t="s">
        <v>163</v>
      </c>
      <c r="B361" s="1">
        <v>43101</v>
      </c>
      <c r="C361" s="2">
        <v>1440</v>
      </c>
      <c r="D361" s="2">
        <v>1440</v>
      </c>
      <c r="E361" t="s">
        <v>73</v>
      </c>
      <c r="F361" s="2">
        <v>0</v>
      </c>
      <c r="G361" s="2"/>
      <c r="H361" s="2"/>
    </row>
    <row r="362" spans="1:8">
      <c r="A362" t="s">
        <v>233</v>
      </c>
      <c r="B362" s="1">
        <v>43101</v>
      </c>
      <c r="C362" s="2">
        <v>1440</v>
      </c>
      <c r="D362" s="2">
        <v>1440</v>
      </c>
      <c r="E362" t="s">
        <v>73</v>
      </c>
      <c r="F362" s="2">
        <v>0</v>
      </c>
      <c r="G362" s="2"/>
      <c r="H362" s="2"/>
    </row>
    <row r="363" spans="1:8">
      <c r="A363" t="s">
        <v>234</v>
      </c>
      <c r="B363" s="1">
        <v>43101</v>
      </c>
      <c r="C363" s="2">
        <v>1440</v>
      </c>
      <c r="D363" s="2">
        <v>1440</v>
      </c>
      <c r="E363" t="s">
        <v>73</v>
      </c>
      <c r="F363" s="2">
        <v>0</v>
      </c>
      <c r="G363" s="2"/>
      <c r="H363" s="2"/>
    </row>
    <row r="364" spans="1:8">
      <c r="A364" t="s">
        <v>235</v>
      </c>
      <c r="B364" s="1">
        <v>43101</v>
      </c>
      <c r="C364" s="2">
        <v>1440</v>
      </c>
      <c r="D364" s="2">
        <v>1440</v>
      </c>
      <c r="E364" t="s">
        <v>73</v>
      </c>
      <c r="F364" s="2">
        <v>0</v>
      </c>
      <c r="G364" s="2"/>
      <c r="H364" s="2"/>
    </row>
    <row r="365" spans="1:8">
      <c r="A365" t="s">
        <v>124</v>
      </c>
      <c r="B365" s="1">
        <v>43101</v>
      </c>
      <c r="C365" s="2">
        <v>1440</v>
      </c>
      <c r="D365" s="2">
        <v>1440</v>
      </c>
      <c r="E365" t="s">
        <v>73</v>
      </c>
      <c r="F365" s="2">
        <v>0</v>
      </c>
      <c r="G365" s="2"/>
      <c r="H365" s="2"/>
    </row>
    <row r="366" spans="1:8">
      <c r="A366" t="s">
        <v>236</v>
      </c>
      <c r="B366" s="1">
        <v>43101</v>
      </c>
      <c r="C366" s="2">
        <v>1440</v>
      </c>
      <c r="D366" s="2">
        <v>1440</v>
      </c>
      <c r="E366" t="s">
        <v>73</v>
      </c>
      <c r="F366" s="2">
        <v>0</v>
      </c>
      <c r="G366" s="2"/>
      <c r="H366" s="2"/>
    </row>
    <row r="367" spans="1:8">
      <c r="A367" t="s">
        <v>165</v>
      </c>
      <c r="B367" s="1">
        <v>43101</v>
      </c>
      <c r="C367" s="2">
        <v>1440</v>
      </c>
      <c r="D367" s="2">
        <v>1440</v>
      </c>
      <c r="E367" t="s">
        <v>73</v>
      </c>
      <c r="F367" s="2">
        <v>0</v>
      </c>
      <c r="G367" s="2"/>
      <c r="H367" s="2"/>
    </row>
    <row r="368" spans="1:8">
      <c r="A368" t="s">
        <v>166</v>
      </c>
      <c r="B368" s="1">
        <v>43101</v>
      </c>
      <c r="C368" s="2">
        <v>1440</v>
      </c>
      <c r="D368" s="2">
        <v>1440</v>
      </c>
      <c r="E368" t="s">
        <v>73</v>
      </c>
      <c r="F368" s="2">
        <v>0</v>
      </c>
      <c r="G368" s="2"/>
      <c r="H368" s="2"/>
    </row>
    <row r="369" spans="1:8">
      <c r="A369" t="s">
        <v>237</v>
      </c>
      <c r="B369" s="1">
        <v>43101</v>
      </c>
      <c r="C369" s="2">
        <v>1440</v>
      </c>
      <c r="D369" s="2">
        <v>1440</v>
      </c>
      <c r="E369" t="s">
        <v>73</v>
      </c>
      <c r="F369" s="2">
        <v>0</v>
      </c>
      <c r="G369" s="2"/>
      <c r="H369" s="2"/>
    </row>
    <row r="370" spans="1:8">
      <c r="A370" t="s">
        <v>238</v>
      </c>
      <c r="B370" s="1">
        <v>43101</v>
      </c>
      <c r="C370" s="2">
        <v>1440</v>
      </c>
      <c r="D370" s="2">
        <v>1440</v>
      </c>
      <c r="E370" t="s">
        <v>73</v>
      </c>
      <c r="F370" s="2">
        <v>0</v>
      </c>
      <c r="G370" s="2"/>
      <c r="H370" s="2"/>
    </row>
    <row r="371" spans="1:8">
      <c r="A371" t="s">
        <v>239</v>
      </c>
      <c r="B371" s="1">
        <v>43101</v>
      </c>
      <c r="C371" s="2">
        <v>1440</v>
      </c>
      <c r="D371" s="2">
        <v>1440</v>
      </c>
      <c r="E371" t="s">
        <v>73</v>
      </c>
      <c r="F371" s="2">
        <v>0</v>
      </c>
      <c r="G371" s="2"/>
      <c r="H371" s="2"/>
    </row>
    <row r="372" spans="1:8">
      <c r="A372" t="s">
        <v>167</v>
      </c>
      <c r="B372" s="1">
        <v>43101</v>
      </c>
      <c r="C372" s="2">
        <v>1440</v>
      </c>
      <c r="D372" s="2">
        <v>1440</v>
      </c>
      <c r="E372" t="s">
        <v>73</v>
      </c>
      <c r="F372" s="2">
        <v>0</v>
      </c>
      <c r="G372" s="2"/>
      <c r="H372" s="2"/>
    </row>
    <row r="373" spans="1:8">
      <c r="A373" t="s">
        <v>212</v>
      </c>
      <c r="B373" s="1">
        <v>43101</v>
      </c>
      <c r="C373" s="2">
        <v>1440</v>
      </c>
      <c r="D373" s="2">
        <v>1440</v>
      </c>
      <c r="E373" t="s">
        <v>73</v>
      </c>
      <c r="F373" s="2">
        <v>0</v>
      </c>
      <c r="G373" s="2"/>
      <c r="H373" s="2"/>
    </row>
    <row r="374" spans="1:8">
      <c r="A374" t="s">
        <v>168</v>
      </c>
      <c r="B374" s="1">
        <v>43101</v>
      </c>
      <c r="C374" s="2">
        <v>1440</v>
      </c>
      <c r="D374" s="2">
        <v>1440</v>
      </c>
      <c r="E374" t="s">
        <v>73</v>
      </c>
      <c r="F374" s="2">
        <v>0</v>
      </c>
      <c r="G374" s="2"/>
      <c r="H374" s="2"/>
    </row>
    <row r="375" spans="1:8">
      <c r="A375" t="s">
        <v>127</v>
      </c>
      <c r="B375" s="1">
        <v>43101</v>
      </c>
      <c r="C375" s="2">
        <v>1440</v>
      </c>
      <c r="D375" s="2">
        <v>1440</v>
      </c>
      <c r="E375" t="s">
        <v>73</v>
      </c>
      <c r="F375" s="2">
        <v>0</v>
      </c>
      <c r="G375" s="2"/>
      <c r="H375" s="2"/>
    </row>
    <row r="376" spans="1:8">
      <c r="A376" t="s">
        <v>170</v>
      </c>
      <c r="B376" s="1">
        <v>43101</v>
      </c>
      <c r="C376" s="2">
        <v>1440</v>
      </c>
      <c r="D376" s="2">
        <v>1440</v>
      </c>
      <c r="E376" t="s">
        <v>73</v>
      </c>
      <c r="F376" s="2">
        <v>0</v>
      </c>
      <c r="G376" s="2"/>
      <c r="H376" s="2"/>
    </row>
    <row r="377" spans="1:8">
      <c r="A377" t="s">
        <v>129</v>
      </c>
      <c r="B377" s="1">
        <v>43101</v>
      </c>
      <c r="C377" s="2">
        <v>1440</v>
      </c>
      <c r="D377" s="2">
        <v>1440</v>
      </c>
      <c r="E377" t="s">
        <v>73</v>
      </c>
      <c r="F377" s="2">
        <v>0</v>
      </c>
      <c r="G377" s="2"/>
      <c r="H377" s="2"/>
    </row>
    <row r="378" spans="1:8">
      <c r="A378" t="s">
        <v>240</v>
      </c>
      <c r="B378" s="1">
        <v>43101</v>
      </c>
      <c r="C378" s="2">
        <v>1440</v>
      </c>
      <c r="D378" s="2">
        <v>1440</v>
      </c>
      <c r="E378" t="s">
        <v>73</v>
      </c>
      <c r="F378" s="2">
        <v>0</v>
      </c>
      <c r="G378" s="2"/>
      <c r="H378" s="2"/>
    </row>
    <row r="379" spans="1:8">
      <c r="A379" t="s">
        <v>171</v>
      </c>
      <c r="B379" s="1">
        <v>43101</v>
      </c>
      <c r="C379" s="2">
        <v>1440</v>
      </c>
      <c r="D379" s="2">
        <v>1440</v>
      </c>
      <c r="E379" t="s">
        <v>73</v>
      </c>
      <c r="F379" s="2">
        <v>0</v>
      </c>
      <c r="G379" s="2"/>
      <c r="H379" s="2"/>
    </row>
    <row r="380" spans="1:8">
      <c r="A380" t="s">
        <v>241</v>
      </c>
      <c r="B380" s="1">
        <v>43101</v>
      </c>
      <c r="C380" s="2">
        <v>1440</v>
      </c>
      <c r="D380" s="2">
        <v>1440</v>
      </c>
      <c r="E380" t="s">
        <v>73</v>
      </c>
      <c r="F380" s="2">
        <v>0</v>
      </c>
      <c r="G380" s="2"/>
      <c r="H380" s="2"/>
    </row>
    <row r="381" spans="1:8">
      <c r="A381" t="s">
        <v>223</v>
      </c>
      <c r="B381" s="1">
        <v>43101</v>
      </c>
      <c r="C381" s="2">
        <v>1440</v>
      </c>
      <c r="D381" s="2">
        <v>1440</v>
      </c>
      <c r="E381" t="s">
        <v>73</v>
      </c>
      <c r="F381" s="2">
        <v>0</v>
      </c>
      <c r="G381" s="2"/>
      <c r="H381" s="2"/>
    </row>
    <row r="382" spans="1:8">
      <c r="A382" t="s">
        <v>172</v>
      </c>
      <c r="B382" s="1">
        <v>43101</v>
      </c>
      <c r="C382" s="2">
        <v>1440</v>
      </c>
      <c r="D382" s="2">
        <v>1440</v>
      </c>
      <c r="E382" t="s">
        <v>73</v>
      </c>
      <c r="F382" s="2">
        <v>0</v>
      </c>
      <c r="G382" s="2"/>
      <c r="H382" s="2"/>
    </row>
    <row r="383" spans="1:8">
      <c r="A383" t="s">
        <v>173</v>
      </c>
      <c r="B383" s="1">
        <v>43101</v>
      </c>
      <c r="C383" s="2">
        <v>1440</v>
      </c>
      <c r="D383" s="2">
        <v>1440</v>
      </c>
      <c r="E383" t="s">
        <v>73</v>
      </c>
      <c r="F383" s="2">
        <v>0</v>
      </c>
      <c r="G383" s="2"/>
      <c r="H383" s="2"/>
    </row>
    <row r="384" spans="1:8">
      <c r="A384" t="s">
        <v>242</v>
      </c>
      <c r="B384" s="1">
        <v>43101</v>
      </c>
      <c r="C384" s="2">
        <v>1440</v>
      </c>
      <c r="D384" s="2">
        <v>1440</v>
      </c>
      <c r="E384" t="s">
        <v>73</v>
      </c>
      <c r="F384" s="2">
        <v>0</v>
      </c>
      <c r="G384" s="2"/>
      <c r="H384" s="2"/>
    </row>
    <row r="385" spans="1:8">
      <c r="A385" t="s">
        <v>243</v>
      </c>
      <c r="B385" s="1">
        <v>43101</v>
      </c>
      <c r="C385" s="2">
        <v>1440</v>
      </c>
      <c r="D385" s="2">
        <v>1440</v>
      </c>
      <c r="E385" t="s">
        <v>73</v>
      </c>
      <c r="F385" s="2">
        <v>0</v>
      </c>
      <c r="G385" s="2"/>
      <c r="H385" s="2"/>
    </row>
    <row r="386" spans="1:8">
      <c r="A386" t="s">
        <v>174</v>
      </c>
      <c r="B386" s="1">
        <v>43101</v>
      </c>
      <c r="C386" s="2">
        <v>1440</v>
      </c>
      <c r="D386" s="2">
        <v>1440</v>
      </c>
      <c r="E386" t="s">
        <v>73</v>
      </c>
      <c r="F386" s="2">
        <v>0</v>
      </c>
      <c r="G386" s="2"/>
      <c r="H386" s="2"/>
    </row>
    <row r="387" spans="1:8">
      <c r="A387" t="s">
        <v>175</v>
      </c>
      <c r="B387" s="1">
        <v>43101</v>
      </c>
      <c r="C387" s="2">
        <v>1440</v>
      </c>
      <c r="D387" s="2">
        <v>1440</v>
      </c>
      <c r="E387" t="s">
        <v>73</v>
      </c>
      <c r="F387" s="2">
        <v>0</v>
      </c>
      <c r="G387" s="2"/>
      <c r="H387" s="2"/>
    </row>
    <row r="388" spans="1:8">
      <c r="A388" t="s">
        <v>176</v>
      </c>
      <c r="B388" s="1">
        <v>43101</v>
      </c>
      <c r="C388" s="2">
        <v>1440</v>
      </c>
      <c r="D388" s="2">
        <v>1440</v>
      </c>
      <c r="E388" t="s">
        <v>73</v>
      </c>
      <c r="F388" s="2">
        <v>0</v>
      </c>
      <c r="G388" s="2"/>
      <c r="H388" s="2"/>
    </row>
    <row r="389" spans="1:8">
      <c r="A389" t="s">
        <v>244</v>
      </c>
      <c r="B389" s="1">
        <v>43101</v>
      </c>
      <c r="C389" s="2">
        <v>1440</v>
      </c>
      <c r="D389" s="2">
        <v>1440</v>
      </c>
      <c r="E389" t="s">
        <v>73</v>
      </c>
      <c r="F389" s="2">
        <v>0</v>
      </c>
      <c r="G389" s="2"/>
      <c r="H389" s="2"/>
    </row>
    <row r="390" spans="1:8">
      <c r="A390" t="s">
        <v>245</v>
      </c>
      <c r="B390" s="1">
        <v>43101</v>
      </c>
      <c r="C390" s="2">
        <v>1440</v>
      </c>
      <c r="D390" s="2">
        <v>1440</v>
      </c>
      <c r="E390" t="s">
        <v>73</v>
      </c>
      <c r="F390" s="2">
        <v>0</v>
      </c>
      <c r="G390" s="2"/>
      <c r="H390" s="2"/>
    </row>
    <row r="391" spans="1:8">
      <c r="A391" t="s">
        <v>132</v>
      </c>
      <c r="B391" s="1">
        <v>43101</v>
      </c>
      <c r="C391" s="2">
        <v>1440</v>
      </c>
      <c r="D391" s="2">
        <v>1440</v>
      </c>
      <c r="E391" t="s">
        <v>73</v>
      </c>
      <c r="F391" s="2">
        <v>0</v>
      </c>
      <c r="G391" s="2"/>
      <c r="H391" s="2"/>
    </row>
    <row r="392" spans="1:8">
      <c r="A392" t="s">
        <v>246</v>
      </c>
      <c r="B392" s="1">
        <v>43101</v>
      </c>
      <c r="C392" s="2">
        <v>1440</v>
      </c>
      <c r="D392" s="2">
        <v>1440</v>
      </c>
      <c r="E392" t="s">
        <v>73</v>
      </c>
      <c r="F392" s="2">
        <v>0</v>
      </c>
      <c r="G392" s="2"/>
      <c r="H392" s="2"/>
    </row>
    <row r="393" spans="1:8">
      <c r="A393" t="s">
        <v>178</v>
      </c>
      <c r="B393" s="1">
        <v>43101</v>
      </c>
      <c r="C393" s="2">
        <v>1440</v>
      </c>
      <c r="D393" s="2">
        <v>1440</v>
      </c>
      <c r="E393" t="s">
        <v>73</v>
      </c>
      <c r="F393" s="2">
        <v>0</v>
      </c>
      <c r="G393" s="2"/>
      <c r="H393" s="2"/>
    </row>
    <row r="394" spans="1:8">
      <c r="A394" t="s">
        <v>247</v>
      </c>
      <c r="B394" s="1">
        <v>43101</v>
      </c>
      <c r="C394" s="2">
        <v>1440</v>
      </c>
      <c r="D394" s="2">
        <v>1440</v>
      </c>
      <c r="E394" t="s">
        <v>73</v>
      </c>
      <c r="F394" s="2">
        <v>0</v>
      </c>
      <c r="G394" s="2"/>
      <c r="H394" s="2"/>
    </row>
    <row r="395" spans="1:8">
      <c r="A395" t="s">
        <v>248</v>
      </c>
      <c r="B395" s="1">
        <v>43101</v>
      </c>
      <c r="C395" s="2">
        <v>1440</v>
      </c>
      <c r="D395" s="2">
        <v>1440</v>
      </c>
      <c r="E395" t="s">
        <v>73</v>
      </c>
      <c r="F395" s="2">
        <v>0</v>
      </c>
      <c r="G395" s="2"/>
      <c r="H395" s="2"/>
    </row>
    <row r="396" spans="1:8">
      <c r="A396" t="s">
        <v>249</v>
      </c>
      <c r="B396" s="1">
        <v>43101</v>
      </c>
      <c r="C396" s="2">
        <v>1440</v>
      </c>
      <c r="D396" s="2">
        <v>1440</v>
      </c>
      <c r="E396" t="s">
        <v>73</v>
      </c>
      <c r="F396" s="2">
        <v>0</v>
      </c>
      <c r="G396" s="2"/>
      <c r="H396" s="2"/>
    </row>
    <row r="397" spans="1:8">
      <c r="A397" t="s">
        <v>250</v>
      </c>
      <c r="B397" s="1">
        <v>43101</v>
      </c>
      <c r="C397" s="2">
        <v>1440</v>
      </c>
      <c r="D397" s="2">
        <v>1440</v>
      </c>
      <c r="E397" t="s">
        <v>73</v>
      </c>
      <c r="F397" s="2">
        <v>0</v>
      </c>
      <c r="G397" s="2"/>
      <c r="H397" s="2"/>
    </row>
    <row r="398" spans="1:8">
      <c r="A398" t="s">
        <v>251</v>
      </c>
      <c r="B398" s="1">
        <v>43101</v>
      </c>
      <c r="C398" s="2">
        <v>1440</v>
      </c>
      <c r="D398" s="2">
        <v>1440</v>
      </c>
      <c r="E398" t="s">
        <v>73</v>
      </c>
      <c r="F398" s="2">
        <v>0</v>
      </c>
      <c r="G398" s="2"/>
      <c r="H398" s="2"/>
    </row>
    <row r="399" spans="1:8">
      <c r="A399" t="s">
        <v>252</v>
      </c>
      <c r="B399" s="1">
        <v>43101</v>
      </c>
      <c r="C399" s="2">
        <v>1440</v>
      </c>
      <c r="D399" s="2">
        <v>1440</v>
      </c>
      <c r="E399" t="s">
        <v>73</v>
      </c>
      <c r="F399" s="2">
        <v>0</v>
      </c>
      <c r="G399" s="2"/>
      <c r="H399" s="2"/>
    </row>
    <row r="400" spans="1:8">
      <c r="A400" t="s">
        <v>253</v>
      </c>
      <c r="B400" s="1">
        <v>43101</v>
      </c>
      <c r="C400" s="2">
        <v>1440</v>
      </c>
      <c r="D400" s="2">
        <v>1440</v>
      </c>
      <c r="E400" t="s">
        <v>73</v>
      </c>
      <c r="F400" s="2">
        <v>0</v>
      </c>
      <c r="G400" s="2"/>
      <c r="H400" s="2"/>
    </row>
    <row r="401" spans="1:8">
      <c r="A401" t="s">
        <v>254</v>
      </c>
      <c r="B401" s="1">
        <v>43101</v>
      </c>
      <c r="C401" s="2">
        <v>1440</v>
      </c>
      <c r="D401" s="2">
        <v>1440</v>
      </c>
      <c r="E401" t="s">
        <v>73</v>
      </c>
      <c r="F401" s="2">
        <v>0</v>
      </c>
      <c r="G401" s="2"/>
      <c r="H401" s="2"/>
    </row>
    <row r="402" spans="1:8">
      <c r="A402" t="s">
        <v>179</v>
      </c>
      <c r="B402" s="1">
        <v>43101</v>
      </c>
      <c r="C402" s="2">
        <v>1440</v>
      </c>
      <c r="D402" s="2">
        <v>1440</v>
      </c>
      <c r="E402" t="s">
        <v>73</v>
      </c>
      <c r="F402" s="2">
        <v>0</v>
      </c>
      <c r="G402" s="2"/>
      <c r="H402" s="2"/>
    </row>
    <row r="403" spans="1:8">
      <c r="A403" t="s">
        <v>180</v>
      </c>
      <c r="B403" s="1">
        <v>43101</v>
      </c>
      <c r="C403" s="2">
        <v>1440</v>
      </c>
      <c r="D403" s="2">
        <v>1440</v>
      </c>
      <c r="E403" t="s">
        <v>73</v>
      </c>
      <c r="F403" s="2">
        <v>0</v>
      </c>
      <c r="G403" s="2"/>
      <c r="H403" s="2"/>
    </row>
    <row r="404" spans="1:8">
      <c r="A404" t="s">
        <v>255</v>
      </c>
      <c r="B404" s="1">
        <v>43101</v>
      </c>
      <c r="C404" s="2">
        <v>1440</v>
      </c>
      <c r="D404" s="2">
        <v>1440</v>
      </c>
      <c r="E404" t="s">
        <v>73</v>
      </c>
      <c r="F404" s="2">
        <v>0</v>
      </c>
      <c r="G404" s="2"/>
      <c r="H404" s="2"/>
    </row>
    <row r="405" spans="1:8">
      <c r="A405" t="s">
        <v>256</v>
      </c>
      <c r="B405" s="1">
        <v>43101</v>
      </c>
      <c r="C405" s="2">
        <v>1440</v>
      </c>
      <c r="D405" s="2">
        <v>1440</v>
      </c>
      <c r="E405" t="s">
        <v>73</v>
      </c>
      <c r="F405" s="2">
        <v>0</v>
      </c>
      <c r="G405" s="2"/>
      <c r="H405" s="2"/>
    </row>
    <row r="406" spans="1:8">
      <c r="A406" t="s">
        <v>181</v>
      </c>
      <c r="B406" s="1">
        <v>43101</v>
      </c>
      <c r="C406" s="2">
        <v>1440</v>
      </c>
      <c r="D406" s="2">
        <v>1440</v>
      </c>
      <c r="E406" t="s">
        <v>73</v>
      </c>
      <c r="F406" s="2">
        <v>0</v>
      </c>
      <c r="G406" s="2"/>
      <c r="H406" s="2"/>
    </row>
    <row r="407" spans="1:8">
      <c r="A407" t="s">
        <v>257</v>
      </c>
      <c r="B407" s="1">
        <v>43101</v>
      </c>
      <c r="C407" s="2">
        <v>1440</v>
      </c>
      <c r="D407" s="2">
        <v>1440</v>
      </c>
      <c r="E407" t="s">
        <v>73</v>
      </c>
      <c r="F407" s="2">
        <v>0</v>
      </c>
      <c r="G407" s="2"/>
      <c r="H407" s="2"/>
    </row>
    <row r="408" spans="1:8">
      <c r="A408" t="s">
        <v>258</v>
      </c>
      <c r="B408" s="1">
        <v>43101</v>
      </c>
      <c r="C408" s="2">
        <v>1440</v>
      </c>
      <c r="D408" s="2">
        <v>1440</v>
      </c>
      <c r="E408" t="s">
        <v>73</v>
      </c>
      <c r="F408" s="2">
        <v>0</v>
      </c>
      <c r="G408" s="2"/>
      <c r="H408" s="2"/>
    </row>
    <row r="409" spans="1:8">
      <c r="A409" t="s">
        <v>259</v>
      </c>
      <c r="B409" s="1">
        <v>43101</v>
      </c>
      <c r="C409" s="2">
        <v>1440</v>
      </c>
      <c r="D409" s="2">
        <v>1440</v>
      </c>
      <c r="E409" t="s">
        <v>73</v>
      </c>
      <c r="F409" s="2">
        <v>0</v>
      </c>
      <c r="G409" s="2"/>
      <c r="H409" s="2"/>
    </row>
    <row r="410" spans="1:8">
      <c r="A410" t="s">
        <v>260</v>
      </c>
      <c r="B410" s="1">
        <v>43101</v>
      </c>
      <c r="C410" s="2">
        <v>1440</v>
      </c>
      <c r="D410" s="2">
        <v>1440</v>
      </c>
      <c r="E410" t="s">
        <v>73</v>
      </c>
      <c r="F410" s="2">
        <v>0</v>
      </c>
      <c r="G410" s="2"/>
      <c r="H410" s="2"/>
    </row>
    <row r="411" spans="1:8">
      <c r="A411" t="s">
        <v>183</v>
      </c>
      <c r="B411" s="1">
        <v>43101</v>
      </c>
      <c r="C411" s="2">
        <v>1440</v>
      </c>
      <c r="D411" s="2">
        <v>1440</v>
      </c>
      <c r="E411" t="s">
        <v>73</v>
      </c>
      <c r="F411" s="2">
        <v>0</v>
      </c>
      <c r="G411" s="2"/>
      <c r="H411" s="2"/>
    </row>
    <row r="412" spans="1:8">
      <c r="A412" t="s">
        <v>261</v>
      </c>
      <c r="B412" s="1">
        <v>43101</v>
      </c>
      <c r="C412" s="2">
        <v>1440</v>
      </c>
      <c r="D412" s="2">
        <v>1440</v>
      </c>
      <c r="E412" t="s">
        <v>73</v>
      </c>
      <c r="F412" s="2">
        <v>0</v>
      </c>
      <c r="G412" s="2"/>
      <c r="H412" s="2"/>
    </row>
    <row r="413" spans="1:8">
      <c r="A413" t="s">
        <v>262</v>
      </c>
      <c r="B413" s="1">
        <v>43101</v>
      </c>
      <c r="C413" s="2">
        <v>1440</v>
      </c>
      <c r="D413" s="2">
        <v>1440</v>
      </c>
      <c r="E413" t="s">
        <v>73</v>
      </c>
      <c r="F413" s="2">
        <v>0</v>
      </c>
      <c r="G413" s="2"/>
      <c r="H413" s="2"/>
    </row>
    <row r="414" spans="1:8">
      <c r="A414" t="s">
        <v>184</v>
      </c>
      <c r="B414" s="1">
        <v>43101</v>
      </c>
      <c r="C414" s="2">
        <v>1440</v>
      </c>
      <c r="D414" s="2">
        <v>1440</v>
      </c>
      <c r="E414" t="s">
        <v>73</v>
      </c>
      <c r="F414" s="2">
        <v>0</v>
      </c>
      <c r="G414" s="2"/>
      <c r="H414" s="2"/>
    </row>
    <row r="415" spans="1:8">
      <c r="A415" t="s">
        <v>263</v>
      </c>
      <c r="B415" s="1">
        <v>43101</v>
      </c>
      <c r="C415" s="2">
        <v>1440</v>
      </c>
      <c r="D415" s="2">
        <v>1440</v>
      </c>
      <c r="E415" t="s">
        <v>73</v>
      </c>
      <c r="F415" s="2">
        <v>0</v>
      </c>
      <c r="G415" s="2"/>
      <c r="H415" s="2"/>
    </row>
    <row r="416" spans="1:8">
      <c r="A416" t="s">
        <v>185</v>
      </c>
      <c r="B416" s="1">
        <v>43101</v>
      </c>
      <c r="C416" s="2">
        <v>1440</v>
      </c>
      <c r="D416" s="2">
        <v>1440</v>
      </c>
      <c r="E416" t="s">
        <v>73</v>
      </c>
      <c r="F416" s="2">
        <v>0</v>
      </c>
      <c r="G416" s="2"/>
      <c r="H416" s="2"/>
    </row>
    <row r="417" spans="1:8">
      <c r="A417" t="s">
        <v>264</v>
      </c>
      <c r="B417" s="1">
        <v>43101</v>
      </c>
      <c r="C417" s="2">
        <v>1440</v>
      </c>
      <c r="D417" s="2">
        <v>1440</v>
      </c>
      <c r="E417" t="s">
        <v>73</v>
      </c>
      <c r="F417" s="2">
        <v>0</v>
      </c>
      <c r="G417" s="2"/>
      <c r="H417" s="2"/>
    </row>
    <row r="418" spans="1:8">
      <c r="A418" t="s">
        <v>265</v>
      </c>
      <c r="B418" s="1">
        <v>43101</v>
      </c>
      <c r="C418" s="2">
        <v>1440</v>
      </c>
      <c r="D418" s="2">
        <v>1440</v>
      </c>
      <c r="E418" t="s">
        <v>73</v>
      </c>
      <c r="F418" s="2">
        <v>0</v>
      </c>
      <c r="G418" s="2"/>
      <c r="H418" s="2"/>
    </row>
    <row r="419" spans="1:8">
      <c r="A419" t="s">
        <v>266</v>
      </c>
      <c r="B419" s="1">
        <v>43101</v>
      </c>
      <c r="C419" s="2">
        <v>1440</v>
      </c>
      <c r="D419" s="2">
        <v>1440</v>
      </c>
      <c r="E419" t="s">
        <v>73</v>
      </c>
      <c r="F419" s="2">
        <v>0</v>
      </c>
      <c r="G419" s="2"/>
      <c r="H419" s="2"/>
    </row>
    <row r="420" spans="1:8">
      <c r="A420" t="s">
        <v>186</v>
      </c>
      <c r="B420" s="1">
        <v>43101</v>
      </c>
      <c r="C420" s="2">
        <v>1440</v>
      </c>
      <c r="D420" s="2">
        <v>1440</v>
      </c>
      <c r="E420" t="s">
        <v>73</v>
      </c>
      <c r="F420" s="2">
        <v>0</v>
      </c>
      <c r="G420" s="2"/>
      <c r="H420" s="2"/>
    </row>
    <row r="421" spans="1:8">
      <c r="A421" t="s">
        <v>134</v>
      </c>
      <c r="B421" s="1">
        <v>43101</v>
      </c>
      <c r="C421" s="2">
        <v>1440</v>
      </c>
      <c r="D421" s="2">
        <v>1440</v>
      </c>
      <c r="E421" t="s">
        <v>73</v>
      </c>
      <c r="F421" s="2">
        <v>0</v>
      </c>
      <c r="G421" s="2"/>
      <c r="H421" s="2"/>
    </row>
    <row r="422" spans="1:8">
      <c r="A422" t="s">
        <v>187</v>
      </c>
      <c r="B422" s="1">
        <v>43101</v>
      </c>
      <c r="C422" s="2">
        <v>1440</v>
      </c>
      <c r="D422" s="2">
        <v>1440</v>
      </c>
      <c r="E422" t="s">
        <v>73</v>
      </c>
      <c r="F422" s="2">
        <v>0</v>
      </c>
      <c r="G422" s="2"/>
      <c r="H422" s="2"/>
    </row>
    <row r="423" spans="1:8">
      <c r="A423" t="s">
        <v>267</v>
      </c>
      <c r="B423" s="1">
        <v>43101</v>
      </c>
      <c r="C423" s="2">
        <v>1440</v>
      </c>
      <c r="D423" s="2">
        <v>1440</v>
      </c>
      <c r="E423" t="s">
        <v>73</v>
      </c>
      <c r="F423" s="2">
        <v>0</v>
      </c>
      <c r="G423" s="2"/>
      <c r="H423" s="2"/>
    </row>
    <row r="424" spans="1:8">
      <c r="A424" t="s">
        <v>188</v>
      </c>
      <c r="B424" s="1">
        <v>43101</v>
      </c>
      <c r="C424" s="2">
        <v>1440</v>
      </c>
      <c r="D424" s="2">
        <v>1440</v>
      </c>
      <c r="E424" t="s">
        <v>73</v>
      </c>
      <c r="F424" s="2">
        <v>0</v>
      </c>
      <c r="G424" s="2"/>
      <c r="H424" s="2"/>
    </row>
    <row r="425" spans="1:8">
      <c r="A425" t="s">
        <v>135</v>
      </c>
      <c r="B425" s="1">
        <v>43101</v>
      </c>
      <c r="C425" s="2">
        <v>1440</v>
      </c>
      <c r="D425" s="2">
        <v>1440</v>
      </c>
      <c r="E425" t="s">
        <v>73</v>
      </c>
      <c r="F425" s="2">
        <v>0</v>
      </c>
      <c r="G425" s="2"/>
      <c r="H425" s="2"/>
    </row>
    <row r="426" spans="1:8">
      <c r="A426" t="s">
        <v>268</v>
      </c>
      <c r="B426" s="1">
        <v>43101</v>
      </c>
      <c r="C426" s="2">
        <v>1440</v>
      </c>
      <c r="D426" s="2">
        <v>1440</v>
      </c>
      <c r="E426" t="s">
        <v>73</v>
      </c>
      <c r="F426" s="2">
        <v>0</v>
      </c>
      <c r="G426" s="2"/>
      <c r="H426" s="2"/>
    </row>
    <row r="427" spans="1:8">
      <c r="A427" t="s">
        <v>136</v>
      </c>
      <c r="B427" s="1">
        <v>43101</v>
      </c>
      <c r="C427" s="2">
        <v>1440</v>
      </c>
      <c r="D427" s="2">
        <v>1440</v>
      </c>
      <c r="E427" t="s">
        <v>73</v>
      </c>
      <c r="F427" s="2">
        <v>0</v>
      </c>
      <c r="G427" s="2"/>
      <c r="H427" s="2"/>
    </row>
    <row r="428" spans="1:8">
      <c r="A428" t="s">
        <v>140</v>
      </c>
      <c r="B428" s="1">
        <v>43101</v>
      </c>
      <c r="C428" s="2">
        <v>1440</v>
      </c>
      <c r="D428" s="2">
        <v>1440</v>
      </c>
      <c r="E428" t="s">
        <v>73</v>
      </c>
      <c r="F428" s="2">
        <v>0</v>
      </c>
      <c r="G428" s="2"/>
      <c r="H428" s="2"/>
    </row>
    <row r="429" spans="1:8">
      <c r="A429" t="s">
        <v>189</v>
      </c>
      <c r="B429" s="1">
        <v>43101</v>
      </c>
      <c r="C429" s="2">
        <v>1440</v>
      </c>
      <c r="D429" s="2">
        <v>1440</v>
      </c>
      <c r="E429" t="s">
        <v>73</v>
      </c>
      <c r="F429" s="2">
        <v>0</v>
      </c>
      <c r="G429" s="2"/>
      <c r="H429" s="2"/>
    </row>
    <row r="430" spans="1:8">
      <c r="A430" t="s">
        <v>270</v>
      </c>
      <c r="B430" s="1">
        <v>43101</v>
      </c>
      <c r="C430" s="2">
        <v>1440</v>
      </c>
      <c r="D430" s="2">
        <v>1440</v>
      </c>
      <c r="E430" t="s">
        <v>73</v>
      </c>
      <c r="F430" s="2">
        <v>0</v>
      </c>
      <c r="G430" s="2"/>
      <c r="H430" s="2"/>
    </row>
    <row r="431" spans="1:8">
      <c r="A431" t="s">
        <v>271</v>
      </c>
      <c r="B431" s="1">
        <v>43101</v>
      </c>
      <c r="C431" s="2">
        <v>1440</v>
      </c>
      <c r="D431" s="2">
        <v>1440</v>
      </c>
      <c r="E431" t="s">
        <v>73</v>
      </c>
      <c r="F431" s="2">
        <v>0</v>
      </c>
      <c r="G431" s="2"/>
      <c r="H431" s="2"/>
    </row>
    <row r="432" spans="1:8">
      <c r="A432" t="s">
        <v>272</v>
      </c>
      <c r="B432" s="1">
        <v>43101</v>
      </c>
      <c r="C432" s="2">
        <v>1440</v>
      </c>
      <c r="D432" s="2">
        <v>1440</v>
      </c>
      <c r="E432" t="s">
        <v>73</v>
      </c>
      <c r="F432" s="2">
        <v>0</v>
      </c>
      <c r="G432" s="2"/>
      <c r="H432" s="2"/>
    </row>
    <row r="433" spans="1:8">
      <c r="A433" t="s">
        <v>190</v>
      </c>
      <c r="B433" s="1">
        <v>43101</v>
      </c>
      <c r="C433" s="2">
        <v>1440</v>
      </c>
      <c r="D433" s="2">
        <v>1440</v>
      </c>
      <c r="E433" t="s">
        <v>73</v>
      </c>
      <c r="F433" s="2">
        <v>0</v>
      </c>
      <c r="G433" s="2"/>
      <c r="H433" s="2"/>
    </row>
    <row r="434" spans="1:8">
      <c r="A434" t="s">
        <v>273</v>
      </c>
      <c r="B434" s="1">
        <v>43101</v>
      </c>
      <c r="C434" s="2">
        <v>1440</v>
      </c>
      <c r="D434" s="2">
        <v>1440</v>
      </c>
      <c r="E434" t="s">
        <v>73</v>
      </c>
      <c r="F434" s="2">
        <v>0</v>
      </c>
      <c r="G434" s="2"/>
      <c r="H434" s="2"/>
    </row>
    <row r="435" spans="1:8">
      <c r="A435" t="s">
        <v>274</v>
      </c>
      <c r="B435" s="1">
        <v>43101</v>
      </c>
      <c r="C435" s="2">
        <v>1440</v>
      </c>
      <c r="D435" s="2">
        <v>1440</v>
      </c>
      <c r="E435" t="s">
        <v>73</v>
      </c>
      <c r="F435" s="2">
        <v>0</v>
      </c>
      <c r="G435" s="2"/>
      <c r="H435" s="2"/>
    </row>
    <row r="436" spans="1:8">
      <c r="A436" t="s">
        <v>191</v>
      </c>
      <c r="B436" s="1">
        <v>43101</v>
      </c>
      <c r="C436" s="2">
        <v>1440</v>
      </c>
      <c r="D436" s="2">
        <v>1440</v>
      </c>
      <c r="E436" t="s">
        <v>73</v>
      </c>
      <c r="F436" s="2">
        <v>0</v>
      </c>
      <c r="G436" s="2"/>
      <c r="H436" s="2"/>
    </row>
    <row r="437" spans="1:8">
      <c r="A437" t="s">
        <v>192</v>
      </c>
      <c r="B437" s="1">
        <v>43101</v>
      </c>
      <c r="C437" s="2">
        <v>1440</v>
      </c>
      <c r="D437" s="2">
        <v>1440</v>
      </c>
      <c r="E437" t="s">
        <v>73</v>
      </c>
      <c r="F437" s="2">
        <v>0</v>
      </c>
      <c r="G437" s="2"/>
      <c r="H437" s="2"/>
    </row>
    <row r="438" spans="1:8">
      <c r="A438" t="s">
        <v>275</v>
      </c>
      <c r="B438" s="1">
        <v>43101</v>
      </c>
      <c r="C438" s="2">
        <v>1440</v>
      </c>
      <c r="D438" s="2">
        <v>1440</v>
      </c>
      <c r="E438" t="s">
        <v>73</v>
      </c>
      <c r="F438" s="2">
        <v>0</v>
      </c>
      <c r="G438" s="2"/>
      <c r="H438" s="2"/>
    </row>
    <row r="439" spans="1:8">
      <c r="A439" t="s">
        <v>278</v>
      </c>
      <c r="B439" s="1">
        <v>43101</v>
      </c>
      <c r="C439" s="2">
        <v>1440</v>
      </c>
      <c r="D439" s="2">
        <v>1440</v>
      </c>
      <c r="E439" t="s">
        <v>73</v>
      </c>
      <c r="F439" s="2">
        <v>0</v>
      </c>
      <c r="G439" s="2"/>
      <c r="H439" s="2"/>
    </row>
    <row r="440" spans="1:8">
      <c r="A440" t="s">
        <v>279</v>
      </c>
      <c r="B440" s="1">
        <v>43101</v>
      </c>
      <c r="C440" s="2">
        <v>1440</v>
      </c>
      <c r="D440" s="2">
        <v>1440</v>
      </c>
      <c r="E440" t="s">
        <v>73</v>
      </c>
      <c r="F440" s="2">
        <v>0</v>
      </c>
      <c r="G440" s="2"/>
      <c r="H440" s="2"/>
    </row>
    <row r="441" spans="1:8">
      <c r="A441" t="s">
        <v>280</v>
      </c>
      <c r="B441" s="1">
        <v>43101</v>
      </c>
      <c r="C441" s="2">
        <v>1440</v>
      </c>
      <c r="D441" s="2">
        <v>1440</v>
      </c>
      <c r="E441" t="s">
        <v>73</v>
      </c>
      <c r="F441" s="2">
        <v>0</v>
      </c>
      <c r="G441" s="2"/>
      <c r="H441" s="2"/>
    </row>
    <row r="442" spans="1:8">
      <c r="A442" t="s">
        <v>137</v>
      </c>
      <c r="B442" s="1">
        <v>43101</v>
      </c>
      <c r="C442" s="2">
        <v>1440</v>
      </c>
      <c r="D442" s="2">
        <v>1440</v>
      </c>
      <c r="E442" t="s">
        <v>73</v>
      </c>
      <c r="F442" s="2">
        <v>0</v>
      </c>
      <c r="G442" s="2"/>
      <c r="H442" s="2"/>
    </row>
    <row r="443" spans="1:8">
      <c r="A443" t="s">
        <v>193</v>
      </c>
      <c r="B443" s="1">
        <v>43101</v>
      </c>
      <c r="C443" s="2">
        <v>1440</v>
      </c>
      <c r="D443" s="2">
        <v>1440</v>
      </c>
      <c r="E443" t="s">
        <v>73</v>
      </c>
      <c r="F443" s="2">
        <v>0</v>
      </c>
      <c r="G443" s="2"/>
      <c r="H443" s="2"/>
    </row>
    <row r="444" spans="1:8">
      <c r="A444" t="s">
        <v>194</v>
      </c>
      <c r="B444" s="1">
        <v>43101</v>
      </c>
      <c r="C444" s="2">
        <v>1440</v>
      </c>
      <c r="D444" s="2">
        <v>1440</v>
      </c>
      <c r="E444" t="s">
        <v>73</v>
      </c>
      <c r="F444" s="2">
        <v>0</v>
      </c>
      <c r="G444" s="2"/>
      <c r="H444" s="2"/>
    </row>
    <row r="445" spans="1:8">
      <c r="A445" t="s">
        <v>281</v>
      </c>
      <c r="B445" s="1">
        <v>43101</v>
      </c>
      <c r="C445" s="2">
        <v>1440</v>
      </c>
      <c r="D445" s="2">
        <v>1440</v>
      </c>
      <c r="E445" t="s">
        <v>73</v>
      </c>
      <c r="F445" s="2">
        <v>0</v>
      </c>
      <c r="G445" s="2"/>
      <c r="H445" s="2"/>
    </row>
    <row r="446" spans="1:8">
      <c r="A446" t="s">
        <v>282</v>
      </c>
      <c r="B446" s="1">
        <v>43101</v>
      </c>
      <c r="C446" s="2">
        <v>1440</v>
      </c>
      <c r="D446" s="2">
        <v>1440</v>
      </c>
      <c r="E446" t="s">
        <v>73</v>
      </c>
      <c r="F446" s="2">
        <v>0</v>
      </c>
      <c r="G446" s="2"/>
      <c r="H446" s="2"/>
    </row>
    <row r="447" spans="1:8">
      <c r="A447" t="s">
        <v>283</v>
      </c>
      <c r="B447" s="1">
        <v>43101</v>
      </c>
      <c r="C447" s="2">
        <v>1440</v>
      </c>
      <c r="D447" s="2">
        <v>1440</v>
      </c>
      <c r="E447" t="s">
        <v>73</v>
      </c>
      <c r="F447" s="2">
        <v>0</v>
      </c>
      <c r="G447" s="2"/>
      <c r="H447" s="2"/>
    </row>
    <row r="448" spans="1:8">
      <c r="A448" t="s">
        <v>284</v>
      </c>
      <c r="B448" s="1">
        <v>43101</v>
      </c>
      <c r="C448" s="2">
        <v>1440</v>
      </c>
      <c r="D448" s="2">
        <v>1440</v>
      </c>
      <c r="E448" t="s">
        <v>73</v>
      </c>
      <c r="F448" s="2">
        <v>0</v>
      </c>
      <c r="G448" s="2"/>
      <c r="H448" s="2"/>
    </row>
    <row r="449" spans="1:8">
      <c r="A449" t="s">
        <v>285</v>
      </c>
      <c r="B449" s="1">
        <v>43101</v>
      </c>
      <c r="C449" s="2">
        <v>1440</v>
      </c>
      <c r="D449" s="2">
        <v>1440</v>
      </c>
      <c r="E449" t="s">
        <v>73</v>
      </c>
      <c r="F449" s="2">
        <v>0</v>
      </c>
      <c r="G449" s="2"/>
      <c r="H449" s="2"/>
    </row>
    <row r="450" spans="1:8">
      <c r="A450" t="s">
        <v>138</v>
      </c>
      <c r="B450" s="1">
        <v>43101</v>
      </c>
      <c r="C450" s="2">
        <v>1440</v>
      </c>
      <c r="D450" s="2">
        <v>1440</v>
      </c>
      <c r="E450" t="s">
        <v>73</v>
      </c>
      <c r="F450" s="2">
        <v>0</v>
      </c>
      <c r="G450" s="2"/>
      <c r="H450" s="2"/>
    </row>
    <row r="451" spans="1:8">
      <c r="A451" t="s">
        <v>195</v>
      </c>
      <c r="B451" s="1">
        <v>43101</v>
      </c>
      <c r="C451" s="2">
        <v>1440</v>
      </c>
      <c r="D451" s="2">
        <v>1440</v>
      </c>
      <c r="E451" t="s">
        <v>73</v>
      </c>
      <c r="F451" s="2">
        <v>0</v>
      </c>
      <c r="G451" s="2"/>
      <c r="H451" s="2"/>
    </row>
    <row r="452" spans="1:8">
      <c r="A452" t="s">
        <v>286</v>
      </c>
      <c r="B452" s="1">
        <v>43101</v>
      </c>
      <c r="C452" s="2">
        <v>1440</v>
      </c>
      <c r="D452" s="2">
        <v>1440</v>
      </c>
      <c r="E452" t="s">
        <v>73</v>
      </c>
      <c r="F452" s="2">
        <v>0</v>
      </c>
      <c r="G452" s="2"/>
      <c r="H452" s="2"/>
    </row>
    <row r="453" spans="1:8">
      <c r="A453" t="s">
        <v>287</v>
      </c>
      <c r="B453" s="1">
        <v>43101</v>
      </c>
      <c r="C453" s="2">
        <v>1440</v>
      </c>
      <c r="D453" s="2">
        <v>1440</v>
      </c>
      <c r="E453" t="s">
        <v>73</v>
      </c>
      <c r="F453" s="2">
        <v>0</v>
      </c>
      <c r="G453" s="2"/>
      <c r="H453" s="2"/>
    </row>
    <row r="454" spans="1:8">
      <c r="A454" t="s">
        <v>197</v>
      </c>
      <c r="B454" s="1">
        <v>43101</v>
      </c>
      <c r="C454" s="2">
        <v>1440</v>
      </c>
      <c r="D454" s="2">
        <v>1440</v>
      </c>
      <c r="E454" t="s">
        <v>73</v>
      </c>
      <c r="F454" s="2">
        <v>0</v>
      </c>
      <c r="G454" s="2"/>
      <c r="H454" s="2"/>
    </row>
    <row r="455" spans="1:8">
      <c r="A455" t="s">
        <v>288</v>
      </c>
      <c r="B455" s="1">
        <v>43101</v>
      </c>
      <c r="C455" s="2">
        <v>1440</v>
      </c>
      <c r="D455" s="2">
        <v>1440</v>
      </c>
      <c r="E455" t="s">
        <v>73</v>
      </c>
      <c r="F455" s="2">
        <v>0</v>
      </c>
      <c r="G455" s="2"/>
      <c r="H455" s="2"/>
    </row>
    <row r="456" spans="1:8">
      <c r="A456" t="s">
        <v>147</v>
      </c>
      <c r="B456" s="1">
        <v>43101</v>
      </c>
      <c r="C456" s="2">
        <v>1200</v>
      </c>
      <c r="D456" s="2">
        <v>1200</v>
      </c>
      <c r="E456" t="s">
        <v>73</v>
      </c>
      <c r="F456" s="2">
        <v>0</v>
      </c>
      <c r="G456" s="2"/>
      <c r="H456" s="2"/>
    </row>
    <row r="457" spans="1:8">
      <c r="A457" t="s">
        <v>148</v>
      </c>
      <c r="B457" s="1">
        <v>43101</v>
      </c>
      <c r="C457" s="2">
        <v>1200</v>
      </c>
      <c r="D457" s="2">
        <v>1200</v>
      </c>
      <c r="E457" t="s">
        <v>73</v>
      </c>
      <c r="F457" s="2">
        <v>0</v>
      </c>
      <c r="G457" s="2"/>
      <c r="H457" s="2"/>
    </row>
    <row r="458" spans="1:8">
      <c r="A458" t="s">
        <v>224</v>
      </c>
      <c r="B458" s="1">
        <v>43101</v>
      </c>
      <c r="C458" s="2">
        <v>1200</v>
      </c>
      <c r="D458" s="2">
        <v>1200</v>
      </c>
      <c r="E458" t="s">
        <v>73</v>
      </c>
      <c r="F458" s="2">
        <v>0</v>
      </c>
      <c r="G458" s="2"/>
      <c r="H458" s="2"/>
    </row>
    <row r="459" spans="1:8">
      <c r="A459" t="s">
        <v>217</v>
      </c>
      <c r="B459" s="1">
        <v>43101</v>
      </c>
      <c r="C459" s="2">
        <v>1200</v>
      </c>
      <c r="D459" s="2">
        <v>1200</v>
      </c>
      <c r="E459" t="s">
        <v>73</v>
      </c>
      <c r="F459" s="2">
        <v>0</v>
      </c>
      <c r="G459" s="2"/>
      <c r="H459" s="2"/>
    </row>
    <row r="460" spans="1:8">
      <c r="A460" t="s">
        <v>311</v>
      </c>
      <c r="B460" s="1">
        <v>43101</v>
      </c>
      <c r="C460" s="2">
        <v>1200</v>
      </c>
      <c r="D460" s="2">
        <v>1200</v>
      </c>
      <c r="E460" t="s">
        <v>73</v>
      </c>
      <c r="F460" s="2">
        <v>0</v>
      </c>
      <c r="G460" s="2"/>
      <c r="H460" s="2"/>
    </row>
    <row r="461" spans="1:8">
      <c r="A461" t="s">
        <v>120</v>
      </c>
      <c r="B461" s="1">
        <v>43101</v>
      </c>
      <c r="C461" s="2">
        <v>1200</v>
      </c>
      <c r="D461" s="2">
        <v>1200</v>
      </c>
      <c r="E461" t="s">
        <v>73</v>
      </c>
      <c r="F461" s="2">
        <v>0</v>
      </c>
      <c r="G461" s="2"/>
      <c r="H461" s="2"/>
    </row>
    <row r="462" spans="1:8">
      <c r="A462" t="s">
        <v>312</v>
      </c>
      <c r="B462" s="1">
        <v>43101</v>
      </c>
      <c r="C462" s="2">
        <v>1200</v>
      </c>
      <c r="D462" s="2">
        <v>1200</v>
      </c>
      <c r="E462" t="s">
        <v>73</v>
      </c>
      <c r="F462" s="2">
        <v>0</v>
      </c>
      <c r="G462" s="2"/>
      <c r="H462" s="2"/>
    </row>
    <row r="463" spans="1:8">
      <c r="A463" t="s">
        <v>121</v>
      </c>
      <c r="B463" s="1">
        <v>43101</v>
      </c>
      <c r="C463" s="2">
        <v>1200</v>
      </c>
      <c r="D463" s="2">
        <v>1200</v>
      </c>
      <c r="E463" t="s">
        <v>73</v>
      </c>
      <c r="F463" s="2">
        <v>0</v>
      </c>
      <c r="G463" s="2"/>
      <c r="H463" s="2"/>
    </row>
    <row r="464" spans="1:8">
      <c r="A464" t="s">
        <v>152</v>
      </c>
      <c r="B464" s="1">
        <v>43101</v>
      </c>
      <c r="C464" s="2">
        <v>1200</v>
      </c>
      <c r="D464" s="2">
        <v>1200</v>
      </c>
      <c r="E464" t="s">
        <v>73</v>
      </c>
      <c r="F464" s="2">
        <v>0</v>
      </c>
      <c r="G464" s="2"/>
      <c r="H464" s="2"/>
    </row>
    <row r="465" spans="1:8">
      <c r="A465" t="s">
        <v>153</v>
      </c>
      <c r="B465" s="1">
        <v>43101</v>
      </c>
      <c r="C465" s="2">
        <v>1200</v>
      </c>
      <c r="D465" s="2">
        <v>1200</v>
      </c>
      <c r="E465" t="s">
        <v>73</v>
      </c>
      <c r="F465" s="2">
        <v>0</v>
      </c>
      <c r="G465" s="2"/>
      <c r="H465" s="2"/>
    </row>
    <row r="466" spans="1:8">
      <c r="A466" t="s">
        <v>222</v>
      </c>
      <c r="B466" s="1">
        <v>43101</v>
      </c>
      <c r="C466" s="2">
        <v>1200</v>
      </c>
      <c r="D466" s="2">
        <v>1200</v>
      </c>
      <c r="E466" t="s">
        <v>73</v>
      </c>
      <c r="F466" s="2">
        <v>0</v>
      </c>
      <c r="G466" s="2"/>
      <c r="H466" s="2"/>
    </row>
    <row r="467" spans="1:8">
      <c r="A467" t="s">
        <v>149</v>
      </c>
      <c r="B467" s="1">
        <v>43101</v>
      </c>
      <c r="C467" s="2">
        <v>1200</v>
      </c>
      <c r="D467" s="2">
        <v>1200</v>
      </c>
      <c r="E467" t="s">
        <v>73</v>
      </c>
      <c r="F467" s="2">
        <v>0</v>
      </c>
      <c r="G467" s="2"/>
      <c r="H467" s="2"/>
    </row>
    <row r="468" spans="1:8">
      <c r="A468" t="s">
        <v>154</v>
      </c>
      <c r="B468" s="1">
        <v>43101</v>
      </c>
      <c r="C468" s="2">
        <v>1200</v>
      </c>
      <c r="D468" s="2">
        <v>1200</v>
      </c>
      <c r="E468" t="s">
        <v>73</v>
      </c>
      <c r="F468" s="2">
        <v>0</v>
      </c>
      <c r="G468" s="2"/>
      <c r="H468" s="2"/>
    </row>
    <row r="469" spans="1:8">
      <c r="A469" t="s">
        <v>150</v>
      </c>
      <c r="B469" s="1">
        <v>43101</v>
      </c>
      <c r="C469" s="2">
        <v>1200</v>
      </c>
      <c r="D469" s="2">
        <v>1200</v>
      </c>
      <c r="E469" t="s">
        <v>73</v>
      </c>
      <c r="F469" s="2">
        <v>0</v>
      </c>
      <c r="G469" s="2"/>
      <c r="H469" s="2"/>
    </row>
    <row r="470" spans="1:8">
      <c r="A470" t="s">
        <v>122</v>
      </c>
      <c r="B470" s="1">
        <v>43101</v>
      </c>
      <c r="C470" s="2">
        <v>1200</v>
      </c>
      <c r="D470" s="2">
        <v>1200</v>
      </c>
      <c r="E470" t="s">
        <v>73</v>
      </c>
      <c r="F470" s="2">
        <v>0</v>
      </c>
      <c r="G470" s="2"/>
      <c r="H470" s="2"/>
    </row>
    <row r="471" spans="1:8">
      <c r="A471" t="s">
        <v>218</v>
      </c>
      <c r="B471" s="1">
        <v>43101</v>
      </c>
      <c r="C471" s="2">
        <v>1200</v>
      </c>
      <c r="D471" s="2">
        <v>1200</v>
      </c>
      <c r="E471" t="s">
        <v>73</v>
      </c>
      <c r="F471" s="2">
        <v>0</v>
      </c>
      <c r="G471" s="2"/>
      <c r="H471" s="2"/>
    </row>
    <row r="472" spans="1:8">
      <c r="A472" t="s">
        <v>151</v>
      </c>
      <c r="B472" s="1">
        <v>43101</v>
      </c>
      <c r="C472" s="2">
        <v>1200</v>
      </c>
      <c r="D472" s="2">
        <v>1200</v>
      </c>
      <c r="E472" t="s">
        <v>73</v>
      </c>
      <c r="F472" s="2">
        <v>0</v>
      </c>
      <c r="G472" s="2"/>
      <c r="H472" s="2"/>
    </row>
    <row r="473" spans="1:8">
      <c r="A473" t="s">
        <v>219</v>
      </c>
      <c r="B473" s="1">
        <v>43101</v>
      </c>
      <c r="C473" s="2">
        <v>1200</v>
      </c>
      <c r="D473" s="2">
        <v>1200</v>
      </c>
      <c r="E473" t="s">
        <v>73</v>
      </c>
      <c r="F473" s="2">
        <v>0</v>
      </c>
      <c r="G473" s="2"/>
      <c r="H473" s="2"/>
    </row>
    <row r="474" spans="1:8">
      <c r="A474" t="s">
        <v>225</v>
      </c>
      <c r="B474" s="1">
        <v>43101</v>
      </c>
      <c r="C474" s="2">
        <v>1200</v>
      </c>
      <c r="D474" s="2">
        <v>1200</v>
      </c>
      <c r="E474" t="s">
        <v>73</v>
      </c>
      <c r="F474" s="2">
        <v>0</v>
      </c>
      <c r="G474" s="2"/>
      <c r="H474" s="2"/>
    </row>
    <row r="475" spans="1:8">
      <c r="A475" t="s">
        <v>118</v>
      </c>
      <c r="B475" s="1">
        <v>43101</v>
      </c>
      <c r="C475" s="2">
        <v>1200</v>
      </c>
      <c r="D475" s="2">
        <v>1200</v>
      </c>
      <c r="E475" t="s">
        <v>73</v>
      </c>
      <c r="F475" s="2">
        <v>0</v>
      </c>
      <c r="G475" s="2"/>
      <c r="H475" s="2"/>
    </row>
    <row r="476" spans="1:8">
      <c r="A476" t="s">
        <v>220</v>
      </c>
      <c r="B476" s="1">
        <v>43101</v>
      </c>
      <c r="C476" s="2">
        <v>1200</v>
      </c>
      <c r="D476" s="2">
        <v>1200</v>
      </c>
      <c r="E476" t="s">
        <v>73</v>
      </c>
      <c r="F476" s="2">
        <v>0</v>
      </c>
      <c r="G476" s="2"/>
      <c r="H476" s="2"/>
    </row>
    <row r="477" spans="1:8">
      <c r="A477" t="s">
        <v>221</v>
      </c>
      <c r="B477" s="1">
        <v>43101</v>
      </c>
      <c r="C477" s="2">
        <v>1200</v>
      </c>
      <c r="D477" s="2">
        <v>1200</v>
      </c>
      <c r="E477" t="s">
        <v>73</v>
      </c>
      <c r="F477" s="2">
        <v>0</v>
      </c>
      <c r="G477" s="2"/>
      <c r="H477" s="2"/>
    </row>
    <row r="478" spans="1:8">
      <c r="A478" t="s">
        <v>146</v>
      </c>
      <c r="B478" s="1">
        <v>43101</v>
      </c>
      <c r="C478" s="2">
        <v>4392</v>
      </c>
      <c r="D478" s="2">
        <v>4500</v>
      </c>
      <c r="E478" t="s">
        <v>12</v>
      </c>
      <c r="F478" s="2">
        <v>108</v>
      </c>
      <c r="G478" s="2"/>
      <c r="H478" s="2"/>
    </row>
    <row r="479" spans="1:8">
      <c r="A479" t="s">
        <v>292</v>
      </c>
      <c r="B479" s="1">
        <v>43101</v>
      </c>
      <c r="C479" s="2">
        <v>2448</v>
      </c>
      <c r="D479" s="2">
        <v>2592</v>
      </c>
      <c r="E479" t="s">
        <v>12</v>
      </c>
      <c r="F479" s="2">
        <v>144</v>
      </c>
      <c r="G479" s="2"/>
      <c r="H479" s="2"/>
    </row>
    <row r="480" spans="1:8">
      <c r="A480" t="s">
        <v>126</v>
      </c>
      <c r="B480" s="1">
        <v>43101</v>
      </c>
      <c r="C480" s="2">
        <v>1440</v>
      </c>
      <c r="D480" s="2">
        <v>1584</v>
      </c>
      <c r="E480" t="s">
        <v>12</v>
      </c>
      <c r="F480" s="2">
        <v>144</v>
      </c>
      <c r="G480" s="2"/>
      <c r="H480" s="2"/>
    </row>
    <row r="481" spans="1:8">
      <c r="A481" t="s">
        <v>301</v>
      </c>
      <c r="B481" s="1">
        <v>43101</v>
      </c>
      <c r="C481" s="2">
        <v>5184</v>
      </c>
      <c r="D481" s="2">
        <v>5448</v>
      </c>
      <c r="E481" t="s">
        <v>12</v>
      </c>
      <c r="F481" s="2">
        <v>264</v>
      </c>
      <c r="G481" s="2"/>
      <c r="H481" s="2"/>
    </row>
    <row r="482" spans="1:8">
      <c r="A482" t="s">
        <v>177</v>
      </c>
      <c r="B482" s="1">
        <v>43101</v>
      </c>
      <c r="C482" s="2">
        <v>1440</v>
      </c>
      <c r="D482" s="2">
        <v>1728</v>
      </c>
      <c r="E482" t="s">
        <v>12</v>
      </c>
      <c r="F482" s="2">
        <v>288</v>
      </c>
      <c r="G482" s="2"/>
      <c r="H482" s="2"/>
    </row>
    <row r="483" spans="1:8">
      <c r="A483" t="s">
        <v>269</v>
      </c>
      <c r="B483" s="1">
        <v>43101</v>
      </c>
      <c r="C483" s="2">
        <v>1440</v>
      </c>
      <c r="D483" s="2">
        <v>1728</v>
      </c>
      <c r="E483" t="s">
        <v>12</v>
      </c>
      <c r="F483" s="2">
        <v>288</v>
      </c>
      <c r="G483" s="2"/>
      <c r="H483" s="2"/>
    </row>
    <row r="484" spans="1:8">
      <c r="A484" t="s">
        <v>310</v>
      </c>
      <c r="B484" s="1">
        <v>43101</v>
      </c>
      <c r="C484" s="2">
        <v>9936</v>
      </c>
      <c r="D484" s="2">
        <v>10596</v>
      </c>
      <c r="E484" t="s">
        <v>12</v>
      </c>
      <c r="F484" s="2">
        <v>660</v>
      </c>
      <c r="G484" s="2"/>
      <c r="H484" s="2"/>
    </row>
    <row r="485" spans="1:8">
      <c r="A485" t="s">
        <v>294</v>
      </c>
      <c r="B485" s="1">
        <v>43101</v>
      </c>
      <c r="C485" s="2">
        <v>2880</v>
      </c>
      <c r="D485" s="2">
        <v>3600</v>
      </c>
      <c r="E485" t="s">
        <v>12</v>
      </c>
      <c r="F485" s="2">
        <v>720</v>
      </c>
      <c r="G485" s="2"/>
      <c r="H485" s="2"/>
    </row>
    <row r="486" spans="1:8">
      <c r="A486" t="s">
        <v>227</v>
      </c>
      <c r="B486" s="1">
        <v>43101</v>
      </c>
      <c r="C486" s="2">
        <v>1440</v>
      </c>
      <c r="D486" s="2">
        <v>2304</v>
      </c>
      <c r="E486" t="s">
        <v>12</v>
      </c>
      <c r="F486" s="2">
        <v>864</v>
      </c>
      <c r="G486" s="2"/>
      <c r="H486" s="2"/>
    </row>
    <row r="487" spans="1:8">
      <c r="A487" t="s">
        <v>276</v>
      </c>
      <c r="B487" s="1">
        <v>43101</v>
      </c>
      <c r="C487" s="2">
        <v>1440</v>
      </c>
      <c r="D487" s="2">
        <v>2448</v>
      </c>
      <c r="E487" t="s">
        <v>12</v>
      </c>
      <c r="F487" s="2">
        <v>1008</v>
      </c>
      <c r="G487" s="2"/>
      <c r="H487" s="2"/>
    </row>
    <row r="488" spans="1:8">
      <c r="A488" t="s">
        <v>205</v>
      </c>
      <c r="B488" s="1">
        <v>43101</v>
      </c>
      <c r="C488" s="2">
        <v>6240</v>
      </c>
      <c r="D488" s="2">
        <v>7296</v>
      </c>
      <c r="E488" t="s">
        <v>12</v>
      </c>
      <c r="F488" s="2">
        <v>1056</v>
      </c>
      <c r="G488" s="2"/>
      <c r="H488" s="2"/>
    </row>
    <row r="489" spans="1:8">
      <c r="A489" t="s">
        <v>308</v>
      </c>
      <c r="B489" s="1">
        <v>43101</v>
      </c>
      <c r="C489" s="2">
        <v>3456</v>
      </c>
      <c r="D489" s="2">
        <v>4524</v>
      </c>
      <c r="E489" t="s">
        <v>12</v>
      </c>
      <c r="F489" s="2">
        <v>1068</v>
      </c>
      <c r="G489" s="2"/>
      <c r="H489" s="2"/>
    </row>
    <row r="490" spans="1:8">
      <c r="A490" t="s">
        <v>209</v>
      </c>
      <c r="B490" s="1">
        <v>43101</v>
      </c>
      <c r="C490" s="2">
        <v>19620</v>
      </c>
      <c r="D490" s="2">
        <v>20700</v>
      </c>
      <c r="E490" t="s">
        <v>12</v>
      </c>
      <c r="F490" s="2">
        <v>1080</v>
      </c>
      <c r="G490" s="2"/>
      <c r="H490" s="2"/>
    </row>
    <row r="491" spans="1:8">
      <c r="A491" t="s">
        <v>313</v>
      </c>
      <c r="B491" s="1">
        <v>43101</v>
      </c>
      <c r="C491" s="2">
        <v>0</v>
      </c>
      <c r="D491" s="2">
        <v>1440</v>
      </c>
      <c r="E491" t="s">
        <v>72</v>
      </c>
      <c r="F491" s="2">
        <v>1440</v>
      </c>
      <c r="G491" s="2"/>
      <c r="H491" s="2"/>
    </row>
    <row r="492" spans="1:8">
      <c r="A492" t="s">
        <v>314</v>
      </c>
      <c r="B492" s="1">
        <v>43101</v>
      </c>
      <c r="C492" s="2">
        <v>0</v>
      </c>
      <c r="D492" s="2">
        <v>1200</v>
      </c>
      <c r="E492" t="s">
        <v>25</v>
      </c>
      <c r="F492" s="2">
        <v>1200</v>
      </c>
      <c r="G492" s="2"/>
      <c r="H492" s="2"/>
    </row>
    <row r="493" spans="1:8">
      <c r="A493" t="s">
        <v>315</v>
      </c>
      <c r="B493" s="1">
        <v>43101</v>
      </c>
      <c r="C493" s="2">
        <v>0</v>
      </c>
      <c r="D493" s="2">
        <v>1200</v>
      </c>
      <c r="E493" t="s">
        <v>25</v>
      </c>
      <c r="F493" s="2">
        <v>1200</v>
      </c>
      <c r="G493" s="2"/>
      <c r="H493" s="2"/>
    </row>
    <row r="494" spans="1:8">
      <c r="A494" t="s">
        <v>316</v>
      </c>
      <c r="B494" s="1">
        <v>43101</v>
      </c>
      <c r="C494" s="2">
        <v>0</v>
      </c>
      <c r="D494" s="2">
        <v>1200</v>
      </c>
      <c r="E494" t="s">
        <v>25</v>
      </c>
      <c r="F494" s="2">
        <v>1200</v>
      </c>
      <c r="G494" s="2"/>
      <c r="H494" s="2"/>
    </row>
    <row r="495" spans="1:8">
      <c r="A495" t="s">
        <v>317</v>
      </c>
      <c r="B495" s="1">
        <v>43101</v>
      </c>
      <c r="C495" s="2">
        <v>0</v>
      </c>
      <c r="D495" s="2">
        <v>1200</v>
      </c>
      <c r="E495" t="s">
        <v>25</v>
      </c>
      <c r="F495" s="2">
        <v>1200</v>
      </c>
      <c r="G495" s="2"/>
      <c r="H495" s="2"/>
    </row>
    <row r="496" spans="1:8">
      <c r="A496" t="s">
        <v>318</v>
      </c>
      <c r="B496" s="1">
        <v>43101</v>
      </c>
      <c r="C496" s="2">
        <v>0</v>
      </c>
      <c r="D496" s="2">
        <v>1440</v>
      </c>
      <c r="E496" t="s">
        <v>25</v>
      </c>
      <c r="F496" s="2">
        <v>1440</v>
      </c>
      <c r="G496" s="2"/>
      <c r="H496" s="2"/>
    </row>
    <row r="497" spans="1:8">
      <c r="A497" t="s">
        <v>319</v>
      </c>
      <c r="B497" s="1">
        <v>43101</v>
      </c>
      <c r="C497" s="2">
        <v>0</v>
      </c>
      <c r="D497" s="2">
        <v>1440</v>
      </c>
      <c r="E497" t="s">
        <v>25</v>
      </c>
      <c r="F497" s="2">
        <v>1440</v>
      </c>
      <c r="G497" s="2"/>
      <c r="H497" s="2"/>
    </row>
    <row r="498" spans="1:8">
      <c r="A498" t="s">
        <v>320</v>
      </c>
      <c r="B498" s="1">
        <v>43101</v>
      </c>
      <c r="C498" s="2">
        <v>0</v>
      </c>
      <c r="D498" s="2">
        <v>1440</v>
      </c>
      <c r="E498" t="s">
        <v>25</v>
      </c>
      <c r="F498" s="2">
        <v>1440</v>
      </c>
      <c r="G498" s="2"/>
      <c r="H498" s="2"/>
    </row>
    <row r="499" spans="1:8">
      <c r="A499" t="s">
        <v>321</v>
      </c>
      <c r="B499" s="1">
        <v>43101</v>
      </c>
      <c r="C499" s="2">
        <v>0</v>
      </c>
      <c r="D499" s="2">
        <v>1440</v>
      </c>
      <c r="E499" t="s">
        <v>25</v>
      </c>
      <c r="F499" s="2">
        <v>1440</v>
      </c>
      <c r="G499" s="2"/>
      <c r="H499" s="2"/>
    </row>
    <row r="500" spans="1:8">
      <c r="A500" t="s">
        <v>322</v>
      </c>
      <c r="B500" s="1">
        <v>43101</v>
      </c>
      <c r="C500" s="2">
        <v>0</v>
      </c>
      <c r="D500" s="2">
        <v>1440</v>
      </c>
      <c r="E500" t="s">
        <v>25</v>
      </c>
      <c r="F500" s="2">
        <v>1440</v>
      </c>
      <c r="G500" s="2"/>
      <c r="H500" s="2"/>
    </row>
    <row r="501" spans="1:8">
      <c r="A501" t="s">
        <v>323</v>
      </c>
      <c r="B501" s="1">
        <v>43101</v>
      </c>
      <c r="C501" s="2">
        <v>0</v>
      </c>
      <c r="D501" s="2">
        <v>1440</v>
      </c>
      <c r="E501" t="s">
        <v>25</v>
      </c>
      <c r="F501" s="2">
        <v>1440</v>
      </c>
      <c r="G501" s="2"/>
      <c r="H501" s="2"/>
    </row>
    <row r="502" spans="1:8">
      <c r="A502" t="s">
        <v>324</v>
      </c>
      <c r="B502" s="1">
        <v>43101</v>
      </c>
      <c r="C502" s="2">
        <v>0</v>
      </c>
      <c r="D502" s="2">
        <v>1440</v>
      </c>
      <c r="E502" t="s">
        <v>25</v>
      </c>
      <c r="F502" s="2">
        <v>1440</v>
      </c>
      <c r="G502" s="2"/>
      <c r="H502" s="2"/>
    </row>
    <row r="503" spans="1:8">
      <c r="A503" t="s">
        <v>325</v>
      </c>
      <c r="B503" s="1">
        <v>43101</v>
      </c>
      <c r="C503" s="2">
        <v>0</v>
      </c>
      <c r="D503" s="2">
        <v>1440</v>
      </c>
      <c r="E503" t="s">
        <v>25</v>
      </c>
      <c r="F503" s="2">
        <v>1440</v>
      </c>
      <c r="G503" s="2"/>
      <c r="H503" s="2"/>
    </row>
    <row r="504" spans="1:8">
      <c r="A504" t="s">
        <v>326</v>
      </c>
      <c r="B504" s="1">
        <v>43101</v>
      </c>
      <c r="C504" s="2">
        <v>0</v>
      </c>
      <c r="D504" s="2">
        <v>1440</v>
      </c>
      <c r="E504" t="s">
        <v>25</v>
      </c>
      <c r="F504" s="2">
        <v>1440</v>
      </c>
      <c r="G504" s="2"/>
      <c r="H504" s="2"/>
    </row>
    <row r="505" spans="1:8">
      <c r="A505" t="s">
        <v>327</v>
      </c>
      <c r="B505" s="1">
        <v>43101</v>
      </c>
      <c r="C505" s="2">
        <v>0</v>
      </c>
      <c r="D505" s="2">
        <v>1440</v>
      </c>
      <c r="E505" t="s">
        <v>25</v>
      </c>
      <c r="F505" s="2">
        <v>1440</v>
      </c>
      <c r="G505" s="2"/>
      <c r="H505" s="2"/>
    </row>
    <row r="506" spans="1:8">
      <c r="A506" t="s">
        <v>328</v>
      </c>
      <c r="B506" s="1">
        <v>43101</v>
      </c>
      <c r="C506" s="2">
        <v>0</v>
      </c>
      <c r="D506" s="2">
        <v>1440</v>
      </c>
      <c r="E506" t="s">
        <v>25</v>
      </c>
      <c r="F506" s="2">
        <v>1440</v>
      </c>
      <c r="G506" s="2"/>
      <c r="H506" s="2"/>
    </row>
    <row r="507" spans="1:8">
      <c r="A507" t="s">
        <v>329</v>
      </c>
      <c r="B507" s="1">
        <v>43101</v>
      </c>
      <c r="C507" s="2">
        <v>0</v>
      </c>
      <c r="D507" s="2">
        <v>1440</v>
      </c>
      <c r="E507" t="s">
        <v>25</v>
      </c>
      <c r="F507" s="2">
        <v>1440</v>
      </c>
      <c r="G507" s="2"/>
      <c r="H507" s="2"/>
    </row>
    <row r="508" spans="1:8">
      <c r="A508" t="s">
        <v>330</v>
      </c>
      <c r="B508" s="1">
        <v>43101</v>
      </c>
      <c r="C508" s="2">
        <v>0</v>
      </c>
      <c r="D508" s="2">
        <v>1440</v>
      </c>
      <c r="E508" t="s">
        <v>25</v>
      </c>
      <c r="F508" s="2">
        <v>1440</v>
      </c>
      <c r="G508" s="2"/>
      <c r="H508" s="2"/>
    </row>
    <row r="509" spans="1:8">
      <c r="A509" t="s">
        <v>331</v>
      </c>
      <c r="B509" s="1">
        <v>43101</v>
      </c>
      <c r="C509" s="2">
        <v>0</v>
      </c>
      <c r="D509" s="2">
        <v>1440</v>
      </c>
      <c r="E509" t="s">
        <v>25</v>
      </c>
      <c r="F509" s="2">
        <v>1440</v>
      </c>
      <c r="G509" s="2"/>
      <c r="H509" s="2"/>
    </row>
    <row r="510" spans="1:8">
      <c r="A510" t="s">
        <v>332</v>
      </c>
      <c r="B510" s="1">
        <v>43101</v>
      </c>
      <c r="C510" s="2">
        <v>0</v>
      </c>
      <c r="D510" s="2">
        <v>1440</v>
      </c>
      <c r="E510" t="s">
        <v>25</v>
      </c>
      <c r="F510" s="2">
        <v>1440</v>
      </c>
      <c r="G510" s="2"/>
      <c r="H510" s="2"/>
    </row>
    <row r="511" spans="1:8">
      <c r="A511" t="s">
        <v>333</v>
      </c>
      <c r="B511" s="1">
        <v>43101</v>
      </c>
      <c r="C511" s="2">
        <v>0</v>
      </c>
      <c r="D511" s="2">
        <v>1440</v>
      </c>
      <c r="E511" t="s">
        <v>25</v>
      </c>
      <c r="F511" s="2">
        <v>1440</v>
      </c>
      <c r="G511" s="2"/>
      <c r="H511" s="2"/>
    </row>
    <row r="512" spans="1:8">
      <c r="A512" t="s">
        <v>334</v>
      </c>
      <c r="B512" s="1">
        <v>43101</v>
      </c>
      <c r="C512" s="2">
        <v>0</v>
      </c>
      <c r="D512" s="2">
        <v>1440</v>
      </c>
      <c r="E512" t="s">
        <v>25</v>
      </c>
      <c r="F512" s="2">
        <v>1440</v>
      </c>
      <c r="G512" s="2"/>
      <c r="H512" s="2"/>
    </row>
    <row r="513" spans="1:8">
      <c r="A513" t="s">
        <v>335</v>
      </c>
      <c r="B513" s="1">
        <v>43101</v>
      </c>
      <c r="C513" s="2">
        <v>0</v>
      </c>
      <c r="D513" s="2">
        <v>1440</v>
      </c>
      <c r="E513" t="s">
        <v>25</v>
      </c>
      <c r="F513" s="2">
        <v>1440</v>
      </c>
      <c r="G513" s="2"/>
      <c r="H513" s="2"/>
    </row>
    <row r="514" spans="1:8">
      <c r="A514" t="s">
        <v>336</v>
      </c>
      <c r="B514" s="1">
        <v>43101</v>
      </c>
      <c r="C514" s="2">
        <v>0</v>
      </c>
      <c r="D514" s="2">
        <v>1440</v>
      </c>
      <c r="E514" t="s">
        <v>25</v>
      </c>
      <c r="F514" s="2">
        <v>1440</v>
      </c>
      <c r="G514" s="2"/>
      <c r="H514" s="2"/>
    </row>
    <row r="515" spans="1:8">
      <c r="A515" t="s">
        <v>337</v>
      </c>
      <c r="B515" s="1">
        <v>43101</v>
      </c>
      <c r="C515" s="2">
        <v>0</v>
      </c>
      <c r="D515" s="2">
        <v>1440</v>
      </c>
      <c r="E515" t="s">
        <v>25</v>
      </c>
      <c r="F515" s="2">
        <v>1440</v>
      </c>
      <c r="G515" s="2"/>
      <c r="H515" s="2"/>
    </row>
    <row r="516" spans="1:8">
      <c r="A516" t="s">
        <v>338</v>
      </c>
      <c r="B516" s="1">
        <v>43101</v>
      </c>
      <c r="C516" s="2">
        <v>0</v>
      </c>
      <c r="D516" s="2">
        <v>1440</v>
      </c>
      <c r="E516" t="s">
        <v>25</v>
      </c>
      <c r="F516" s="2">
        <v>1440</v>
      </c>
      <c r="G516" s="2"/>
      <c r="H516" s="2"/>
    </row>
    <row r="517" spans="1:8">
      <c r="A517" t="s">
        <v>339</v>
      </c>
      <c r="B517" s="1">
        <v>43101</v>
      </c>
      <c r="C517" s="2">
        <v>0</v>
      </c>
      <c r="D517" s="2">
        <v>1440</v>
      </c>
      <c r="E517" t="s">
        <v>25</v>
      </c>
      <c r="F517" s="2">
        <v>1440</v>
      </c>
      <c r="G517" s="2"/>
      <c r="H517" s="2"/>
    </row>
    <row r="518" spans="1:8">
      <c r="A518" t="s">
        <v>340</v>
      </c>
      <c r="B518" s="1">
        <v>43101</v>
      </c>
      <c r="C518" s="2">
        <v>0</v>
      </c>
      <c r="D518" s="2">
        <v>1440</v>
      </c>
      <c r="E518" t="s">
        <v>25</v>
      </c>
      <c r="F518" s="2">
        <v>1440</v>
      </c>
      <c r="G518" s="2"/>
      <c r="H518" s="2"/>
    </row>
    <row r="519" spans="1:8">
      <c r="A519" t="s">
        <v>341</v>
      </c>
      <c r="B519" s="1">
        <v>43101</v>
      </c>
      <c r="C519" s="2">
        <v>0</v>
      </c>
      <c r="D519" s="2">
        <v>1440</v>
      </c>
      <c r="E519" t="s">
        <v>25</v>
      </c>
      <c r="F519" s="2">
        <v>1440</v>
      </c>
      <c r="G519" s="2"/>
      <c r="H519" s="2"/>
    </row>
    <row r="520" spans="1:8">
      <c r="A520" t="s">
        <v>342</v>
      </c>
      <c r="B520" s="1">
        <v>43101</v>
      </c>
      <c r="C520" s="2">
        <v>0</v>
      </c>
      <c r="D520" s="2">
        <v>1440</v>
      </c>
      <c r="E520" t="s">
        <v>25</v>
      </c>
      <c r="F520" s="2">
        <v>1440</v>
      </c>
      <c r="G520" s="2"/>
      <c r="H520" s="2"/>
    </row>
    <row r="521" spans="1:8">
      <c r="A521" t="s">
        <v>343</v>
      </c>
      <c r="B521" s="1">
        <v>43101</v>
      </c>
      <c r="C521" s="2">
        <v>0</v>
      </c>
      <c r="D521" s="2">
        <v>1440</v>
      </c>
      <c r="E521" t="s">
        <v>25</v>
      </c>
      <c r="F521" s="2">
        <v>1440</v>
      </c>
      <c r="G521" s="2"/>
      <c r="H521" s="2"/>
    </row>
    <row r="522" spans="1:8">
      <c r="A522" t="s">
        <v>344</v>
      </c>
      <c r="B522" s="1">
        <v>43101</v>
      </c>
      <c r="C522" s="2">
        <v>0</v>
      </c>
      <c r="D522" s="2">
        <v>1440</v>
      </c>
      <c r="E522" t="s">
        <v>25</v>
      </c>
      <c r="F522" s="2">
        <v>1440</v>
      </c>
      <c r="G522" s="2"/>
      <c r="H522" s="2"/>
    </row>
    <row r="523" spans="1:8">
      <c r="A523" t="s">
        <v>345</v>
      </c>
      <c r="B523" s="1">
        <v>43101</v>
      </c>
      <c r="C523" s="2">
        <v>0</v>
      </c>
      <c r="D523" s="2">
        <v>1440</v>
      </c>
      <c r="E523" t="s">
        <v>25</v>
      </c>
      <c r="F523" s="2">
        <v>1440</v>
      </c>
      <c r="G523" s="2"/>
      <c r="H523" s="2"/>
    </row>
    <row r="524" spans="1:8">
      <c r="A524" t="s">
        <v>346</v>
      </c>
      <c r="B524" s="1">
        <v>43101</v>
      </c>
      <c r="C524" s="2">
        <v>0</v>
      </c>
      <c r="D524" s="2">
        <v>1440</v>
      </c>
      <c r="E524" t="s">
        <v>25</v>
      </c>
      <c r="F524" s="2">
        <v>1440</v>
      </c>
      <c r="G524" s="2"/>
      <c r="H524" s="2"/>
    </row>
    <row r="525" spans="1:8">
      <c r="A525" t="s">
        <v>347</v>
      </c>
      <c r="B525" s="1">
        <v>43101</v>
      </c>
      <c r="C525" s="2">
        <v>0</v>
      </c>
      <c r="D525" s="2">
        <v>1440</v>
      </c>
      <c r="E525" t="s">
        <v>25</v>
      </c>
      <c r="F525" s="2">
        <v>1440</v>
      </c>
      <c r="G525" s="2"/>
      <c r="H525" s="2"/>
    </row>
    <row r="526" spans="1:8">
      <c r="A526" t="s">
        <v>348</v>
      </c>
      <c r="B526" s="1">
        <v>43101</v>
      </c>
      <c r="C526" s="2">
        <v>0</v>
      </c>
      <c r="D526" s="2">
        <v>1440</v>
      </c>
      <c r="E526" t="s">
        <v>25</v>
      </c>
      <c r="F526" s="2">
        <v>1440</v>
      </c>
      <c r="G526" s="2"/>
      <c r="H526" s="2"/>
    </row>
    <row r="527" spans="1:8">
      <c r="A527" t="s">
        <v>349</v>
      </c>
      <c r="B527" s="1">
        <v>43101</v>
      </c>
      <c r="C527" s="2">
        <v>0</v>
      </c>
      <c r="D527" s="2">
        <v>1440</v>
      </c>
      <c r="E527" t="s">
        <v>25</v>
      </c>
      <c r="F527" s="2">
        <v>1440</v>
      </c>
      <c r="G527" s="2"/>
      <c r="H527" s="2"/>
    </row>
    <row r="528" spans="1:8">
      <c r="A528" t="s">
        <v>350</v>
      </c>
      <c r="B528" s="1">
        <v>43101</v>
      </c>
      <c r="C528" s="2">
        <v>0</v>
      </c>
      <c r="D528" s="2">
        <v>1440</v>
      </c>
      <c r="E528" t="s">
        <v>25</v>
      </c>
      <c r="F528" s="2">
        <v>1440</v>
      </c>
      <c r="G528" s="2"/>
      <c r="H528" s="2"/>
    </row>
    <row r="529" spans="1:8">
      <c r="A529" t="s">
        <v>351</v>
      </c>
      <c r="B529" s="1">
        <v>43101</v>
      </c>
      <c r="C529" s="2">
        <v>0</v>
      </c>
      <c r="D529" s="2">
        <v>1440</v>
      </c>
      <c r="E529" t="s">
        <v>25</v>
      </c>
      <c r="F529" s="2">
        <v>1440</v>
      </c>
      <c r="G529" s="2"/>
      <c r="H529" s="2"/>
    </row>
    <row r="530" spans="1:8">
      <c r="A530" t="s">
        <v>352</v>
      </c>
      <c r="B530" s="1">
        <v>43101</v>
      </c>
      <c r="C530" s="2">
        <v>0</v>
      </c>
      <c r="D530" s="2">
        <v>1440</v>
      </c>
      <c r="E530" t="s">
        <v>25</v>
      </c>
      <c r="F530" s="2">
        <v>1440</v>
      </c>
      <c r="G530" s="2"/>
      <c r="H530" s="2"/>
    </row>
    <row r="531" spans="1:8">
      <c r="A531" t="s">
        <v>353</v>
      </c>
      <c r="B531" s="1">
        <v>43101</v>
      </c>
      <c r="C531" s="2">
        <v>0</v>
      </c>
      <c r="D531" s="2">
        <v>1440</v>
      </c>
      <c r="E531" t="s">
        <v>25</v>
      </c>
      <c r="F531" s="2">
        <v>1440</v>
      </c>
      <c r="G531" s="2"/>
      <c r="H531" s="2"/>
    </row>
    <row r="532" spans="1:8">
      <c r="A532" t="s">
        <v>354</v>
      </c>
      <c r="B532" s="1">
        <v>43101</v>
      </c>
      <c r="C532" s="2">
        <v>0</v>
      </c>
      <c r="D532" s="2">
        <v>1440</v>
      </c>
      <c r="E532" t="s">
        <v>25</v>
      </c>
      <c r="F532" s="2">
        <v>1440</v>
      </c>
      <c r="G532" s="2"/>
      <c r="H532" s="2"/>
    </row>
    <row r="533" spans="1:8">
      <c r="A533" t="s">
        <v>355</v>
      </c>
      <c r="B533" s="1">
        <v>43101</v>
      </c>
      <c r="C533" s="2">
        <v>0</v>
      </c>
      <c r="D533" s="2">
        <v>1440</v>
      </c>
      <c r="E533" t="s">
        <v>25</v>
      </c>
      <c r="F533" s="2">
        <v>1440</v>
      </c>
      <c r="G533" s="2"/>
      <c r="H533" s="2"/>
    </row>
    <row r="534" spans="1:8">
      <c r="A534" t="s">
        <v>356</v>
      </c>
      <c r="B534" s="1">
        <v>43101</v>
      </c>
      <c r="C534" s="2">
        <v>0</v>
      </c>
      <c r="D534" s="2">
        <v>1440</v>
      </c>
      <c r="E534" t="s">
        <v>25</v>
      </c>
      <c r="F534" s="2">
        <v>1440</v>
      </c>
      <c r="G534" s="2"/>
      <c r="H534" s="2"/>
    </row>
    <row r="535" spans="1:8">
      <c r="A535" t="s">
        <v>357</v>
      </c>
      <c r="B535" s="1">
        <v>43101</v>
      </c>
      <c r="C535" s="2">
        <v>0</v>
      </c>
      <c r="D535" s="2">
        <v>1440</v>
      </c>
      <c r="E535" t="s">
        <v>25</v>
      </c>
      <c r="F535" s="2">
        <v>1440</v>
      </c>
      <c r="G535" s="2"/>
      <c r="H535" s="2"/>
    </row>
    <row r="536" spans="1:8">
      <c r="A536" t="s">
        <v>358</v>
      </c>
      <c r="B536" s="1">
        <v>43101</v>
      </c>
      <c r="C536" s="2">
        <v>0</v>
      </c>
      <c r="D536" s="2">
        <v>1728</v>
      </c>
      <c r="E536" t="s">
        <v>25</v>
      </c>
      <c r="F536" s="2">
        <v>1728</v>
      </c>
      <c r="G536" s="2"/>
      <c r="H536" s="2"/>
    </row>
    <row r="537" spans="1:8">
      <c r="A537" t="s">
        <v>359</v>
      </c>
      <c r="B537" s="1">
        <v>43101</v>
      </c>
      <c r="C537" s="2">
        <v>0</v>
      </c>
      <c r="D537" s="2">
        <v>1872</v>
      </c>
      <c r="E537" t="s">
        <v>25</v>
      </c>
      <c r="F537" s="2">
        <v>1872</v>
      </c>
      <c r="G537" s="2"/>
      <c r="H537" s="2"/>
    </row>
    <row r="538" spans="1:8">
      <c r="A538" t="s">
        <v>360</v>
      </c>
      <c r="B538" s="1">
        <v>43101</v>
      </c>
      <c r="C538" s="2">
        <v>0</v>
      </c>
      <c r="D538" s="2">
        <v>1872</v>
      </c>
      <c r="E538" t="s">
        <v>25</v>
      </c>
      <c r="F538" s="2">
        <v>1872</v>
      </c>
      <c r="G538" s="2"/>
      <c r="H538" s="2"/>
    </row>
    <row r="539" spans="1:8">
      <c r="A539" t="s">
        <v>361</v>
      </c>
      <c r="B539" s="1">
        <v>43101</v>
      </c>
      <c r="C539" s="2">
        <v>0</v>
      </c>
      <c r="D539" s="2">
        <v>2304</v>
      </c>
      <c r="E539" t="s">
        <v>25</v>
      </c>
      <c r="F539" s="2">
        <v>2304</v>
      </c>
      <c r="G539" s="2"/>
      <c r="H539" s="2"/>
    </row>
    <row r="540" spans="1:8">
      <c r="A540" t="s">
        <v>362</v>
      </c>
      <c r="B540" s="1">
        <v>43101</v>
      </c>
      <c r="C540" s="2">
        <v>0</v>
      </c>
      <c r="D540" s="2">
        <v>2592</v>
      </c>
      <c r="E540" t="s">
        <v>25</v>
      </c>
      <c r="F540" s="2">
        <v>2592</v>
      </c>
      <c r="G540" s="2"/>
      <c r="H540" s="2"/>
    </row>
    <row r="541" spans="1:8">
      <c r="A541" t="s">
        <v>363</v>
      </c>
      <c r="B541" s="1">
        <v>43101</v>
      </c>
      <c r="C541" s="2">
        <v>0</v>
      </c>
      <c r="D541" s="2">
        <v>3000</v>
      </c>
      <c r="E541" t="s">
        <v>25</v>
      </c>
      <c r="F541" s="2">
        <v>3000</v>
      </c>
      <c r="G541" s="2"/>
      <c r="H541" s="2"/>
    </row>
    <row r="542" spans="1:8">
      <c r="A542" t="s">
        <v>364</v>
      </c>
      <c r="B542" s="1">
        <v>43101</v>
      </c>
      <c r="C542" s="2">
        <v>0</v>
      </c>
      <c r="D542" s="2">
        <v>4920</v>
      </c>
      <c r="E542" t="s">
        <v>25</v>
      </c>
      <c r="F542" s="2">
        <v>4920</v>
      </c>
      <c r="G542" s="2"/>
      <c r="H542" s="2"/>
    </row>
    <row r="543" spans="1:8">
      <c r="A543" t="s">
        <v>304</v>
      </c>
      <c r="B543" s="1">
        <v>43101</v>
      </c>
      <c r="C543" s="2">
        <v>8088</v>
      </c>
      <c r="D543" s="2">
        <v>9540</v>
      </c>
      <c r="E543" t="s">
        <v>12</v>
      </c>
      <c r="F543" s="2">
        <v>1452</v>
      </c>
      <c r="G543" s="2"/>
      <c r="H543" s="2"/>
    </row>
    <row r="544" spans="1:8">
      <c r="A544" t="s">
        <v>297</v>
      </c>
      <c r="B544" s="1">
        <v>43101</v>
      </c>
      <c r="C544" s="2">
        <v>3600</v>
      </c>
      <c r="D544" s="2">
        <v>6240</v>
      </c>
      <c r="E544" t="s">
        <v>12</v>
      </c>
      <c r="F544" s="2">
        <v>2640</v>
      </c>
      <c r="G544" s="2"/>
      <c r="H544" s="2"/>
    </row>
    <row r="545" spans="1:8">
      <c r="A545" t="s">
        <v>202</v>
      </c>
      <c r="B545" s="1">
        <v>43101</v>
      </c>
      <c r="C545" s="2">
        <v>3996</v>
      </c>
      <c r="D545" s="2">
        <v>6768</v>
      </c>
      <c r="E545" t="s">
        <v>12</v>
      </c>
      <c r="F545" s="2">
        <v>2772</v>
      </c>
      <c r="G545" s="2"/>
      <c r="H545" s="2"/>
    </row>
    <row r="546" spans="1:8">
      <c r="A546" t="s">
        <v>365</v>
      </c>
      <c r="B546" s="1">
        <v>43101</v>
      </c>
      <c r="C546" s="2">
        <v>0</v>
      </c>
      <c r="D546" s="2">
        <v>3000</v>
      </c>
      <c r="E546" t="s">
        <v>72</v>
      </c>
      <c r="F546" s="2">
        <v>3000</v>
      </c>
      <c r="G546" s="2"/>
      <c r="H546" s="2"/>
    </row>
    <row r="547" spans="1:8">
      <c r="A547" t="s">
        <v>366</v>
      </c>
      <c r="B547" s="1">
        <v>43101</v>
      </c>
      <c r="C547" s="2">
        <v>0</v>
      </c>
      <c r="D547" s="2">
        <v>3312</v>
      </c>
      <c r="E547" t="s">
        <v>72</v>
      </c>
      <c r="F547" s="2">
        <v>3312</v>
      </c>
      <c r="G547" s="2"/>
      <c r="H547" s="2"/>
    </row>
    <row r="548" spans="1:8">
      <c r="A548" t="s">
        <v>306</v>
      </c>
      <c r="B548" s="1">
        <v>43101</v>
      </c>
      <c r="C548" s="2">
        <v>11124</v>
      </c>
      <c r="D548" s="2">
        <v>14460</v>
      </c>
      <c r="E548" t="s">
        <v>12</v>
      </c>
      <c r="F548" s="2">
        <v>3336</v>
      </c>
      <c r="G548" s="2"/>
      <c r="H548" s="2"/>
    </row>
    <row r="549" spans="1:8">
      <c r="A549" t="s">
        <v>367</v>
      </c>
      <c r="B549" s="1">
        <v>43101</v>
      </c>
      <c r="C549" s="2">
        <v>0</v>
      </c>
      <c r="D549" s="2">
        <v>3456</v>
      </c>
      <c r="E549" t="s">
        <v>72</v>
      </c>
      <c r="F549" s="2">
        <v>3456</v>
      </c>
      <c r="G549" s="2"/>
      <c r="H549" s="2"/>
    </row>
    <row r="550" spans="1:8">
      <c r="A550" t="s">
        <v>296</v>
      </c>
      <c r="B550" s="1">
        <v>43101</v>
      </c>
      <c r="C550" s="2">
        <v>2880</v>
      </c>
      <c r="D550" s="2">
        <v>6636</v>
      </c>
      <c r="E550" t="s">
        <v>12</v>
      </c>
      <c r="F550" s="2">
        <v>3756</v>
      </c>
      <c r="G550" s="2"/>
      <c r="H550" s="2"/>
    </row>
    <row r="551" spans="1:8">
      <c r="A551" t="s">
        <v>196</v>
      </c>
      <c r="B551" s="1">
        <v>43101</v>
      </c>
      <c r="C551" s="2">
        <v>5844</v>
      </c>
      <c r="D551" s="2">
        <v>10068</v>
      </c>
      <c r="E551" t="s">
        <v>12</v>
      </c>
      <c r="F551" s="2">
        <v>4224</v>
      </c>
      <c r="G551" s="2"/>
      <c r="H551" s="2"/>
    </row>
    <row r="552" spans="1:8">
      <c r="A552" t="s">
        <v>215</v>
      </c>
      <c r="B552" s="1">
        <v>43101</v>
      </c>
      <c r="C552" s="2">
        <v>10596</v>
      </c>
      <c r="D552" s="2">
        <v>15420</v>
      </c>
      <c r="E552" t="s">
        <v>12</v>
      </c>
      <c r="F552" s="2">
        <v>4824</v>
      </c>
      <c r="G552" s="2"/>
      <c r="H552" s="2"/>
    </row>
    <row r="553" spans="1:8">
      <c r="A553" t="s">
        <v>210</v>
      </c>
      <c r="B553" s="1">
        <v>43101</v>
      </c>
      <c r="C553" s="2">
        <v>13236</v>
      </c>
      <c r="D553" s="2">
        <v>19500</v>
      </c>
      <c r="E553" t="s">
        <v>12</v>
      </c>
      <c r="F553" s="2">
        <v>6264</v>
      </c>
      <c r="G553" s="2"/>
      <c r="H553" s="2"/>
    </row>
    <row r="554" spans="1:8">
      <c r="A554" t="s">
        <v>169</v>
      </c>
      <c r="B554" s="1">
        <v>43101</v>
      </c>
      <c r="C554" s="2">
        <v>4920</v>
      </c>
      <c r="D554" s="2">
        <v>13368</v>
      </c>
      <c r="E554" t="s">
        <v>12</v>
      </c>
      <c r="F554" s="2">
        <v>8448</v>
      </c>
      <c r="G554" s="2"/>
      <c r="H554" s="2"/>
    </row>
    <row r="555" spans="1:8">
      <c r="A555" t="s">
        <v>368</v>
      </c>
      <c r="B555" s="1">
        <v>43101</v>
      </c>
      <c r="C555" s="2">
        <v>0</v>
      </c>
      <c r="D555" s="2">
        <v>9012</v>
      </c>
      <c r="E555" t="s">
        <v>72</v>
      </c>
      <c r="F555" s="2">
        <v>9012</v>
      </c>
      <c r="G555" s="2"/>
      <c r="H555" s="2"/>
    </row>
    <row r="556" spans="1:8">
      <c r="A556" t="s">
        <v>145</v>
      </c>
      <c r="B556" s="1">
        <v>43101</v>
      </c>
      <c r="C556" s="2">
        <v>17820</v>
      </c>
      <c r="D556" s="2">
        <v>28980</v>
      </c>
      <c r="E556" t="s">
        <v>12</v>
      </c>
      <c r="F556" s="2">
        <v>11160</v>
      </c>
      <c r="G556" s="2"/>
      <c r="H556" s="2"/>
    </row>
    <row r="557" spans="1:8">
      <c r="A557" t="s">
        <v>206</v>
      </c>
      <c r="B557" s="1">
        <v>43101</v>
      </c>
      <c r="C557" s="2">
        <v>7956</v>
      </c>
      <c r="D557" s="2">
        <v>24660</v>
      </c>
      <c r="E557" t="s">
        <v>12</v>
      </c>
      <c r="F557" s="2">
        <v>16704</v>
      </c>
      <c r="G557" s="2"/>
      <c r="H557" s="2"/>
    </row>
    <row r="558" spans="1:8">
      <c r="A558" t="s">
        <v>307</v>
      </c>
      <c r="B558" s="1">
        <v>43132</v>
      </c>
      <c r="C558" s="2">
        <v>20340</v>
      </c>
      <c r="D558" s="2">
        <v>2160</v>
      </c>
      <c r="E558" t="s">
        <v>14</v>
      </c>
      <c r="F558" s="2">
        <v>-18180</v>
      </c>
      <c r="G558" s="2"/>
      <c r="H558" s="2"/>
    </row>
    <row r="559" spans="1:8">
      <c r="A559" t="s">
        <v>210</v>
      </c>
      <c r="B559" s="1">
        <v>43132</v>
      </c>
      <c r="C559" s="2">
        <v>19500</v>
      </c>
      <c r="D559" s="2">
        <v>8880</v>
      </c>
      <c r="E559" t="s">
        <v>14</v>
      </c>
      <c r="F559" s="2">
        <v>-10620</v>
      </c>
      <c r="G559" s="2"/>
      <c r="H559" s="2"/>
    </row>
    <row r="560" spans="1:8">
      <c r="A560" t="s">
        <v>143</v>
      </c>
      <c r="B560" s="1">
        <v>43132</v>
      </c>
      <c r="C560" s="2">
        <v>15180</v>
      </c>
      <c r="D560" s="2">
        <v>5448</v>
      </c>
      <c r="E560" t="s">
        <v>14</v>
      </c>
      <c r="F560" s="2">
        <v>-9732</v>
      </c>
      <c r="G560" s="2"/>
      <c r="H560" s="2"/>
    </row>
    <row r="561" spans="1:8">
      <c r="A561" t="s">
        <v>145</v>
      </c>
      <c r="B561" s="1">
        <v>43132</v>
      </c>
      <c r="C561" s="2">
        <v>28980</v>
      </c>
      <c r="D561" s="2">
        <v>20100</v>
      </c>
      <c r="E561" t="s">
        <v>14</v>
      </c>
      <c r="F561" s="2">
        <v>-8880</v>
      </c>
      <c r="G561" s="2"/>
      <c r="H561" s="2"/>
    </row>
    <row r="562" spans="1:8">
      <c r="A562" t="s">
        <v>297</v>
      </c>
      <c r="B562" s="1">
        <v>43132</v>
      </c>
      <c r="C562" s="2">
        <v>6240</v>
      </c>
      <c r="D562" s="2">
        <v>3996</v>
      </c>
      <c r="E562" t="s">
        <v>14</v>
      </c>
      <c r="F562" s="2">
        <v>-2244</v>
      </c>
      <c r="G562" s="2"/>
      <c r="H562" s="2"/>
    </row>
    <row r="563" spans="1:8">
      <c r="A563" t="s">
        <v>364</v>
      </c>
      <c r="B563" s="1">
        <v>43132</v>
      </c>
      <c r="C563" s="2">
        <v>4920</v>
      </c>
      <c r="D563" s="2">
        <v>3024</v>
      </c>
      <c r="E563" t="s">
        <v>14</v>
      </c>
      <c r="F563" s="2">
        <v>-1896</v>
      </c>
      <c r="G563" s="2"/>
      <c r="H563" s="2"/>
    </row>
    <row r="564" spans="1:8">
      <c r="A564" t="s">
        <v>198</v>
      </c>
      <c r="B564" s="1">
        <v>43132</v>
      </c>
      <c r="C564" s="2">
        <v>1872</v>
      </c>
      <c r="D564" s="2">
        <v>0</v>
      </c>
      <c r="E564" t="s">
        <v>76</v>
      </c>
      <c r="F564" s="2">
        <v>-1872</v>
      </c>
      <c r="G564" s="2"/>
      <c r="H564" s="2"/>
    </row>
    <row r="565" spans="1:8">
      <c r="A565" t="s">
        <v>324</v>
      </c>
      <c r="B565" s="1">
        <v>43132</v>
      </c>
      <c r="C565" s="2">
        <v>1440</v>
      </c>
      <c r="D565" s="2">
        <v>0</v>
      </c>
      <c r="E565" t="s">
        <v>76</v>
      </c>
      <c r="F565" s="2">
        <v>-1440</v>
      </c>
      <c r="G565" s="2"/>
      <c r="H565" s="2"/>
    </row>
    <row r="566" spans="1:8">
      <c r="A566" t="s">
        <v>248</v>
      </c>
      <c r="B566" s="1">
        <v>43132</v>
      </c>
      <c r="C566" s="2">
        <v>1440</v>
      </c>
      <c r="D566" s="2">
        <v>0</v>
      </c>
      <c r="E566" t="s">
        <v>76</v>
      </c>
      <c r="F566" s="2">
        <v>-1440</v>
      </c>
      <c r="G566" s="2"/>
      <c r="H566" s="2"/>
    </row>
    <row r="567" spans="1:8">
      <c r="A567" t="s">
        <v>318</v>
      </c>
      <c r="B567" s="1">
        <v>43132</v>
      </c>
      <c r="C567" s="2">
        <v>1440</v>
      </c>
      <c r="D567" s="2">
        <v>0</v>
      </c>
      <c r="E567" t="s">
        <v>77</v>
      </c>
      <c r="F567" s="2">
        <v>-1440</v>
      </c>
      <c r="G567" s="2"/>
      <c r="H567" s="2"/>
    </row>
    <row r="568" spans="1:8">
      <c r="A568" t="s">
        <v>328</v>
      </c>
      <c r="B568" s="1">
        <v>43132</v>
      </c>
      <c r="C568" s="2">
        <v>1440</v>
      </c>
      <c r="D568" s="2">
        <v>0</v>
      </c>
      <c r="E568" t="s">
        <v>77</v>
      </c>
      <c r="F568" s="2">
        <v>-1440</v>
      </c>
      <c r="G568" s="2"/>
      <c r="H568" s="2"/>
    </row>
    <row r="569" spans="1:8">
      <c r="A569" t="s">
        <v>247</v>
      </c>
      <c r="B569" s="1">
        <v>43132</v>
      </c>
      <c r="C569" s="2">
        <v>1440</v>
      </c>
      <c r="D569" s="2">
        <v>0</v>
      </c>
      <c r="E569" t="s">
        <v>77</v>
      </c>
      <c r="F569" s="2">
        <v>-1440</v>
      </c>
      <c r="G569" s="2"/>
      <c r="H569" s="2"/>
    </row>
    <row r="570" spans="1:8">
      <c r="A570" t="s">
        <v>303</v>
      </c>
      <c r="B570" s="1">
        <v>43132</v>
      </c>
      <c r="C570" s="2">
        <v>5976</v>
      </c>
      <c r="D570" s="2">
        <v>4788</v>
      </c>
      <c r="E570" t="s">
        <v>14</v>
      </c>
      <c r="F570" s="2">
        <v>-1188</v>
      </c>
      <c r="G570" s="2"/>
      <c r="H570" s="2"/>
    </row>
    <row r="571" spans="1:8">
      <c r="A571" t="s">
        <v>367</v>
      </c>
      <c r="B571" s="1">
        <v>43132</v>
      </c>
      <c r="C571" s="2">
        <v>3456</v>
      </c>
      <c r="D571" s="2">
        <v>2880</v>
      </c>
      <c r="E571" t="s">
        <v>14</v>
      </c>
      <c r="F571" s="2">
        <v>-576</v>
      </c>
      <c r="G571" s="2"/>
      <c r="H571" s="2"/>
    </row>
    <row r="572" spans="1:8">
      <c r="A572" t="s">
        <v>290</v>
      </c>
      <c r="B572" s="1">
        <v>43132</v>
      </c>
      <c r="C572" s="2">
        <v>1872</v>
      </c>
      <c r="D572" s="2">
        <v>1440</v>
      </c>
      <c r="E572" t="s">
        <v>14</v>
      </c>
      <c r="F572" s="2">
        <v>-432</v>
      </c>
      <c r="G572" s="2"/>
      <c r="H572" s="2"/>
    </row>
    <row r="573" spans="1:8">
      <c r="A573" t="s">
        <v>213</v>
      </c>
      <c r="B573" s="1">
        <v>43132</v>
      </c>
      <c r="C573" s="2">
        <v>2448</v>
      </c>
      <c r="D573" s="2">
        <v>2160</v>
      </c>
      <c r="E573" t="s">
        <v>14</v>
      </c>
      <c r="F573" s="2">
        <v>-288</v>
      </c>
      <c r="G573" s="2"/>
      <c r="H573" s="2"/>
    </row>
    <row r="574" spans="1:8">
      <c r="A574" t="s">
        <v>269</v>
      </c>
      <c r="B574" s="1">
        <v>43132</v>
      </c>
      <c r="C574" s="2">
        <v>1728</v>
      </c>
      <c r="D574" s="2">
        <v>1440</v>
      </c>
      <c r="E574" t="s">
        <v>14</v>
      </c>
      <c r="F574" s="2">
        <v>-288</v>
      </c>
      <c r="G574" s="2"/>
      <c r="H574" s="2"/>
    </row>
    <row r="575" spans="1:8">
      <c r="A575" t="s">
        <v>214</v>
      </c>
      <c r="B575" s="1">
        <v>43132</v>
      </c>
      <c r="C575" s="2">
        <v>2592</v>
      </c>
      <c r="D575" s="2">
        <v>2448</v>
      </c>
      <c r="E575" t="s">
        <v>14</v>
      </c>
      <c r="F575" s="2">
        <v>-144</v>
      </c>
      <c r="G575" s="2"/>
      <c r="H575" s="2"/>
    </row>
    <row r="576" spans="1:8">
      <c r="A576" t="s">
        <v>358</v>
      </c>
      <c r="B576" s="1">
        <v>43132</v>
      </c>
      <c r="C576" s="2">
        <v>1728</v>
      </c>
      <c r="D576" s="2">
        <v>1584</v>
      </c>
      <c r="E576" t="s">
        <v>14</v>
      </c>
      <c r="F576" s="2">
        <v>-144</v>
      </c>
      <c r="G576" s="2"/>
      <c r="H576" s="2"/>
    </row>
    <row r="577" spans="1:8">
      <c r="A577" t="s">
        <v>204</v>
      </c>
      <c r="B577" s="1">
        <v>43132</v>
      </c>
      <c r="C577" s="2">
        <v>4260</v>
      </c>
      <c r="D577" s="2">
        <v>4128</v>
      </c>
      <c r="E577" t="s">
        <v>14</v>
      </c>
      <c r="F577" s="2">
        <v>-132</v>
      </c>
      <c r="G577" s="2"/>
      <c r="H577" s="2"/>
    </row>
    <row r="578" spans="1:8">
      <c r="A578" t="s">
        <v>365</v>
      </c>
      <c r="B578" s="1">
        <v>43132</v>
      </c>
      <c r="C578" s="2">
        <v>3000</v>
      </c>
      <c r="D578" s="2">
        <v>3000</v>
      </c>
      <c r="E578" t="s">
        <v>73</v>
      </c>
      <c r="F578" s="2">
        <v>0</v>
      </c>
      <c r="G578" s="2"/>
      <c r="H578" s="2"/>
    </row>
    <row r="579" spans="1:8">
      <c r="A579" t="s">
        <v>363</v>
      </c>
      <c r="B579" s="1">
        <v>43132</v>
      </c>
      <c r="C579" s="2">
        <v>3000</v>
      </c>
      <c r="D579" s="2">
        <v>3000</v>
      </c>
      <c r="E579" t="s">
        <v>73</v>
      </c>
      <c r="F579" s="2">
        <v>0</v>
      </c>
      <c r="G579" s="2"/>
      <c r="H579" s="2"/>
    </row>
    <row r="580" spans="1:8">
      <c r="A580" t="s">
        <v>362</v>
      </c>
      <c r="B580" s="1">
        <v>43132</v>
      </c>
      <c r="C580" s="2">
        <v>2592</v>
      </c>
      <c r="D580" s="2">
        <v>2592</v>
      </c>
      <c r="E580" t="s">
        <v>73</v>
      </c>
      <c r="F580" s="2">
        <v>0</v>
      </c>
      <c r="G580" s="2"/>
      <c r="H580" s="2"/>
    </row>
    <row r="581" spans="1:8">
      <c r="A581" t="s">
        <v>361</v>
      </c>
      <c r="B581" s="1">
        <v>43132</v>
      </c>
      <c r="C581" s="2">
        <v>2304</v>
      </c>
      <c r="D581" s="2">
        <v>2304</v>
      </c>
      <c r="E581" t="s">
        <v>73</v>
      </c>
      <c r="F581" s="2">
        <v>0</v>
      </c>
      <c r="G581" s="2"/>
      <c r="H581" s="2"/>
    </row>
    <row r="582" spans="1:8">
      <c r="A582" t="s">
        <v>319</v>
      </c>
      <c r="B582" s="1">
        <v>43132</v>
      </c>
      <c r="C582" s="2">
        <v>1440</v>
      </c>
      <c r="D582" s="2">
        <v>1440</v>
      </c>
      <c r="E582" t="s">
        <v>73</v>
      </c>
      <c r="F582" s="2">
        <v>0</v>
      </c>
      <c r="G582" s="2"/>
      <c r="H582" s="2"/>
    </row>
    <row r="583" spans="1:8">
      <c r="A583" t="s">
        <v>155</v>
      </c>
      <c r="B583" s="1">
        <v>43132</v>
      </c>
      <c r="C583" s="2">
        <v>1440</v>
      </c>
      <c r="D583" s="2">
        <v>1440</v>
      </c>
      <c r="E583" t="s">
        <v>73</v>
      </c>
      <c r="F583" s="2">
        <v>0</v>
      </c>
      <c r="G583" s="2"/>
      <c r="H583" s="2"/>
    </row>
    <row r="584" spans="1:8">
      <c r="A584" t="s">
        <v>156</v>
      </c>
      <c r="B584" s="1">
        <v>43132</v>
      </c>
      <c r="C584" s="2">
        <v>1440</v>
      </c>
      <c r="D584" s="2">
        <v>1440</v>
      </c>
      <c r="E584" t="s">
        <v>73</v>
      </c>
      <c r="F584" s="2">
        <v>0</v>
      </c>
      <c r="G584" s="2"/>
      <c r="H584" s="2"/>
    </row>
    <row r="585" spans="1:8">
      <c r="A585" t="s">
        <v>158</v>
      </c>
      <c r="B585" s="1">
        <v>43132</v>
      </c>
      <c r="C585" s="2">
        <v>1440</v>
      </c>
      <c r="D585" s="2">
        <v>1440</v>
      </c>
      <c r="E585" t="s">
        <v>73</v>
      </c>
      <c r="F585" s="2">
        <v>0</v>
      </c>
      <c r="G585" s="2"/>
      <c r="H585" s="2"/>
    </row>
    <row r="586" spans="1:8">
      <c r="A586" t="s">
        <v>123</v>
      </c>
      <c r="B586" s="1">
        <v>43132</v>
      </c>
      <c r="C586" s="2">
        <v>1440</v>
      </c>
      <c r="D586" s="2">
        <v>1440</v>
      </c>
      <c r="E586" t="s">
        <v>73</v>
      </c>
      <c r="F586" s="2">
        <v>0</v>
      </c>
      <c r="G586" s="2"/>
      <c r="H586" s="2"/>
    </row>
    <row r="587" spans="1:8">
      <c r="A587" t="s">
        <v>159</v>
      </c>
      <c r="B587" s="1">
        <v>43132</v>
      </c>
      <c r="C587" s="2">
        <v>1440</v>
      </c>
      <c r="D587" s="2">
        <v>1440</v>
      </c>
      <c r="E587" t="s">
        <v>73</v>
      </c>
      <c r="F587" s="2">
        <v>0</v>
      </c>
      <c r="G587" s="2"/>
      <c r="H587" s="2"/>
    </row>
    <row r="588" spans="1:8">
      <c r="A588" t="s">
        <v>228</v>
      </c>
      <c r="B588" s="1">
        <v>43132</v>
      </c>
      <c r="C588" s="2">
        <v>1440</v>
      </c>
      <c r="D588" s="2">
        <v>1440</v>
      </c>
      <c r="E588" t="s">
        <v>73</v>
      </c>
      <c r="F588" s="2">
        <v>0</v>
      </c>
      <c r="G588" s="2"/>
      <c r="H588" s="2"/>
    </row>
    <row r="589" spans="1:8">
      <c r="A589" t="s">
        <v>229</v>
      </c>
      <c r="B589" s="1">
        <v>43132</v>
      </c>
      <c r="C589" s="2">
        <v>1440</v>
      </c>
      <c r="D589" s="2">
        <v>1440</v>
      </c>
      <c r="E589" t="s">
        <v>73</v>
      </c>
      <c r="F589" s="2">
        <v>0</v>
      </c>
      <c r="G589" s="2"/>
      <c r="H589" s="2"/>
    </row>
    <row r="590" spans="1:8">
      <c r="A590" t="s">
        <v>320</v>
      </c>
      <c r="B590" s="1">
        <v>43132</v>
      </c>
      <c r="C590" s="2">
        <v>1440</v>
      </c>
      <c r="D590" s="2">
        <v>1440</v>
      </c>
      <c r="E590" t="s">
        <v>73</v>
      </c>
      <c r="F590" s="2">
        <v>0</v>
      </c>
      <c r="G590" s="2"/>
      <c r="H590" s="2"/>
    </row>
    <row r="591" spans="1:8">
      <c r="A591" t="s">
        <v>160</v>
      </c>
      <c r="B591" s="1">
        <v>43132</v>
      </c>
      <c r="C591" s="2">
        <v>1440</v>
      </c>
      <c r="D591" s="2">
        <v>1440</v>
      </c>
      <c r="E591" t="s">
        <v>73</v>
      </c>
      <c r="F591" s="2">
        <v>0</v>
      </c>
      <c r="G591" s="2"/>
      <c r="H591" s="2"/>
    </row>
    <row r="592" spans="1:8">
      <c r="A592" t="s">
        <v>321</v>
      </c>
      <c r="B592" s="1">
        <v>43132</v>
      </c>
      <c r="C592" s="2">
        <v>1440</v>
      </c>
      <c r="D592" s="2">
        <v>1440</v>
      </c>
      <c r="E592" t="s">
        <v>73</v>
      </c>
      <c r="F592" s="2">
        <v>0</v>
      </c>
      <c r="G592" s="2"/>
      <c r="H592" s="2"/>
    </row>
    <row r="593" spans="1:8">
      <c r="A593" t="s">
        <v>230</v>
      </c>
      <c r="B593" s="1">
        <v>43132</v>
      </c>
      <c r="C593" s="2">
        <v>1440</v>
      </c>
      <c r="D593" s="2">
        <v>1440</v>
      </c>
      <c r="E593" t="s">
        <v>73</v>
      </c>
      <c r="F593" s="2">
        <v>0</v>
      </c>
      <c r="G593" s="2"/>
      <c r="H593" s="2"/>
    </row>
    <row r="594" spans="1:8">
      <c r="A594" t="s">
        <v>322</v>
      </c>
      <c r="B594" s="1">
        <v>43132</v>
      </c>
      <c r="C594" s="2">
        <v>1440</v>
      </c>
      <c r="D594" s="2">
        <v>1440</v>
      </c>
      <c r="E594" t="s">
        <v>73</v>
      </c>
      <c r="F594" s="2">
        <v>0</v>
      </c>
      <c r="G594" s="2"/>
      <c r="H594" s="2"/>
    </row>
    <row r="595" spans="1:8">
      <c r="A595" t="s">
        <v>231</v>
      </c>
      <c r="B595" s="1">
        <v>43132</v>
      </c>
      <c r="C595" s="2">
        <v>1440</v>
      </c>
      <c r="D595" s="2">
        <v>1440</v>
      </c>
      <c r="E595" t="s">
        <v>73</v>
      </c>
      <c r="F595" s="2">
        <v>0</v>
      </c>
      <c r="G595" s="2"/>
      <c r="H595" s="2"/>
    </row>
    <row r="596" spans="1:8">
      <c r="A596" t="s">
        <v>323</v>
      </c>
      <c r="B596" s="1">
        <v>43132</v>
      </c>
      <c r="C596" s="2">
        <v>1440</v>
      </c>
      <c r="D596" s="2">
        <v>1440</v>
      </c>
      <c r="E596" t="s">
        <v>73</v>
      </c>
      <c r="F596" s="2">
        <v>0</v>
      </c>
      <c r="G596" s="2"/>
      <c r="H596" s="2"/>
    </row>
    <row r="597" spans="1:8">
      <c r="A597" t="s">
        <v>199</v>
      </c>
      <c r="B597" s="1">
        <v>43132</v>
      </c>
      <c r="C597" s="2">
        <v>1440</v>
      </c>
      <c r="D597" s="2">
        <v>1440</v>
      </c>
      <c r="E597" t="s">
        <v>73</v>
      </c>
      <c r="F597" s="2">
        <v>0</v>
      </c>
      <c r="G597" s="2"/>
      <c r="H597" s="2"/>
    </row>
    <row r="598" spans="1:8">
      <c r="A598" t="s">
        <v>325</v>
      </c>
      <c r="B598" s="1">
        <v>43132</v>
      </c>
      <c r="C598" s="2">
        <v>1440</v>
      </c>
      <c r="D598" s="2">
        <v>1440</v>
      </c>
      <c r="E598" t="s">
        <v>73</v>
      </c>
      <c r="F598" s="2">
        <v>0</v>
      </c>
      <c r="G598" s="2"/>
      <c r="H598" s="2"/>
    </row>
    <row r="599" spans="1:8">
      <c r="A599" t="s">
        <v>326</v>
      </c>
      <c r="B599" s="1">
        <v>43132</v>
      </c>
      <c r="C599" s="2">
        <v>1440</v>
      </c>
      <c r="D599" s="2">
        <v>1440</v>
      </c>
      <c r="E599" t="s">
        <v>73</v>
      </c>
      <c r="F599" s="2">
        <v>0</v>
      </c>
      <c r="G599" s="2"/>
      <c r="H599" s="2"/>
    </row>
    <row r="600" spans="1:8">
      <c r="A600" t="s">
        <v>327</v>
      </c>
      <c r="B600" s="1">
        <v>43132</v>
      </c>
      <c r="C600" s="2">
        <v>1440</v>
      </c>
      <c r="D600" s="2">
        <v>1440</v>
      </c>
      <c r="E600" t="s">
        <v>73</v>
      </c>
      <c r="F600" s="2">
        <v>0</v>
      </c>
      <c r="G600" s="2"/>
      <c r="H600" s="2"/>
    </row>
    <row r="601" spans="1:8">
      <c r="A601" t="s">
        <v>161</v>
      </c>
      <c r="B601" s="1">
        <v>43132</v>
      </c>
      <c r="C601" s="2">
        <v>1440</v>
      </c>
      <c r="D601" s="2">
        <v>1440</v>
      </c>
      <c r="E601" t="s">
        <v>73</v>
      </c>
      <c r="F601" s="2">
        <v>0</v>
      </c>
      <c r="G601" s="2"/>
      <c r="H601" s="2"/>
    </row>
    <row r="602" spans="1:8">
      <c r="A602" t="s">
        <v>232</v>
      </c>
      <c r="B602" s="1">
        <v>43132</v>
      </c>
      <c r="C602" s="2">
        <v>1440</v>
      </c>
      <c r="D602" s="2">
        <v>1440</v>
      </c>
      <c r="E602" t="s">
        <v>73</v>
      </c>
      <c r="F602" s="2">
        <v>0</v>
      </c>
      <c r="G602" s="2"/>
      <c r="H602" s="2"/>
    </row>
    <row r="603" spans="1:8">
      <c r="A603" t="s">
        <v>162</v>
      </c>
      <c r="B603" s="1">
        <v>43132</v>
      </c>
      <c r="C603" s="2">
        <v>1440</v>
      </c>
      <c r="D603" s="2">
        <v>1440</v>
      </c>
      <c r="E603" t="s">
        <v>73</v>
      </c>
      <c r="F603" s="2">
        <v>0</v>
      </c>
      <c r="G603" s="2"/>
      <c r="H603" s="2"/>
    </row>
    <row r="604" spans="1:8">
      <c r="A604" t="s">
        <v>330</v>
      </c>
      <c r="B604" s="1">
        <v>43132</v>
      </c>
      <c r="C604" s="2">
        <v>1440</v>
      </c>
      <c r="D604" s="2">
        <v>1440</v>
      </c>
      <c r="E604" t="s">
        <v>73</v>
      </c>
      <c r="F604" s="2">
        <v>0</v>
      </c>
      <c r="G604" s="2"/>
      <c r="H604" s="2"/>
    </row>
    <row r="605" spans="1:8">
      <c r="A605" t="s">
        <v>163</v>
      </c>
      <c r="B605" s="1">
        <v>43132</v>
      </c>
      <c r="C605" s="2">
        <v>1440</v>
      </c>
      <c r="D605" s="2">
        <v>1440</v>
      </c>
      <c r="E605" t="s">
        <v>73</v>
      </c>
      <c r="F605" s="2">
        <v>0</v>
      </c>
      <c r="G605" s="2"/>
      <c r="H605" s="2"/>
    </row>
    <row r="606" spans="1:8">
      <c r="A606" t="s">
        <v>331</v>
      </c>
      <c r="B606" s="1">
        <v>43132</v>
      </c>
      <c r="C606" s="2">
        <v>1440</v>
      </c>
      <c r="D606" s="2">
        <v>1440</v>
      </c>
      <c r="E606" t="s">
        <v>73</v>
      </c>
      <c r="F606" s="2">
        <v>0</v>
      </c>
      <c r="G606" s="2"/>
      <c r="H606" s="2"/>
    </row>
    <row r="607" spans="1:8">
      <c r="A607" t="s">
        <v>233</v>
      </c>
      <c r="B607" s="1">
        <v>43132</v>
      </c>
      <c r="C607" s="2">
        <v>1440</v>
      </c>
      <c r="D607" s="2">
        <v>1440</v>
      </c>
      <c r="E607" t="s">
        <v>73</v>
      </c>
      <c r="F607" s="2">
        <v>0</v>
      </c>
      <c r="G607" s="2"/>
      <c r="H607" s="2"/>
    </row>
    <row r="608" spans="1:8">
      <c r="A608" t="s">
        <v>235</v>
      </c>
      <c r="B608" s="1">
        <v>43132</v>
      </c>
      <c r="C608" s="2">
        <v>1440</v>
      </c>
      <c r="D608" s="2">
        <v>1440</v>
      </c>
      <c r="E608" t="s">
        <v>73</v>
      </c>
      <c r="F608" s="2">
        <v>0</v>
      </c>
      <c r="G608" s="2"/>
      <c r="H608" s="2"/>
    </row>
    <row r="609" spans="1:8">
      <c r="A609" t="s">
        <v>124</v>
      </c>
      <c r="B609" s="1">
        <v>43132</v>
      </c>
      <c r="C609" s="2">
        <v>1440</v>
      </c>
      <c r="D609" s="2">
        <v>1440</v>
      </c>
      <c r="E609" t="s">
        <v>73</v>
      </c>
      <c r="F609" s="2">
        <v>0</v>
      </c>
      <c r="G609" s="2"/>
      <c r="H609" s="2"/>
    </row>
    <row r="610" spans="1:8">
      <c r="A610" t="s">
        <v>332</v>
      </c>
      <c r="B610" s="1">
        <v>43132</v>
      </c>
      <c r="C610" s="2">
        <v>1440</v>
      </c>
      <c r="D610" s="2">
        <v>1440</v>
      </c>
      <c r="E610" t="s">
        <v>73</v>
      </c>
      <c r="F610" s="2">
        <v>0</v>
      </c>
      <c r="G610" s="2"/>
      <c r="H610" s="2"/>
    </row>
    <row r="611" spans="1:8">
      <c r="A611" t="s">
        <v>165</v>
      </c>
      <c r="B611" s="1">
        <v>43132</v>
      </c>
      <c r="C611" s="2">
        <v>1440</v>
      </c>
      <c r="D611" s="2">
        <v>1440</v>
      </c>
      <c r="E611" t="s">
        <v>73</v>
      </c>
      <c r="F611" s="2">
        <v>0</v>
      </c>
      <c r="G611" s="2"/>
      <c r="H611" s="2"/>
    </row>
    <row r="612" spans="1:8">
      <c r="A612" t="s">
        <v>166</v>
      </c>
      <c r="B612" s="1">
        <v>43132</v>
      </c>
      <c r="C612" s="2">
        <v>1440</v>
      </c>
      <c r="D612" s="2">
        <v>1440</v>
      </c>
      <c r="E612" t="s">
        <v>73</v>
      </c>
      <c r="F612" s="2">
        <v>0</v>
      </c>
      <c r="G612" s="2"/>
      <c r="H612" s="2"/>
    </row>
    <row r="613" spans="1:8">
      <c r="A613" t="s">
        <v>237</v>
      </c>
      <c r="B613" s="1">
        <v>43132</v>
      </c>
      <c r="C613" s="2">
        <v>1440</v>
      </c>
      <c r="D613" s="2">
        <v>1440</v>
      </c>
      <c r="E613" t="s">
        <v>73</v>
      </c>
      <c r="F613" s="2">
        <v>0</v>
      </c>
      <c r="G613" s="2"/>
      <c r="H613" s="2"/>
    </row>
    <row r="614" spans="1:8">
      <c r="A614" t="s">
        <v>333</v>
      </c>
      <c r="B614" s="1">
        <v>43132</v>
      </c>
      <c r="C614" s="2">
        <v>1440</v>
      </c>
      <c r="D614" s="2">
        <v>1440</v>
      </c>
      <c r="E614" t="s">
        <v>73</v>
      </c>
      <c r="F614" s="2">
        <v>0</v>
      </c>
      <c r="G614" s="2"/>
      <c r="H614" s="2"/>
    </row>
    <row r="615" spans="1:8">
      <c r="A615" t="s">
        <v>238</v>
      </c>
      <c r="B615" s="1">
        <v>43132</v>
      </c>
      <c r="C615" s="2">
        <v>1440</v>
      </c>
      <c r="D615" s="2">
        <v>1440</v>
      </c>
      <c r="E615" t="s">
        <v>73</v>
      </c>
      <c r="F615" s="2">
        <v>0</v>
      </c>
      <c r="G615" s="2"/>
      <c r="H615" s="2"/>
    </row>
    <row r="616" spans="1:8">
      <c r="A616" t="s">
        <v>239</v>
      </c>
      <c r="B616" s="1">
        <v>43132</v>
      </c>
      <c r="C616" s="2">
        <v>1440</v>
      </c>
      <c r="D616" s="2">
        <v>1440</v>
      </c>
      <c r="E616" t="s">
        <v>73</v>
      </c>
      <c r="F616" s="2">
        <v>0</v>
      </c>
      <c r="G616" s="2"/>
      <c r="H616" s="2"/>
    </row>
    <row r="617" spans="1:8">
      <c r="A617" t="s">
        <v>167</v>
      </c>
      <c r="B617" s="1">
        <v>43132</v>
      </c>
      <c r="C617" s="2">
        <v>1440</v>
      </c>
      <c r="D617" s="2">
        <v>1440</v>
      </c>
      <c r="E617" t="s">
        <v>73</v>
      </c>
      <c r="F617" s="2">
        <v>0</v>
      </c>
      <c r="G617" s="2"/>
      <c r="H617" s="2"/>
    </row>
    <row r="618" spans="1:8">
      <c r="A618" t="s">
        <v>334</v>
      </c>
      <c r="B618" s="1">
        <v>43132</v>
      </c>
      <c r="C618" s="2">
        <v>1440</v>
      </c>
      <c r="D618" s="2">
        <v>1440</v>
      </c>
      <c r="E618" t="s">
        <v>73</v>
      </c>
      <c r="F618" s="2">
        <v>0</v>
      </c>
      <c r="G618" s="2"/>
      <c r="H618" s="2"/>
    </row>
    <row r="619" spans="1:8">
      <c r="A619" t="s">
        <v>168</v>
      </c>
      <c r="B619" s="1">
        <v>43132</v>
      </c>
      <c r="C619" s="2">
        <v>1440</v>
      </c>
      <c r="D619" s="2">
        <v>1440</v>
      </c>
      <c r="E619" t="s">
        <v>73</v>
      </c>
      <c r="F619" s="2">
        <v>0</v>
      </c>
      <c r="G619" s="2"/>
      <c r="H619" s="2"/>
    </row>
    <row r="620" spans="1:8">
      <c r="A620" t="s">
        <v>127</v>
      </c>
      <c r="B620" s="1">
        <v>43132</v>
      </c>
      <c r="C620" s="2">
        <v>1440</v>
      </c>
      <c r="D620" s="2">
        <v>1440</v>
      </c>
      <c r="E620" t="s">
        <v>73</v>
      </c>
      <c r="F620" s="2">
        <v>0</v>
      </c>
      <c r="G620" s="2"/>
      <c r="H620" s="2"/>
    </row>
    <row r="621" spans="1:8">
      <c r="A621" t="s">
        <v>170</v>
      </c>
      <c r="B621" s="1">
        <v>43132</v>
      </c>
      <c r="C621" s="2">
        <v>1440</v>
      </c>
      <c r="D621" s="2">
        <v>1440</v>
      </c>
      <c r="E621" t="s">
        <v>73</v>
      </c>
      <c r="F621" s="2">
        <v>0</v>
      </c>
      <c r="G621" s="2"/>
      <c r="H621" s="2"/>
    </row>
    <row r="622" spans="1:8">
      <c r="A622" t="s">
        <v>129</v>
      </c>
      <c r="B622" s="1">
        <v>43132</v>
      </c>
      <c r="C622" s="2">
        <v>1440</v>
      </c>
      <c r="D622" s="2">
        <v>1440</v>
      </c>
      <c r="E622" t="s">
        <v>73</v>
      </c>
      <c r="F622" s="2">
        <v>0</v>
      </c>
      <c r="G622" s="2"/>
      <c r="H622" s="2"/>
    </row>
    <row r="623" spans="1:8">
      <c r="A623" t="s">
        <v>240</v>
      </c>
      <c r="B623" s="1">
        <v>43132</v>
      </c>
      <c r="C623" s="2">
        <v>1440</v>
      </c>
      <c r="D623" s="2">
        <v>1440</v>
      </c>
      <c r="E623" t="s">
        <v>73</v>
      </c>
      <c r="F623" s="2">
        <v>0</v>
      </c>
      <c r="G623" s="2"/>
      <c r="H623" s="2"/>
    </row>
    <row r="624" spans="1:8">
      <c r="A624" t="s">
        <v>335</v>
      </c>
      <c r="B624" s="1">
        <v>43132</v>
      </c>
      <c r="C624" s="2">
        <v>1440</v>
      </c>
      <c r="D624" s="2">
        <v>1440</v>
      </c>
      <c r="E624" t="s">
        <v>73</v>
      </c>
      <c r="F624" s="2">
        <v>0</v>
      </c>
      <c r="G624" s="2"/>
      <c r="H624" s="2"/>
    </row>
    <row r="625" spans="1:8">
      <c r="A625" t="s">
        <v>171</v>
      </c>
      <c r="B625" s="1">
        <v>43132</v>
      </c>
      <c r="C625" s="2">
        <v>1440</v>
      </c>
      <c r="D625" s="2">
        <v>1440</v>
      </c>
      <c r="E625" t="s">
        <v>73</v>
      </c>
      <c r="F625" s="2">
        <v>0</v>
      </c>
      <c r="G625" s="2"/>
      <c r="H625" s="2"/>
    </row>
    <row r="626" spans="1:8">
      <c r="A626" t="s">
        <v>336</v>
      </c>
      <c r="B626" s="1">
        <v>43132</v>
      </c>
      <c r="C626" s="2">
        <v>1440</v>
      </c>
      <c r="D626" s="2">
        <v>1440</v>
      </c>
      <c r="E626" t="s">
        <v>73</v>
      </c>
      <c r="F626" s="2">
        <v>0</v>
      </c>
      <c r="G626" s="2"/>
      <c r="H626" s="2"/>
    </row>
    <row r="627" spans="1:8">
      <c r="A627" t="s">
        <v>223</v>
      </c>
      <c r="B627" s="1">
        <v>43132</v>
      </c>
      <c r="C627" s="2">
        <v>1440</v>
      </c>
      <c r="D627" s="2">
        <v>1440</v>
      </c>
      <c r="E627" t="s">
        <v>73</v>
      </c>
      <c r="F627" s="2">
        <v>0</v>
      </c>
      <c r="G627" s="2"/>
      <c r="H627" s="2"/>
    </row>
    <row r="628" spans="1:8">
      <c r="A628" t="s">
        <v>337</v>
      </c>
      <c r="B628" s="1">
        <v>43132</v>
      </c>
      <c r="C628" s="2">
        <v>1440</v>
      </c>
      <c r="D628" s="2">
        <v>1440</v>
      </c>
      <c r="E628" t="s">
        <v>73</v>
      </c>
      <c r="F628" s="2">
        <v>0</v>
      </c>
      <c r="G628" s="2"/>
      <c r="H628" s="2"/>
    </row>
    <row r="629" spans="1:8">
      <c r="A629" t="s">
        <v>172</v>
      </c>
      <c r="B629" s="1">
        <v>43132</v>
      </c>
      <c r="C629" s="2">
        <v>1440</v>
      </c>
      <c r="D629" s="2">
        <v>1440</v>
      </c>
      <c r="E629" t="s">
        <v>73</v>
      </c>
      <c r="F629" s="2">
        <v>0</v>
      </c>
      <c r="G629" s="2"/>
      <c r="H629" s="2"/>
    </row>
    <row r="630" spans="1:8">
      <c r="A630" t="s">
        <v>173</v>
      </c>
      <c r="B630" s="1">
        <v>43132</v>
      </c>
      <c r="C630" s="2">
        <v>1440</v>
      </c>
      <c r="D630" s="2">
        <v>1440</v>
      </c>
      <c r="E630" t="s">
        <v>73</v>
      </c>
      <c r="F630" s="2">
        <v>0</v>
      </c>
      <c r="G630" s="2"/>
      <c r="H630" s="2"/>
    </row>
    <row r="631" spans="1:8">
      <c r="A631" t="s">
        <v>242</v>
      </c>
      <c r="B631" s="1">
        <v>43132</v>
      </c>
      <c r="C631" s="2">
        <v>1440</v>
      </c>
      <c r="D631" s="2">
        <v>1440</v>
      </c>
      <c r="E631" t="s">
        <v>73</v>
      </c>
      <c r="F631" s="2">
        <v>0</v>
      </c>
      <c r="G631" s="2"/>
      <c r="H631" s="2"/>
    </row>
    <row r="632" spans="1:8">
      <c r="A632" t="s">
        <v>243</v>
      </c>
      <c r="B632" s="1">
        <v>43132</v>
      </c>
      <c r="C632" s="2">
        <v>1440</v>
      </c>
      <c r="D632" s="2">
        <v>1440</v>
      </c>
      <c r="E632" t="s">
        <v>73</v>
      </c>
      <c r="F632" s="2">
        <v>0</v>
      </c>
      <c r="G632" s="2"/>
      <c r="H632" s="2"/>
    </row>
    <row r="633" spans="1:8">
      <c r="A633" t="s">
        <v>174</v>
      </c>
      <c r="B633" s="1">
        <v>43132</v>
      </c>
      <c r="C633" s="2">
        <v>1440</v>
      </c>
      <c r="D633" s="2">
        <v>1440</v>
      </c>
      <c r="E633" t="s">
        <v>73</v>
      </c>
      <c r="F633" s="2">
        <v>0</v>
      </c>
      <c r="G633" s="2"/>
      <c r="H633" s="2"/>
    </row>
    <row r="634" spans="1:8">
      <c r="A634" t="s">
        <v>175</v>
      </c>
      <c r="B634" s="1">
        <v>43132</v>
      </c>
      <c r="C634" s="2">
        <v>1440</v>
      </c>
      <c r="D634" s="2">
        <v>1440</v>
      </c>
      <c r="E634" t="s">
        <v>73</v>
      </c>
      <c r="F634" s="2">
        <v>0</v>
      </c>
      <c r="G634" s="2"/>
      <c r="H634" s="2"/>
    </row>
    <row r="635" spans="1:8">
      <c r="A635" t="s">
        <v>176</v>
      </c>
      <c r="B635" s="1">
        <v>43132</v>
      </c>
      <c r="C635" s="2">
        <v>1440</v>
      </c>
      <c r="D635" s="2">
        <v>1440</v>
      </c>
      <c r="E635" t="s">
        <v>73</v>
      </c>
      <c r="F635" s="2">
        <v>0</v>
      </c>
      <c r="G635" s="2"/>
      <c r="H635" s="2"/>
    </row>
    <row r="636" spans="1:8">
      <c r="A636" t="s">
        <v>244</v>
      </c>
      <c r="B636" s="1">
        <v>43132</v>
      </c>
      <c r="C636" s="2">
        <v>1440</v>
      </c>
      <c r="D636" s="2">
        <v>1440</v>
      </c>
      <c r="E636" t="s">
        <v>73</v>
      </c>
      <c r="F636" s="2">
        <v>0</v>
      </c>
      <c r="G636" s="2"/>
      <c r="H636" s="2"/>
    </row>
    <row r="637" spans="1:8">
      <c r="A637" t="s">
        <v>245</v>
      </c>
      <c r="B637" s="1">
        <v>43132</v>
      </c>
      <c r="C637" s="2">
        <v>1440</v>
      </c>
      <c r="D637" s="2">
        <v>1440</v>
      </c>
      <c r="E637" t="s">
        <v>73</v>
      </c>
      <c r="F637" s="2">
        <v>0</v>
      </c>
      <c r="G637" s="2"/>
      <c r="H637" s="2"/>
    </row>
    <row r="638" spans="1:8">
      <c r="A638" t="s">
        <v>132</v>
      </c>
      <c r="B638" s="1">
        <v>43132</v>
      </c>
      <c r="C638" s="2">
        <v>1440</v>
      </c>
      <c r="D638" s="2">
        <v>1440</v>
      </c>
      <c r="E638" t="s">
        <v>73</v>
      </c>
      <c r="F638" s="2">
        <v>0</v>
      </c>
      <c r="G638" s="2"/>
      <c r="H638" s="2"/>
    </row>
    <row r="639" spans="1:8">
      <c r="A639" t="s">
        <v>338</v>
      </c>
      <c r="B639" s="1">
        <v>43132</v>
      </c>
      <c r="C639" s="2">
        <v>1440</v>
      </c>
      <c r="D639" s="2">
        <v>1440</v>
      </c>
      <c r="E639" t="s">
        <v>73</v>
      </c>
      <c r="F639" s="2">
        <v>0</v>
      </c>
      <c r="G639" s="2"/>
      <c r="H639" s="2"/>
    </row>
    <row r="640" spans="1:8">
      <c r="A640" t="s">
        <v>246</v>
      </c>
      <c r="B640" s="1">
        <v>43132</v>
      </c>
      <c r="C640" s="2">
        <v>1440</v>
      </c>
      <c r="D640" s="2">
        <v>1440</v>
      </c>
      <c r="E640" t="s">
        <v>73</v>
      </c>
      <c r="F640" s="2">
        <v>0</v>
      </c>
      <c r="G640" s="2"/>
      <c r="H640" s="2"/>
    </row>
    <row r="641" spans="1:8">
      <c r="A641" t="s">
        <v>339</v>
      </c>
      <c r="B641" s="1">
        <v>43132</v>
      </c>
      <c r="C641" s="2">
        <v>1440</v>
      </c>
      <c r="D641" s="2">
        <v>1440</v>
      </c>
      <c r="E641" t="s">
        <v>73</v>
      </c>
      <c r="F641" s="2">
        <v>0</v>
      </c>
      <c r="G641" s="2"/>
      <c r="H641" s="2"/>
    </row>
    <row r="642" spans="1:8">
      <c r="A642" t="s">
        <v>289</v>
      </c>
      <c r="B642" s="1">
        <v>43132</v>
      </c>
      <c r="C642" s="2">
        <v>1440</v>
      </c>
      <c r="D642" s="2">
        <v>1440</v>
      </c>
      <c r="E642" t="s">
        <v>73</v>
      </c>
      <c r="F642" s="2">
        <v>0</v>
      </c>
      <c r="G642" s="2"/>
      <c r="H642" s="2"/>
    </row>
    <row r="643" spans="1:8">
      <c r="A643" t="s">
        <v>178</v>
      </c>
      <c r="B643" s="1">
        <v>43132</v>
      </c>
      <c r="C643" s="2">
        <v>1440</v>
      </c>
      <c r="D643" s="2">
        <v>1440</v>
      </c>
      <c r="E643" t="s">
        <v>73</v>
      </c>
      <c r="F643" s="2">
        <v>0</v>
      </c>
      <c r="G643" s="2"/>
      <c r="H643" s="2"/>
    </row>
    <row r="644" spans="1:8">
      <c r="A644" t="s">
        <v>249</v>
      </c>
      <c r="B644" s="1">
        <v>43132</v>
      </c>
      <c r="C644" s="2">
        <v>1440</v>
      </c>
      <c r="D644" s="2">
        <v>1440</v>
      </c>
      <c r="E644" t="s">
        <v>73</v>
      </c>
      <c r="F644" s="2">
        <v>0</v>
      </c>
      <c r="G644" s="2"/>
      <c r="H644" s="2"/>
    </row>
    <row r="645" spans="1:8">
      <c r="A645" t="s">
        <v>250</v>
      </c>
      <c r="B645" s="1">
        <v>43132</v>
      </c>
      <c r="C645" s="2">
        <v>1440</v>
      </c>
      <c r="D645" s="2">
        <v>1440</v>
      </c>
      <c r="E645" t="s">
        <v>73</v>
      </c>
      <c r="F645" s="2">
        <v>0</v>
      </c>
      <c r="G645" s="2"/>
      <c r="H645" s="2"/>
    </row>
    <row r="646" spans="1:8">
      <c r="A646" t="s">
        <v>251</v>
      </c>
      <c r="B646" s="1">
        <v>43132</v>
      </c>
      <c r="C646" s="2">
        <v>1440</v>
      </c>
      <c r="D646" s="2">
        <v>1440</v>
      </c>
      <c r="E646" t="s">
        <v>73</v>
      </c>
      <c r="F646" s="2">
        <v>0</v>
      </c>
      <c r="G646" s="2"/>
      <c r="H646" s="2"/>
    </row>
    <row r="647" spans="1:8">
      <c r="A647" t="s">
        <v>252</v>
      </c>
      <c r="B647" s="1">
        <v>43132</v>
      </c>
      <c r="C647" s="2">
        <v>1440</v>
      </c>
      <c r="D647" s="2">
        <v>1440</v>
      </c>
      <c r="E647" t="s">
        <v>73</v>
      </c>
      <c r="F647" s="2">
        <v>0</v>
      </c>
      <c r="G647" s="2"/>
      <c r="H647" s="2"/>
    </row>
    <row r="648" spans="1:8">
      <c r="A648" t="s">
        <v>340</v>
      </c>
      <c r="B648" s="1">
        <v>43132</v>
      </c>
      <c r="C648" s="2">
        <v>1440</v>
      </c>
      <c r="D648" s="2">
        <v>1440</v>
      </c>
      <c r="E648" t="s">
        <v>73</v>
      </c>
      <c r="F648" s="2">
        <v>0</v>
      </c>
      <c r="G648" s="2"/>
      <c r="H648" s="2"/>
    </row>
    <row r="649" spans="1:8">
      <c r="A649" t="s">
        <v>341</v>
      </c>
      <c r="B649" s="1">
        <v>43132</v>
      </c>
      <c r="C649" s="2">
        <v>1440</v>
      </c>
      <c r="D649" s="2">
        <v>1440</v>
      </c>
      <c r="E649" t="s">
        <v>73</v>
      </c>
      <c r="F649" s="2">
        <v>0</v>
      </c>
      <c r="G649" s="2"/>
      <c r="H649" s="2"/>
    </row>
    <row r="650" spans="1:8">
      <c r="A650" t="s">
        <v>253</v>
      </c>
      <c r="B650" s="1">
        <v>43132</v>
      </c>
      <c r="C650" s="2">
        <v>1440</v>
      </c>
      <c r="D650" s="2">
        <v>1440</v>
      </c>
      <c r="E650" t="s">
        <v>73</v>
      </c>
      <c r="F650" s="2">
        <v>0</v>
      </c>
      <c r="G650" s="2"/>
      <c r="H650" s="2"/>
    </row>
    <row r="651" spans="1:8">
      <c r="A651" t="s">
        <v>254</v>
      </c>
      <c r="B651" s="1">
        <v>43132</v>
      </c>
      <c r="C651" s="2">
        <v>1440</v>
      </c>
      <c r="D651" s="2">
        <v>1440</v>
      </c>
      <c r="E651" t="s">
        <v>73</v>
      </c>
      <c r="F651" s="2">
        <v>0</v>
      </c>
      <c r="G651" s="2"/>
      <c r="H651" s="2"/>
    </row>
    <row r="652" spans="1:8">
      <c r="A652" t="s">
        <v>342</v>
      </c>
      <c r="B652" s="1">
        <v>43132</v>
      </c>
      <c r="C652" s="2">
        <v>1440</v>
      </c>
      <c r="D652" s="2">
        <v>1440</v>
      </c>
      <c r="E652" t="s">
        <v>73</v>
      </c>
      <c r="F652" s="2">
        <v>0</v>
      </c>
      <c r="G652" s="2"/>
      <c r="H652" s="2"/>
    </row>
    <row r="653" spans="1:8">
      <c r="A653" t="s">
        <v>179</v>
      </c>
      <c r="B653" s="1">
        <v>43132</v>
      </c>
      <c r="C653" s="2">
        <v>1440</v>
      </c>
      <c r="D653" s="2">
        <v>1440</v>
      </c>
      <c r="E653" t="s">
        <v>73</v>
      </c>
      <c r="F653" s="2">
        <v>0</v>
      </c>
      <c r="G653" s="2"/>
      <c r="H653" s="2"/>
    </row>
    <row r="654" spans="1:8">
      <c r="A654" t="s">
        <v>343</v>
      </c>
      <c r="B654" s="1">
        <v>43132</v>
      </c>
      <c r="C654" s="2">
        <v>1440</v>
      </c>
      <c r="D654" s="2">
        <v>1440</v>
      </c>
      <c r="E654" t="s">
        <v>73</v>
      </c>
      <c r="F654" s="2">
        <v>0</v>
      </c>
      <c r="G654" s="2"/>
      <c r="H654" s="2"/>
    </row>
    <row r="655" spans="1:8">
      <c r="A655" t="s">
        <v>180</v>
      </c>
      <c r="B655" s="1">
        <v>43132</v>
      </c>
      <c r="C655" s="2">
        <v>1440</v>
      </c>
      <c r="D655" s="2">
        <v>1440</v>
      </c>
      <c r="E655" t="s">
        <v>73</v>
      </c>
      <c r="F655" s="2">
        <v>0</v>
      </c>
      <c r="G655" s="2"/>
      <c r="H655" s="2"/>
    </row>
    <row r="656" spans="1:8">
      <c r="A656" t="s">
        <v>344</v>
      </c>
      <c r="B656" s="1">
        <v>43132</v>
      </c>
      <c r="C656" s="2">
        <v>1440</v>
      </c>
      <c r="D656" s="2">
        <v>1440</v>
      </c>
      <c r="E656" t="s">
        <v>73</v>
      </c>
      <c r="F656" s="2">
        <v>0</v>
      </c>
      <c r="G656" s="2"/>
      <c r="H656" s="2"/>
    </row>
    <row r="657" spans="1:8">
      <c r="A657" t="s">
        <v>255</v>
      </c>
      <c r="B657" s="1">
        <v>43132</v>
      </c>
      <c r="C657" s="2">
        <v>1440</v>
      </c>
      <c r="D657" s="2">
        <v>1440</v>
      </c>
      <c r="E657" t="s">
        <v>73</v>
      </c>
      <c r="F657" s="2">
        <v>0</v>
      </c>
      <c r="G657" s="2"/>
      <c r="H657" s="2"/>
    </row>
    <row r="658" spans="1:8">
      <c r="A658" t="s">
        <v>345</v>
      </c>
      <c r="B658" s="1">
        <v>43132</v>
      </c>
      <c r="C658" s="2">
        <v>1440</v>
      </c>
      <c r="D658" s="2">
        <v>1440</v>
      </c>
      <c r="E658" t="s">
        <v>73</v>
      </c>
      <c r="F658" s="2">
        <v>0</v>
      </c>
      <c r="G658" s="2"/>
      <c r="H658" s="2"/>
    </row>
    <row r="659" spans="1:8">
      <c r="A659" t="s">
        <v>256</v>
      </c>
      <c r="B659" s="1">
        <v>43132</v>
      </c>
      <c r="C659" s="2">
        <v>1440</v>
      </c>
      <c r="D659" s="2">
        <v>1440</v>
      </c>
      <c r="E659" t="s">
        <v>73</v>
      </c>
      <c r="F659" s="2">
        <v>0</v>
      </c>
      <c r="G659" s="2"/>
      <c r="H659" s="2"/>
    </row>
    <row r="660" spans="1:8">
      <c r="A660" t="s">
        <v>257</v>
      </c>
      <c r="B660" s="1">
        <v>43132</v>
      </c>
      <c r="C660" s="2">
        <v>1440</v>
      </c>
      <c r="D660" s="2">
        <v>1440</v>
      </c>
      <c r="E660" t="s">
        <v>73</v>
      </c>
      <c r="F660" s="2">
        <v>0</v>
      </c>
      <c r="G660" s="2"/>
      <c r="H660" s="2"/>
    </row>
    <row r="661" spans="1:8">
      <c r="A661" t="s">
        <v>258</v>
      </c>
      <c r="B661" s="1">
        <v>43132</v>
      </c>
      <c r="C661" s="2">
        <v>1440</v>
      </c>
      <c r="D661" s="2">
        <v>1440</v>
      </c>
      <c r="E661" t="s">
        <v>73</v>
      </c>
      <c r="F661" s="2">
        <v>0</v>
      </c>
      <c r="G661" s="2"/>
      <c r="H661" s="2"/>
    </row>
    <row r="662" spans="1:8">
      <c r="A662" t="s">
        <v>259</v>
      </c>
      <c r="B662" s="1">
        <v>43132</v>
      </c>
      <c r="C662" s="2">
        <v>1440</v>
      </c>
      <c r="D662" s="2">
        <v>1440</v>
      </c>
      <c r="E662" t="s">
        <v>73</v>
      </c>
      <c r="F662" s="2">
        <v>0</v>
      </c>
      <c r="G662" s="2"/>
      <c r="H662" s="2"/>
    </row>
    <row r="663" spans="1:8">
      <c r="A663" t="s">
        <v>260</v>
      </c>
      <c r="B663" s="1">
        <v>43132</v>
      </c>
      <c r="C663" s="2">
        <v>1440</v>
      </c>
      <c r="D663" s="2">
        <v>1440</v>
      </c>
      <c r="E663" t="s">
        <v>73</v>
      </c>
      <c r="F663" s="2">
        <v>0</v>
      </c>
      <c r="G663" s="2"/>
      <c r="H663" s="2"/>
    </row>
    <row r="664" spans="1:8">
      <c r="A664" t="s">
        <v>183</v>
      </c>
      <c r="B664" s="1">
        <v>43132</v>
      </c>
      <c r="C664" s="2">
        <v>1440</v>
      </c>
      <c r="D664" s="2">
        <v>1440</v>
      </c>
      <c r="E664" t="s">
        <v>73</v>
      </c>
      <c r="F664" s="2">
        <v>0</v>
      </c>
      <c r="G664" s="2"/>
      <c r="H664" s="2"/>
    </row>
    <row r="665" spans="1:8">
      <c r="A665" t="s">
        <v>261</v>
      </c>
      <c r="B665" s="1">
        <v>43132</v>
      </c>
      <c r="C665" s="2">
        <v>1440</v>
      </c>
      <c r="D665" s="2">
        <v>1440</v>
      </c>
      <c r="E665" t="s">
        <v>73</v>
      </c>
      <c r="F665" s="2">
        <v>0</v>
      </c>
      <c r="G665" s="2"/>
      <c r="H665" s="2"/>
    </row>
    <row r="666" spans="1:8">
      <c r="A666" t="s">
        <v>262</v>
      </c>
      <c r="B666" s="1">
        <v>43132</v>
      </c>
      <c r="C666" s="2">
        <v>1440</v>
      </c>
      <c r="D666" s="2">
        <v>1440</v>
      </c>
      <c r="E666" t="s">
        <v>73</v>
      </c>
      <c r="F666" s="2">
        <v>0</v>
      </c>
      <c r="G666" s="2"/>
      <c r="H666" s="2"/>
    </row>
    <row r="667" spans="1:8">
      <c r="A667" t="s">
        <v>184</v>
      </c>
      <c r="B667" s="1">
        <v>43132</v>
      </c>
      <c r="C667" s="2">
        <v>1440</v>
      </c>
      <c r="D667" s="2">
        <v>1440</v>
      </c>
      <c r="E667" t="s">
        <v>73</v>
      </c>
      <c r="F667" s="2">
        <v>0</v>
      </c>
      <c r="G667" s="2"/>
      <c r="H667" s="2"/>
    </row>
    <row r="668" spans="1:8">
      <c r="A668" t="s">
        <v>263</v>
      </c>
      <c r="B668" s="1">
        <v>43132</v>
      </c>
      <c r="C668" s="2">
        <v>1440</v>
      </c>
      <c r="D668" s="2">
        <v>1440</v>
      </c>
      <c r="E668" t="s">
        <v>73</v>
      </c>
      <c r="F668" s="2">
        <v>0</v>
      </c>
      <c r="G668" s="2"/>
      <c r="H668" s="2"/>
    </row>
    <row r="669" spans="1:8">
      <c r="A669" t="s">
        <v>264</v>
      </c>
      <c r="B669" s="1">
        <v>43132</v>
      </c>
      <c r="C669" s="2">
        <v>1440</v>
      </c>
      <c r="D669" s="2">
        <v>1440</v>
      </c>
      <c r="E669" t="s">
        <v>73</v>
      </c>
      <c r="F669" s="2">
        <v>0</v>
      </c>
      <c r="G669" s="2"/>
      <c r="H669" s="2"/>
    </row>
    <row r="670" spans="1:8">
      <c r="A670" t="s">
        <v>265</v>
      </c>
      <c r="B670" s="1">
        <v>43132</v>
      </c>
      <c r="C670" s="2">
        <v>1440</v>
      </c>
      <c r="D670" s="2">
        <v>1440</v>
      </c>
      <c r="E670" t="s">
        <v>73</v>
      </c>
      <c r="F670" s="2">
        <v>0</v>
      </c>
      <c r="G670" s="2"/>
      <c r="H670" s="2"/>
    </row>
    <row r="671" spans="1:8">
      <c r="A671" t="s">
        <v>266</v>
      </c>
      <c r="B671" s="1">
        <v>43132</v>
      </c>
      <c r="C671" s="2">
        <v>1440</v>
      </c>
      <c r="D671" s="2">
        <v>1440</v>
      </c>
      <c r="E671" t="s">
        <v>73</v>
      </c>
      <c r="F671" s="2">
        <v>0</v>
      </c>
      <c r="G671" s="2"/>
      <c r="H671" s="2"/>
    </row>
    <row r="672" spans="1:8">
      <c r="A672" t="s">
        <v>186</v>
      </c>
      <c r="B672" s="1">
        <v>43132</v>
      </c>
      <c r="C672" s="2">
        <v>1440</v>
      </c>
      <c r="D672" s="2">
        <v>1440</v>
      </c>
      <c r="E672" t="s">
        <v>73</v>
      </c>
      <c r="F672" s="2">
        <v>0</v>
      </c>
      <c r="G672" s="2"/>
      <c r="H672" s="2"/>
    </row>
    <row r="673" spans="1:8">
      <c r="A673" t="s">
        <v>134</v>
      </c>
      <c r="B673" s="1">
        <v>43132</v>
      </c>
      <c r="C673" s="2">
        <v>1440</v>
      </c>
      <c r="D673" s="2">
        <v>1440</v>
      </c>
      <c r="E673" t="s">
        <v>73</v>
      </c>
      <c r="F673" s="2">
        <v>0</v>
      </c>
      <c r="G673" s="2"/>
      <c r="H673" s="2"/>
    </row>
    <row r="674" spans="1:8">
      <c r="A674" t="s">
        <v>313</v>
      </c>
      <c r="B674" s="1">
        <v>43132</v>
      </c>
      <c r="C674" s="2">
        <v>1440</v>
      </c>
      <c r="D674" s="2">
        <v>1440</v>
      </c>
      <c r="E674" t="s">
        <v>73</v>
      </c>
      <c r="F674" s="2">
        <v>0</v>
      </c>
      <c r="G674" s="2"/>
      <c r="H674" s="2"/>
    </row>
    <row r="675" spans="1:8">
      <c r="A675" t="s">
        <v>187</v>
      </c>
      <c r="B675" s="1">
        <v>43132</v>
      </c>
      <c r="C675" s="2">
        <v>1440</v>
      </c>
      <c r="D675" s="2">
        <v>1440</v>
      </c>
      <c r="E675" t="s">
        <v>73</v>
      </c>
      <c r="F675" s="2">
        <v>0</v>
      </c>
      <c r="G675" s="2"/>
      <c r="H675" s="2"/>
    </row>
    <row r="676" spans="1:8">
      <c r="A676" t="s">
        <v>267</v>
      </c>
      <c r="B676" s="1">
        <v>43132</v>
      </c>
      <c r="C676" s="2">
        <v>1440</v>
      </c>
      <c r="D676" s="2">
        <v>1440</v>
      </c>
      <c r="E676" t="s">
        <v>73</v>
      </c>
      <c r="F676" s="2">
        <v>0</v>
      </c>
      <c r="G676" s="2"/>
      <c r="H676" s="2"/>
    </row>
    <row r="677" spans="1:8">
      <c r="A677" t="s">
        <v>188</v>
      </c>
      <c r="B677" s="1">
        <v>43132</v>
      </c>
      <c r="C677" s="2">
        <v>1440</v>
      </c>
      <c r="D677" s="2">
        <v>1440</v>
      </c>
      <c r="E677" t="s">
        <v>73</v>
      </c>
      <c r="F677" s="2">
        <v>0</v>
      </c>
      <c r="G677" s="2"/>
      <c r="H677" s="2"/>
    </row>
    <row r="678" spans="1:8">
      <c r="A678" t="s">
        <v>135</v>
      </c>
      <c r="B678" s="1">
        <v>43132</v>
      </c>
      <c r="C678" s="2">
        <v>1440</v>
      </c>
      <c r="D678" s="2">
        <v>1440</v>
      </c>
      <c r="E678" t="s">
        <v>73</v>
      </c>
      <c r="F678" s="2">
        <v>0</v>
      </c>
      <c r="G678" s="2"/>
      <c r="H678" s="2"/>
    </row>
    <row r="679" spans="1:8">
      <c r="A679" t="s">
        <v>268</v>
      </c>
      <c r="B679" s="1">
        <v>43132</v>
      </c>
      <c r="C679" s="2">
        <v>1440</v>
      </c>
      <c r="D679" s="2">
        <v>1440</v>
      </c>
      <c r="E679" t="s">
        <v>73</v>
      </c>
      <c r="F679" s="2">
        <v>0</v>
      </c>
      <c r="G679" s="2"/>
      <c r="H679" s="2"/>
    </row>
    <row r="680" spans="1:8">
      <c r="A680" t="s">
        <v>348</v>
      </c>
      <c r="B680" s="1">
        <v>43132</v>
      </c>
      <c r="C680" s="2">
        <v>1440</v>
      </c>
      <c r="D680" s="2">
        <v>1440</v>
      </c>
      <c r="E680" t="s">
        <v>73</v>
      </c>
      <c r="F680" s="2">
        <v>0</v>
      </c>
      <c r="G680" s="2"/>
      <c r="H680" s="2"/>
    </row>
    <row r="681" spans="1:8">
      <c r="A681" t="s">
        <v>136</v>
      </c>
      <c r="B681" s="1">
        <v>43132</v>
      </c>
      <c r="C681" s="2">
        <v>1440</v>
      </c>
      <c r="D681" s="2">
        <v>1440</v>
      </c>
      <c r="E681" t="s">
        <v>73</v>
      </c>
      <c r="F681" s="2">
        <v>0</v>
      </c>
      <c r="G681" s="2"/>
      <c r="H681" s="2"/>
    </row>
    <row r="682" spans="1:8">
      <c r="A682" t="s">
        <v>140</v>
      </c>
      <c r="B682" s="1">
        <v>43132</v>
      </c>
      <c r="C682" s="2">
        <v>1440</v>
      </c>
      <c r="D682" s="2">
        <v>1440</v>
      </c>
      <c r="E682" t="s">
        <v>73</v>
      </c>
      <c r="F682" s="2">
        <v>0</v>
      </c>
      <c r="G682" s="2"/>
      <c r="H682" s="2"/>
    </row>
    <row r="683" spans="1:8">
      <c r="A683" t="s">
        <v>189</v>
      </c>
      <c r="B683" s="1">
        <v>43132</v>
      </c>
      <c r="C683" s="2">
        <v>1440</v>
      </c>
      <c r="D683" s="2">
        <v>1440</v>
      </c>
      <c r="E683" t="s">
        <v>73</v>
      </c>
      <c r="F683" s="2">
        <v>0</v>
      </c>
      <c r="G683" s="2"/>
      <c r="H683" s="2"/>
    </row>
    <row r="684" spans="1:8">
      <c r="A684" t="s">
        <v>270</v>
      </c>
      <c r="B684" s="1">
        <v>43132</v>
      </c>
      <c r="C684" s="2">
        <v>1440</v>
      </c>
      <c r="D684" s="2">
        <v>1440</v>
      </c>
      <c r="E684" t="s">
        <v>73</v>
      </c>
      <c r="F684" s="2">
        <v>0</v>
      </c>
      <c r="G684" s="2"/>
      <c r="H684" s="2"/>
    </row>
    <row r="685" spans="1:8">
      <c r="A685" t="s">
        <v>271</v>
      </c>
      <c r="B685" s="1">
        <v>43132</v>
      </c>
      <c r="C685" s="2">
        <v>1440</v>
      </c>
      <c r="D685" s="2">
        <v>1440</v>
      </c>
      <c r="E685" t="s">
        <v>73</v>
      </c>
      <c r="F685" s="2">
        <v>0</v>
      </c>
      <c r="G685" s="2"/>
      <c r="H685" s="2"/>
    </row>
    <row r="686" spans="1:8">
      <c r="A686" t="s">
        <v>272</v>
      </c>
      <c r="B686" s="1">
        <v>43132</v>
      </c>
      <c r="C686" s="2">
        <v>1440</v>
      </c>
      <c r="D686" s="2">
        <v>1440</v>
      </c>
      <c r="E686" t="s">
        <v>73</v>
      </c>
      <c r="F686" s="2">
        <v>0</v>
      </c>
      <c r="G686" s="2"/>
      <c r="H686" s="2"/>
    </row>
    <row r="687" spans="1:8">
      <c r="A687" t="s">
        <v>351</v>
      </c>
      <c r="B687" s="1">
        <v>43132</v>
      </c>
      <c r="C687" s="2">
        <v>1440</v>
      </c>
      <c r="D687" s="2">
        <v>1440</v>
      </c>
      <c r="E687" t="s">
        <v>73</v>
      </c>
      <c r="F687" s="2">
        <v>0</v>
      </c>
      <c r="G687" s="2"/>
      <c r="H687" s="2"/>
    </row>
    <row r="688" spans="1:8">
      <c r="A688" t="s">
        <v>190</v>
      </c>
      <c r="B688" s="1">
        <v>43132</v>
      </c>
      <c r="C688" s="2">
        <v>1440</v>
      </c>
      <c r="D688" s="2">
        <v>1440</v>
      </c>
      <c r="E688" t="s">
        <v>73</v>
      </c>
      <c r="F688" s="2">
        <v>0</v>
      </c>
      <c r="G688" s="2"/>
      <c r="H688" s="2"/>
    </row>
    <row r="689" spans="1:8">
      <c r="A689" t="s">
        <v>273</v>
      </c>
      <c r="B689" s="1">
        <v>43132</v>
      </c>
      <c r="C689" s="2">
        <v>1440</v>
      </c>
      <c r="D689" s="2">
        <v>1440</v>
      </c>
      <c r="E689" t="s">
        <v>73</v>
      </c>
      <c r="F689" s="2">
        <v>0</v>
      </c>
      <c r="G689" s="2"/>
      <c r="H689" s="2"/>
    </row>
    <row r="690" spans="1:8">
      <c r="A690" t="s">
        <v>300</v>
      </c>
      <c r="B690" s="1">
        <v>43132</v>
      </c>
      <c r="C690" s="2">
        <v>1440</v>
      </c>
      <c r="D690" s="2">
        <v>1440</v>
      </c>
      <c r="E690" t="s">
        <v>73</v>
      </c>
      <c r="F690" s="2">
        <v>0</v>
      </c>
      <c r="G690" s="2"/>
      <c r="H690" s="2"/>
    </row>
    <row r="691" spans="1:8">
      <c r="A691" t="s">
        <v>274</v>
      </c>
      <c r="B691" s="1">
        <v>43132</v>
      </c>
      <c r="C691" s="2">
        <v>1440</v>
      </c>
      <c r="D691" s="2">
        <v>1440</v>
      </c>
      <c r="E691" t="s">
        <v>73</v>
      </c>
      <c r="F691" s="2">
        <v>0</v>
      </c>
      <c r="G691" s="2"/>
      <c r="H691" s="2"/>
    </row>
    <row r="692" spans="1:8">
      <c r="A692" t="s">
        <v>191</v>
      </c>
      <c r="B692" s="1">
        <v>43132</v>
      </c>
      <c r="C692" s="2">
        <v>1440</v>
      </c>
      <c r="D692" s="2">
        <v>1440</v>
      </c>
      <c r="E692" t="s">
        <v>73</v>
      </c>
      <c r="F692" s="2">
        <v>0</v>
      </c>
      <c r="G692" s="2"/>
      <c r="H692" s="2"/>
    </row>
    <row r="693" spans="1:8">
      <c r="A693" t="s">
        <v>192</v>
      </c>
      <c r="B693" s="1">
        <v>43132</v>
      </c>
      <c r="C693" s="2">
        <v>1440</v>
      </c>
      <c r="D693" s="2">
        <v>1440</v>
      </c>
      <c r="E693" t="s">
        <v>73</v>
      </c>
      <c r="F693" s="2">
        <v>0</v>
      </c>
      <c r="G693" s="2"/>
      <c r="H693" s="2"/>
    </row>
    <row r="694" spans="1:8">
      <c r="A694" t="s">
        <v>275</v>
      </c>
      <c r="B694" s="1">
        <v>43132</v>
      </c>
      <c r="C694" s="2">
        <v>1440</v>
      </c>
      <c r="D694" s="2">
        <v>1440</v>
      </c>
      <c r="E694" t="s">
        <v>73</v>
      </c>
      <c r="F694" s="2">
        <v>0</v>
      </c>
      <c r="G694" s="2"/>
      <c r="H694" s="2"/>
    </row>
    <row r="695" spans="1:8">
      <c r="A695" t="s">
        <v>278</v>
      </c>
      <c r="B695" s="1">
        <v>43132</v>
      </c>
      <c r="C695" s="2">
        <v>1440</v>
      </c>
      <c r="D695" s="2">
        <v>1440</v>
      </c>
      <c r="E695" t="s">
        <v>73</v>
      </c>
      <c r="F695" s="2">
        <v>0</v>
      </c>
      <c r="G695" s="2"/>
      <c r="H695" s="2"/>
    </row>
    <row r="696" spans="1:8">
      <c r="A696" t="s">
        <v>279</v>
      </c>
      <c r="B696" s="1">
        <v>43132</v>
      </c>
      <c r="C696" s="2">
        <v>1440</v>
      </c>
      <c r="D696" s="2">
        <v>1440</v>
      </c>
      <c r="E696" t="s">
        <v>73</v>
      </c>
      <c r="F696" s="2">
        <v>0</v>
      </c>
      <c r="G696" s="2"/>
      <c r="H696" s="2"/>
    </row>
    <row r="697" spans="1:8">
      <c r="A697" t="s">
        <v>293</v>
      </c>
      <c r="B697" s="1">
        <v>43132</v>
      </c>
      <c r="C697" s="2">
        <v>1440</v>
      </c>
      <c r="D697" s="2">
        <v>1440</v>
      </c>
      <c r="E697" t="s">
        <v>73</v>
      </c>
      <c r="F697" s="2">
        <v>0</v>
      </c>
      <c r="G697" s="2"/>
      <c r="H697" s="2"/>
    </row>
    <row r="698" spans="1:8">
      <c r="A698" t="s">
        <v>280</v>
      </c>
      <c r="B698" s="1">
        <v>43132</v>
      </c>
      <c r="C698" s="2">
        <v>1440</v>
      </c>
      <c r="D698" s="2">
        <v>1440</v>
      </c>
      <c r="E698" t="s">
        <v>73</v>
      </c>
      <c r="F698" s="2">
        <v>0</v>
      </c>
      <c r="G698" s="2"/>
      <c r="H698" s="2"/>
    </row>
    <row r="699" spans="1:8">
      <c r="A699" t="s">
        <v>137</v>
      </c>
      <c r="B699" s="1">
        <v>43132</v>
      </c>
      <c r="C699" s="2">
        <v>1440</v>
      </c>
      <c r="D699" s="2">
        <v>1440</v>
      </c>
      <c r="E699" t="s">
        <v>73</v>
      </c>
      <c r="F699" s="2">
        <v>0</v>
      </c>
      <c r="G699" s="2"/>
      <c r="H699" s="2"/>
    </row>
    <row r="700" spans="1:8">
      <c r="A700" t="s">
        <v>193</v>
      </c>
      <c r="B700" s="1">
        <v>43132</v>
      </c>
      <c r="C700" s="2">
        <v>1440</v>
      </c>
      <c r="D700" s="2">
        <v>1440</v>
      </c>
      <c r="E700" t="s">
        <v>73</v>
      </c>
      <c r="F700" s="2">
        <v>0</v>
      </c>
      <c r="G700" s="2"/>
      <c r="H700" s="2"/>
    </row>
    <row r="701" spans="1:8">
      <c r="A701" t="s">
        <v>194</v>
      </c>
      <c r="B701" s="1">
        <v>43132</v>
      </c>
      <c r="C701" s="2">
        <v>1440</v>
      </c>
      <c r="D701" s="2">
        <v>1440</v>
      </c>
      <c r="E701" t="s">
        <v>73</v>
      </c>
      <c r="F701" s="2">
        <v>0</v>
      </c>
      <c r="G701" s="2"/>
      <c r="H701" s="2"/>
    </row>
    <row r="702" spans="1:8">
      <c r="A702" t="s">
        <v>352</v>
      </c>
      <c r="B702" s="1">
        <v>43132</v>
      </c>
      <c r="C702" s="2">
        <v>1440</v>
      </c>
      <c r="D702" s="2">
        <v>1440</v>
      </c>
      <c r="E702" t="s">
        <v>73</v>
      </c>
      <c r="F702" s="2">
        <v>0</v>
      </c>
      <c r="G702" s="2"/>
      <c r="H702" s="2"/>
    </row>
    <row r="703" spans="1:8">
      <c r="A703" t="s">
        <v>281</v>
      </c>
      <c r="B703" s="1">
        <v>43132</v>
      </c>
      <c r="C703" s="2">
        <v>1440</v>
      </c>
      <c r="D703" s="2">
        <v>1440</v>
      </c>
      <c r="E703" t="s">
        <v>73</v>
      </c>
      <c r="F703" s="2">
        <v>0</v>
      </c>
      <c r="G703" s="2"/>
      <c r="H703" s="2"/>
    </row>
    <row r="704" spans="1:8">
      <c r="A704" t="s">
        <v>211</v>
      </c>
      <c r="B704" s="1">
        <v>43132</v>
      </c>
      <c r="C704" s="2">
        <v>1440</v>
      </c>
      <c r="D704" s="2">
        <v>1440</v>
      </c>
      <c r="E704" t="s">
        <v>73</v>
      </c>
      <c r="F704" s="2">
        <v>0</v>
      </c>
      <c r="G704" s="2"/>
      <c r="H704" s="2"/>
    </row>
    <row r="705" spans="1:8">
      <c r="A705" t="s">
        <v>282</v>
      </c>
      <c r="B705" s="1">
        <v>43132</v>
      </c>
      <c r="C705" s="2">
        <v>1440</v>
      </c>
      <c r="D705" s="2">
        <v>1440</v>
      </c>
      <c r="E705" t="s">
        <v>73</v>
      </c>
      <c r="F705" s="2">
        <v>0</v>
      </c>
      <c r="G705" s="2"/>
      <c r="H705" s="2"/>
    </row>
    <row r="706" spans="1:8">
      <c r="A706" t="s">
        <v>283</v>
      </c>
      <c r="B706" s="1">
        <v>43132</v>
      </c>
      <c r="C706" s="2">
        <v>1440</v>
      </c>
      <c r="D706" s="2">
        <v>1440</v>
      </c>
      <c r="E706" t="s">
        <v>73</v>
      </c>
      <c r="F706" s="2">
        <v>0</v>
      </c>
      <c r="G706" s="2"/>
      <c r="H706" s="2"/>
    </row>
    <row r="707" spans="1:8">
      <c r="A707" t="s">
        <v>354</v>
      </c>
      <c r="B707" s="1">
        <v>43132</v>
      </c>
      <c r="C707" s="2">
        <v>1440</v>
      </c>
      <c r="D707" s="2">
        <v>1440</v>
      </c>
      <c r="E707" t="s">
        <v>73</v>
      </c>
      <c r="F707" s="2">
        <v>0</v>
      </c>
      <c r="G707" s="2"/>
      <c r="H707" s="2"/>
    </row>
    <row r="708" spans="1:8">
      <c r="A708" t="s">
        <v>284</v>
      </c>
      <c r="B708" s="1">
        <v>43132</v>
      </c>
      <c r="C708" s="2">
        <v>1440</v>
      </c>
      <c r="D708" s="2">
        <v>1440</v>
      </c>
      <c r="E708" t="s">
        <v>73</v>
      </c>
      <c r="F708" s="2">
        <v>0</v>
      </c>
      <c r="G708" s="2"/>
      <c r="H708" s="2"/>
    </row>
    <row r="709" spans="1:8">
      <c r="A709" t="s">
        <v>285</v>
      </c>
      <c r="B709" s="1">
        <v>43132</v>
      </c>
      <c r="C709" s="2">
        <v>1440</v>
      </c>
      <c r="D709" s="2">
        <v>1440</v>
      </c>
      <c r="E709" t="s">
        <v>73</v>
      </c>
      <c r="F709" s="2">
        <v>0</v>
      </c>
      <c r="G709" s="2"/>
      <c r="H709" s="2"/>
    </row>
    <row r="710" spans="1:8">
      <c r="A710" t="s">
        <v>355</v>
      </c>
      <c r="B710" s="1">
        <v>43132</v>
      </c>
      <c r="C710" s="2">
        <v>1440</v>
      </c>
      <c r="D710" s="2">
        <v>1440</v>
      </c>
      <c r="E710" t="s">
        <v>73</v>
      </c>
      <c r="F710" s="2">
        <v>0</v>
      </c>
      <c r="G710" s="2"/>
      <c r="H710" s="2"/>
    </row>
    <row r="711" spans="1:8">
      <c r="A711" t="s">
        <v>195</v>
      </c>
      <c r="B711" s="1">
        <v>43132</v>
      </c>
      <c r="C711" s="2">
        <v>1440</v>
      </c>
      <c r="D711" s="2">
        <v>1440</v>
      </c>
      <c r="E711" t="s">
        <v>73</v>
      </c>
      <c r="F711" s="2">
        <v>0</v>
      </c>
      <c r="G711" s="2"/>
      <c r="H711" s="2"/>
    </row>
    <row r="712" spans="1:8">
      <c r="A712" t="s">
        <v>356</v>
      </c>
      <c r="B712" s="1">
        <v>43132</v>
      </c>
      <c r="C712" s="2">
        <v>1440</v>
      </c>
      <c r="D712" s="2">
        <v>1440</v>
      </c>
      <c r="E712" t="s">
        <v>73</v>
      </c>
      <c r="F712" s="2">
        <v>0</v>
      </c>
      <c r="G712" s="2"/>
      <c r="H712" s="2"/>
    </row>
    <row r="713" spans="1:8">
      <c r="A713" t="s">
        <v>357</v>
      </c>
      <c r="B713" s="1">
        <v>43132</v>
      </c>
      <c r="C713" s="2">
        <v>1440</v>
      </c>
      <c r="D713" s="2">
        <v>1440</v>
      </c>
      <c r="E713" t="s">
        <v>73</v>
      </c>
      <c r="F713" s="2">
        <v>0</v>
      </c>
      <c r="G713" s="2"/>
      <c r="H713" s="2"/>
    </row>
    <row r="714" spans="1:8">
      <c r="A714" t="s">
        <v>286</v>
      </c>
      <c r="B714" s="1">
        <v>43132</v>
      </c>
      <c r="C714" s="2">
        <v>1440</v>
      </c>
      <c r="D714" s="2">
        <v>1440</v>
      </c>
      <c r="E714" t="s">
        <v>73</v>
      </c>
      <c r="F714" s="2">
        <v>0</v>
      </c>
      <c r="G714" s="2"/>
      <c r="H714" s="2"/>
    </row>
    <row r="715" spans="1:8">
      <c r="A715" t="s">
        <v>287</v>
      </c>
      <c r="B715" s="1">
        <v>43132</v>
      </c>
      <c r="C715" s="2">
        <v>1440</v>
      </c>
      <c r="D715" s="2">
        <v>1440</v>
      </c>
      <c r="E715" t="s">
        <v>73</v>
      </c>
      <c r="F715" s="2">
        <v>0</v>
      </c>
      <c r="G715" s="2"/>
      <c r="H715" s="2"/>
    </row>
    <row r="716" spans="1:8">
      <c r="A716" t="s">
        <v>197</v>
      </c>
      <c r="B716" s="1">
        <v>43132</v>
      </c>
      <c r="C716" s="2">
        <v>1440</v>
      </c>
      <c r="D716" s="2">
        <v>1440</v>
      </c>
      <c r="E716" t="s">
        <v>73</v>
      </c>
      <c r="F716" s="2">
        <v>0</v>
      </c>
      <c r="G716" s="2"/>
      <c r="H716" s="2"/>
    </row>
    <row r="717" spans="1:8">
      <c r="A717" t="s">
        <v>288</v>
      </c>
      <c r="B717" s="1">
        <v>43132</v>
      </c>
      <c r="C717" s="2">
        <v>1440</v>
      </c>
      <c r="D717" s="2">
        <v>1440</v>
      </c>
      <c r="E717" t="s">
        <v>73</v>
      </c>
      <c r="F717" s="2">
        <v>0</v>
      </c>
      <c r="G717" s="2"/>
      <c r="H717" s="2"/>
    </row>
    <row r="718" spans="1:8">
      <c r="A718" t="s">
        <v>314</v>
      </c>
      <c r="B718" s="1">
        <v>43132</v>
      </c>
      <c r="C718" s="2">
        <v>1200</v>
      </c>
      <c r="D718" s="2">
        <v>1200</v>
      </c>
      <c r="E718" t="s">
        <v>73</v>
      </c>
      <c r="F718" s="2">
        <v>0</v>
      </c>
      <c r="G718" s="2"/>
      <c r="H718" s="2"/>
    </row>
    <row r="719" spans="1:8">
      <c r="A719" t="s">
        <v>315</v>
      </c>
      <c r="B719" s="1">
        <v>43132</v>
      </c>
      <c r="C719" s="2">
        <v>1200</v>
      </c>
      <c r="D719" s="2">
        <v>1200</v>
      </c>
      <c r="E719" t="s">
        <v>73</v>
      </c>
      <c r="F719" s="2">
        <v>0</v>
      </c>
      <c r="G719" s="2"/>
      <c r="H719" s="2"/>
    </row>
    <row r="720" spans="1:8">
      <c r="A720" t="s">
        <v>147</v>
      </c>
      <c r="B720" s="1">
        <v>43132</v>
      </c>
      <c r="C720" s="2">
        <v>1200</v>
      </c>
      <c r="D720" s="2">
        <v>1200</v>
      </c>
      <c r="E720" t="s">
        <v>73</v>
      </c>
      <c r="F720" s="2">
        <v>0</v>
      </c>
      <c r="G720" s="2"/>
      <c r="H720" s="2"/>
    </row>
    <row r="721" spans="1:8">
      <c r="A721" t="s">
        <v>369</v>
      </c>
      <c r="B721" s="1">
        <v>43132</v>
      </c>
      <c r="C721" s="2">
        <v>1200</v>
      </c>
      <c r="D721" s="2">
        <v>1200</v>
      </c>
      <c r="E721" t="s">
        <v>73</v>
      </c>
      <c r="F721" s="2">
        <v>0</v>
      </c>
      <c r="G721" s="2"/>
      <c r="H721" s="2"/>
    </row>
    <row r="722" spans="1:8">
      <c r="A722" t="s">
        <v>148</v>
      </c>
      <c r="B722" s="1">
        <v>43132</v>
      </c>
      <c r="C722" s="2">
        <v>1200</v>
      </c>
      <c r="D722" s="2">
        <v>1200</v>
      </c>
      <c r="E722" t="s">
        <v>73</v>
      </c>
      <c r="F722" s="2">
        <v>0</v>
      </c>
      <c r="G722" s="2"/>
      <c r="H722" s="2"/>
    </row>
    <row r="723" spans="1:8">
      <c r="A723" t="s">
        <v>224</v>
      </c>
      <c r="B723" s="1">
        <v>43132</v>
      </c>
      <c r="C723" s="2">
        <v>1200</v>
      </c>
      <c r="D723" s="2">
        <v>1200</v>
      </c>
      <c r="E723" t="s">
        <v>73</v>
      </c>
      <c r="F723" s="2">
        <v>0</v>
      </c>
      <c r="G723" s="2"/>
      <c r="H723" s="2"/>
    </row>
    <row r="724" spans="1:8">
      <c r="A724" t="s">
        <v>217</v>
      </c>
      <c r="B724" s="1">
        <v>43132</v>
      </c>
      <c r="C724" s="2">
        <v>1200</v>
      </c>
      <c r="D724" s="2">
        <v>1200</v>
      </c>
      <c r="E724" t="s">
        <v>73</v>
      </c>
      <c r="F724" s="2">
        <v>0</v>
      </c>
      <c r="G724" s="2"/>
      <c r="H724" s="2"/>
    </row>
    <row r="725" spans="1:8">
      <c r="A725" t="s">
        <v>316</v>
      </c>
      <c r="B725" s="1">
        <v>43132</v>
      </c>
      <c r="C725" s="2">
        <v>1200</v>
      </c>
      <c r="D725" s="2">
        <v>1200</v>
      </c>
      <c r="E725" t="s">
        <v>73</v>
      </c>
      <c r="F725" s="2">
        <v>0</v>
      </c>
      <c r="G725" s="2"/>
      <c r="H725" s="2"/>
    </row>
    <row r="726" spans="1:8">
      <c r="A726" t="s">
        <v>311</v>
      </c>
      <c r="B726" s="1">
        <v>43132</v>
      </c>
      <c r="C726" s="2">
        <v>1200</v>
      </c>
      <c r="D726" s="2">
        <v>1200</v>
      </c>
      <c r="E726" t="s">
        <v>73</v>
      </c>
      <c r="F726" s="2">
        <v>0</v>
      </c>
      <c r="G726" s="2"/>
      <c r="H726" s="2"/>
    </row>
    <row r="727" spans="1:8">
      <c r="A727" t="s">
        <v>120</v>
      </c>
      <c r="B727" s="1">
        <v>43132</v>
      </c>
      <c r="C727" s="2">
        <v>1200</v>
      </c>
      <c r="D727" s="2">
        <v>1200</v>
      </c>
      <c r="E727" t="s">
        <v>73</v>
      </c>
      <c r="F727" s="2">
        <v>0</v>
      </c>
      <c r="G727" s="2"/>
      <c r="H727" s="2"/>
    </row>
    <row r="728" spans="1:8">
      <c r="A728" t="s">
        <v>312</v>
      </c>
      <c r="B728" s="1">
        <v>43132</v>
      </c>
      <c r="C728" s="2">
        <v>1200</v>
      </c>
      <c r="D728" s="2">
        <v>1200</v>
      </c>
      <c r="E728" t="s">
        <v>73</v>
      </c>
      <c r="F728" s="2">
        <v>0</v>
      </c>
      <c r="G728" s="2"/>
      <c r="H728" s="2"/>
    </row>
    <row r="729" spans="1:8">
      <c r="A729" t="s">
        <v>121</v>
      </c>
      <c r="B729" s="1">
        <v>43132</v>
      </c>
      <c r="C729" s="2">
        <v>1200</v>
      </c>
      <c r="D729" s="2">
        <v>1200</v>
      </c>
      <c r="E729" t="s">
        <v>73</v>
      </c>
      <c r="F729" s="2">
        <v>0</v>
      </c>
      <c r="G729" s="2"/>
      <c r="H729" s="2"/>
    </row>
    <row r="730" spans="1:8">
      <c r="A730" t="s">
        <v>317</v>
      </c>
      <c r="B730" s="1">
        <v>43132</v>
      </c>
      <c r="C730" s="2">
        <v>1200</v>
      </c>
      <c r="D730" s="2">
        <v>1200</v>
      </c>
      <c r="E730" t="s">
        <v>73</v>
      </c>
      <c r="F730" s="2">
        <v>0</v>
      </c>
      <c r="G730" s="2"/>
      <c r="H730" s="2"/>
    </row>
    <row r="731" spans="1:8">
      <c r="A731" t="s">
        <v>152</v>
      </c>
      <c r="B731" s="1">
        <v>43132</v>
      </c>
      <c r="C731" s="2">
        <v>1200</v>
      </c>
      <c r="D731" s="2">
        <v>1200</v>
      </c>
      <c r="E731" t="s">
        <v>73</v>
      </c>
      <c r="F731" s="2">
        <v>0</v>
      </c>
      <c r="G731" s="2"/>
      <c r="H731" s="2"/>
    </row>
    <row r="732" spans="1:8">
      <c r="A732" t="s">
        <v>370</v>
      </c>
      <c r="B732" s="1">
        <v>43132</v>
      </c>
      <c r="C732" s="2">
        <v>1200</v>
      </c>
      <c r="D732" s="2">
        <v>1200</v>
      </c>
      <c r="E732" t="s">
        <v>73</v>
      </c>
      <c r="F732" s="2">
        <v>0</v>
      </c>
      <c r="G732" s="2"/>
      <c r="H732" s="2"/>
    </row>
    <row r="733" spans="1:8">
      <c r="A733" t="s">
        <v>153</v>
      </c>
      <c r="B733" s="1">
        <v>43132</v>
      </c>
      <c r="C733" s="2">
        <v>1200</v>
      </c>
      <c r="D733" s="2">
        <v>1200</v>
      </c>
      <c r="E733" t="s">
        <v>73</v>
      </c>
      <c r="F733" s="2">
        <v>0</v>
      </c>
      <c r="G733" s="2"/>
      <c r="H733" s="2"/>
    </row>
    <row r="734" spans="1:8">
      <c r="A734" t="s">
        <v>222</v>
      </c>
      <c r="B734" s="1">
        <v>43132</v>
      </c>
      <c r="C734" s="2">
        <v>1200</v>
      </c>
      <c r="D734" s="2">
        <v>1200</v>
      </c>
      <c r="E734" t="s">
        <v>73</v>
      </c>
      <c r="F734" s="2">
        <v>0</v>
      </c>
      <c r="G734" s="2"/>
      <c r="H734" s="2"/>
    </row>
    <row r="735" spans="1:8">
      <c r="A735" t="s">
        <v>149</v>
      </c>
      <c r="B735" s="1">
        <v>43132</v>
      </c>
      <c r="C735" s="2">
        <v>1200</v>
      </c>
      <c r="D735" s="2">
        <v>1200</v>
      </c>
      <c r="E735" t="s">
        <v>73</v>
      </c>
      <c r="F735" s="2">
        <v>0</v>
      </c>
      <c r="G735" s="2"/>
      <c r="H735" s="2"/>
    </row>
    <row r="736" spans="1:8">
      <c r="A736" t="s">
        <v>371</v>
      </c>
      <c r="B736" s="1">
        <v>43132</v>
      </c>
      <c r="C736" s="2">
        <v>1200</v>
      </c>
      <c r="D736" s="2">
        <v>1200</v>
      </c>
      <c r="E736" t="s">
        <v>73</v>
      </c>
      <c r="F736" s="2">
        <v>0</v>
      </c>
      <c r="G736" s="2"/>
      <c r="H736" s="2"/>
    </row>
    <row r="737" spans="1:8">
      <c r="A737" t="s">
        <v>154</v>
      </c>
      <c r="B737" s="1">
        <v>43132</v>
      </c>
      <c r="C737" s="2">
        <v>1200</v>
      </c>
      <c r="D737" s="2">
        <v>1200</v>
      </c>
      <c r="E737" t="s">
        <v>73</v>
      </c>
      <c r="F737" s="2">
        <v>0</v>
      </c>
      <c r="G737" s="2"/>
      <c r="H737" s="2"/>
    </row>
    <row r="738" spans="1:8">
      <c r="A738" t="s">
        <v>150</v>
      </c>
      <c r="B738" s="1">
        <v>43132</v>
      </c>
      <c r="C738" s="2">
        <v>1200</v>
      </c>
      <c r="D738" s="2">
        <v>1200</v>
      </c>
      <c r="E738" t="s">
        <v>73</v>
      </c>
      <c r="F738" s="2">
        <v>0</v>
      </c>
      <c r="G738" s="2"/>
      <c r="H738" s="2"/>
    </row>
    <row r="739" spans="1:8">
      <c r="A739" t="s">
        <v>122</v>
      </c>
      <c r="B739" s="1">
        <v>43132</v>
      </c>
      <c r="C739" s="2">
        <v>1200</v>
      </c>
      <c r="D739" s="2">
        <v>1200</v>
      </c>
      <c r="E739" t="s">
        <v>73</v>
      </c>
      <c r="F739" s="2">
        <v>0</v>
      </c>
      <c r="G739" s="2"/>
      <c r="H739" s="2"/>
    </row>
    <row r="740" spans="1:8">
      <c r="A740" t="s">
        <v>218</v>
      </c>
      <c r="B740" s="1">
        <v>43132</v>
      </c>
      <c r="C740" s="2">
        <v>1200</v>
      </c>
      <c r="D740" s="2">
        <v>1200</v>
      </c>
      <c r="E740" t="s">
        <v>73</v>
      </c>
      <c r="F740" s="2">
        <v>0</v>
      </c>
      <c r="G740" s="2"/>
      <c r="H740" s="2"/>
    </row>
    <row r="741" spans="1:8">
      <c r="A741" t="s">
        <v>151</v>
      </c>
      <c r="B741" s="1">
        <v>43132</v>
      </c>
      <c r="C741" s="2">
        <v>1200</v>
      </c>
      <c r="D741" s="2">
        <v>1200</v>
      </c>
      <c r="E741" t="s">
        <v>73</v>
      </c>
      <c r="F741" s="2">
        <v>0</v>
      </c>
      <c r="G741" s="2"/>
      <c r="H741" s="2"/>
    </row>
    <row r="742" spans="1:8">
      <c r="A742" t="s">
        <v>219</v>
      </c>
      <c r="B742" s="1">
        <v>43132</v>
      </c>
      <c r="C742" s="2">
        <v>1200</v>
      </c>
      <c r="D742" s="2">
        <v>1200</v>
      </c>
      <c r="E742" t="s">
        <v>73</v>
      </c>
      <c r="F742" s="2">
        <v>0</v>
      </c>
      <c r="G742" s="2"/>
      <c r="H742" s="2"/>
    </row>
    <row r="743" spans="1:8">
      <c r="A743" t="s">
        <v>225</v>
      </c>
      <c r="B743" s="1">
        <v>43132</v>
      </c>
      <c r="C743" s="2">
        <v>1200</v>
      </c>
      <c r="D743" s="2">
        <v>1200</v>
      </c>
      <c r="E743" t="s">
        <v>73</v>
      </c>
      <c r="F743" s="2">
        <v>0</v>
      </c>
      <c r="G743" s="2"/>
      <c r="H743" s="2"/>
    </row>
    <row r="744" spans="1:8">
      <c r="A744" t="s">
        <v>118</v>
      </c>
      <c r="B744" s="1">
        <v>43132</v>
      </c>
      <c r="C744" s="2">
        <v>1200</v>
      </c>
      <c r="D744" s="2">
        <v>1200</v>
      </c>
      <c r="E744" t="s">
        <v>73</v>
      </c>
      <c r="F744" s="2">
        <v>0</v>
      </c>
      <c r="G744" s="2"/>
      <c r="H744" s="2"/>
    </row>
    <row r="745" spans="1:8">
      <c r="A745" t="s">
        <v>220</v>
      </c>
      <c r="B745" s="1">
        <v>43132</v>
      </c>
      <c r="C745" s="2">
        <v>1200</v>
      </c>
      <c r="D745" s="2">
        <v>1200</v>
      </c>
      <c r="E745" t="s">
        <v>73</v>
      </c>
      <c r="F745" s="2">
        <v>0</v>
      </c>
      <c r="G745" s="2"/>
      <c r="H745" s="2"/>
    </row>
    <row r="746" spans="1:8">
      <c r="A746" t="s">
        <v>221</v>
      </c>
      <c r="B746" s="1">
        <v>43132</v>
      </c>
      <c r="C746" s="2">
        <v>1200</v>
      </c>
      <c r="D746" s="2">
        <v>1200</v>
      </c>
      <c r="E746" t="s">
        <v>73</v>
      </c>
      <c r="F746" s="2">
        <v>0</v>
      </c>
      <c r="G746" s="2"/>
      <c r="H746" s="2"/>
    </row>
    <row r="747" spans="1:8">
      <c r="A747" t="s">
        <v>234</v>
      </c>
      <c r="B747" s="1">
        <v>43132</v>
      </c>
      <c r="C747" s="2">
        <v>1440</v>
      </c>
      <c r="D747" s="2">
        <v>1584</v>
      </c>
      <c r="E747" t="s">
        <v>12</v>
      </c>
      <c r="F747" s="2">
        <v>144</v>
      </c>
      <c r="G747" s="2"/>
      <c r="H747" s="2"/>
    </row>
    <row r="748" spans="1:8">
      <c r="A748" t="s">
        <v>126</v>
      </c>
      <c r="B748" s="1">
        <v>43132</v>
      </c>
      <c r="C748" s="2">
        <v>1584</v>
      </c>
      <c r="D748" s="2">
        <v>1872</v>
      </c>
      <c r="E748" t="s">
        <v>12</v>
      </c>
      <c r="F748" s="2">
        <v>288</v>
      </c>
      <c r="G748" s="2"/>
      <c r="H748" s="2"/>
    </row>
    <row r="749" spans="1:8">
      <c r="A749" t="s">
        <v>212</v>
      </c>
      <c r="B749" s="1">
        <v>43132</v>
      </c>
      <c r="C749" s="2">
        <v>1440</v>
      </c>
      <c r="D749" s="2">
        <v>1728</v>
      </c>
      <c r="E749" t="s">
        <v>12</v>
      </c>
      <c r="F749" s="2">
        <v>288</v>
      </c>
      <c r="G749" s="2"/>
      <c r="H749" s="2"/>
    </row>
    <row r="750" spans="1:8">
      <c r="A750" t="s">
        <v>130</v>
      </c>
      <c r="B750" s="1">
        <v>43132</v>
      </c>
      <c r="C750" s="2">
        <v>1440</v>
      </c>
      <c r="D750" s="2">
        <v>1728</v>
      </c>
      <c r="E750" t="s">
        <v>12</v>
      </c>
      <c r="F750" s="2">
        <v>288</v>
      </c>
      <c r="G750" s="2"/>
      <c r="H750" s="2"/>
    </row>
    <row r="751" spans="1:8">
      <c r="A751" t="s">
        <v>206</v>
      </c>
      <c r="B751" s="1">
        <v>43132</v>
      </c>
      <c r="C751" s="2">
        <v>24660</v>
      </c>
      <c r="D751" s="2">
        <v>25020</v>
      </c>
      <c r="E751" t="s">
        <v>12</v>
      </c>
      <c r="F751" s="2">
        <v>360</v>
      </c>
      <c r="G751" s="2"/>
      <c r="H751" s="2"/>
    </row>
    <row r="752" spans="1:8">
      <c r="A752" t="s">
        <v>301</v>
      </c>
      <c r="B752" s="1">
        <v>43132</v>
      </c>
      <c r="C752" s="2">
        <v>5448</v>
      </c>
      <c r="D752" s="2">
        <v>5844</v>
      </c>
      <c r="E752" t="s">
        <v>12</v>
      </c>
      <c r="F752" s="2">
        <v>396</v>
      </c>
      <c r="G752" s="2"/>
      <c r="H752" s="2"/>
    </row>
    <row r="753" spans="1:8">
      <c r="A753" t="s">
        <v>302</v>
      </c>
      <c r="B753" s="1">
        <v>43132</v>
      </c>
      <c r="C753" s="2">
        <v>5448</v>
      </c>
      <c r="D753" s="2">
        <v>5844</v>
      </c>
      <c r="E753" t="s">
        <v>12</v>
      </c>
      <c r="F753" s="2">
        <v>396</v>
      </c>
      <c r="G753" s="2"/>
      <c r="H753" s="2"/>
    </row>
    <row r="754" spans="1:8">
      <c r="A754" t="s">
        <v>177</v>
      </c>
      <c r="B754" s="1">
        <v>43132</v>
      </c>
      <c r="C754" s="2">
        <v>1728</v>
      </c>
      <c r="D754" s="2">
        <v>2160</v>
      </c>
      <c r="E754" t="s">
        <v>12</v>
      </c>
      <c r="F754" s="2">
        <v>432</v>
      </c>
      <c r="G754" s="2"/>
      <c r="H754" s="2"/>
    </row>
    <row r="755" spans="1:8">
      <c r="A755" t="s">
        <v>181</v>
      </c>
      <c r="B755" s="1">
        <v>43132</v>
      </c>
      <c r="C755" s="2">
        <v>1440</v>
      </c>
      <c r="D755" s="2">
        <v>1872</v>
      </c>
      <c r="E755" t="s">
        <v>12</v>
      </c>
      <c r="F755" s="2">
        <v>432</v>
      </c>
      <c r="G755" s="2"/>
      <c r="H755" s="2"/>
    </row>
    <row r="756" spans="1:8">
      <c r="A756" t="s">
        <v>350</v>
      </c>
      <c r="B756" s="1">
        <v>43132</v>
      </c>
      <c r="C756" s="2">
        <v>1440</v>
      </c>
      <c r="D756" s="2">
        <v>1872</v>
      </c>
      <c r="E756" t="s">
        <v>12</v>
      </c>
      <c r="F756" s="2">
        <v>432</v>
      </c>
      <c r="G756" s="2"/>
      <c r="H756" s="2"/>
    </row>
    <row r="757" spans="1:8">
      <c r="A757" t="s">
        <v>291</v>
      </c>
      <c r="B757" s="1">
        <v>43132</v>
      </c>
      <c r="C757" s="2">
        <v>2016</v>
      </c>
      <c r="D757" s="2">
        <v>2592</v>
      </c>
      <c r="E757" t="s">
        <v>12</v>
      </c>
      <c r="F757" s="2">
        <v>576</v>
      </c>
      <c r="G757" s="2"/>
      <c r="H757" s="2"/>
    </row>
    <row r="758" spans="1:8">
      <c r="A758" t="s">
        <v>292</v>
      </c>
      <c r="B758" s="1">
        <v>43132</v>
      </c>
      <c r="C758" s="2">
        <v>2592</v>
      </c>
      <c r="D758" s="2">
        <v>3312</v>
      </c>
      <c r="E758" t="s">
        <v>12</v>
      </c>
      <c r="F758" s="2">
        <v>720</v>
      </c>
      <c r="G758" s="2"/>
      <c r="H758" s="2"/>
    </row>
    <row r="759" spans="1:8">
      <c r="A759" t="s">
        <v>157</v>
      </c>
      <c r="B759" s="1">
        <v>43132</v>
      </c>
      <c r="C759" s="2">
        <v>2016</v>
      </c>
      <c r="D759" s="2">
        <v>2736</v>
      </c>
      <c r="E759" t="s">
        <v>12</v>
      </c>
      <c r="F759" s="2">
        <v>720</v>
      </c>
      <c r="G759" s="2"/>
      <c r="H759" s="2"/>
    </row>
    <row r="760" spans="1:8">
      <c r="A760" t="s">
        <v>347</v>
      </c>
      <c r="B760" s="1">
        <v>43132</v>
      </c>
      <c r="C760" s="2">
        <v>1440</v>
      </c>
      <c r="D760" s="2">
        <v>2160</v>
      </c>
      <c r="E760" t="s">
        <v>12</v>
      </c>
      <c r="F760" s="2">
        <v>720</v>
      </c>
      <c r="G760" s="2"/>
      <c r="H760" s="2"/>
    </row>
    <row r="761" spans="1:8">
      <c r="A761" t="s">
        <v>205</v>
      </c>
      <c r="B761" s="1">
        <v>43132</v>
      </c>
      <c r="C761" s="2">
        <v>7296</v>
      </c>
      <c r="D761" s="2">
        <v>8088</v>
      </c>
      <c r="E761" t="s">
        <v>12</v>
      </c>
      <c r="F761" s="2">
        <v>792</v>
      </c>
      <c r="G761" s="2"/>
      <c r="H761" s="2"/>
    </row>
    <row r="762" spans="1:8">
      <c r="A762" t="s">
        <v>203</v>
      </c>
      <c r="B762" s="1">
        <v>43132</v>
      </c>
      <c r="C762" s="2">
        <v>3732</v>
      </c>
      <c r="D762" s="2">
        <v>4524</v>
      </c>
      <c r="E762" t="s">
        <v>12</v>
      </c>
      <c r="F762" s="2">
        <v>792</v>
      </c>
      <c r="G762" s="2"/>
      <c r="H762" s="2"/>
    </row>
    <row r="763" spans="1:8">
      <c r="A763" t="s">
        <v>146</v>
      </c>
      <c r="B763" s="1">
        <v>43132</v>
      </c>
      <c r="C763" s="2">
        <v>4500</v>
      </c>
      <c r="D763" s="2">
        <v>5316</v>
      </c>
      <c r="E763" t="s">
        <v>12</v>
      </c>
      <c r="F763" s="2">
        <v>816</v>
      </c>
      <c r="G763" s="2"/>
      <c r="H763" s="2"/>
    </row>
    <row r="764" spans="1:8">
      <c r="A764" t="s">
        <v>295</v>
      </c>
      <c r="B764" s="1">
        <v>43132</v>
      </c>
      <c r="C764" s="2">
        <v>2592</v>
      </c>
      <c r="D764" s="2">
        <v>3456</v>
      </c>
      <c r="E764" t="s">
        <v>12</v>
      </c>
      <c r="F764" s="2">
        <v>864</v>
      </c>
      <c r="G764" s="2"/>
      <c r="H764" s="2"/>
    </row>
    <row r="765" spans="1:8">
      <c r="A765" t="s">
        <v>241</v>
      </c>
      <c r="B765" s="1">
        <v>43132</v>
      </c>
      <c r="C765" s="2">
        <v>1440</v>
      </c>
      <c r="D765" s="2">
        <v>2304</v>
      </c>
      <c r="E765" t="s">
        <v>12</v>
      </c>
      <c r="F765" s="2">
        <v>864</v>
      </c>
      <c r="G765" s="2"/>
      <c r="H765" s="2"/>
    </row>
    <row r="766" spans="1:8">
      <c r="A766" t="s">
        <v>310</v>
      </c>
      <c r="B766" s="1">
        <v>43132</v>
      </c>
      <c r="C766" s="2">
        <v>10596</v>
      </c>
      <c r="D766" s="2">
        <v>11520</v>
      </c>
      <c r="E766" t="s">
        <v>12</v>
      </c>
      <c r="F766" s="2">
        <v>924</v>
      </c>
      <c r="G766" s="2"/>
      <c r="H766" s="2"/>
    </row>
    <row r="767" spans="1:8">
      <c r="A767" t="s">
        <v>304</v>
      </c>
      <c r="B767" s="1">
        <v>43132</v>
      </c>
      <c r="C767" s="2">
        <v>9540</v>
      </c>
      <c r="D767" s="2">
        <v>10464</v>
      </c>
      <c r="E767" t="s">
        <v>12</v>
      </c>
      <c r="F767" s="2">
        <v>924</v>
      </c>
      <c r="G767" s="2"/>
      <c r="H767" s="2"/>
    </row>
    <row r="768" spans="1:8">
      <c r="A768" t="s">
        <v>309</v>
      </c>
      <c r="B768" s="1">
        <v>43132</v>
      </c>
      <c r="C768" s="2">
        <v>2880</v>
      </c>
      <c r="D768" s="2">
        <v>3996</v>
      </c>
      <c r="E768" t="s">
        <v>12</v>
      </c>
      <c r="F768" s="2">
        <v>1116</v>
      </c>
      <c r="G768" s="2"/>
      <c r="H768" s="2"/>
    </row>
    <row r="769" spans="1:8">
      <c r="A769" t="s">
        <v>372</v>
      </c>
      <c r="B769" s="1">
        <v>43132</v>
      </c>
      <c r="C769" s="2">
        <v>0</v>
      </c>
      <c r="D769" s="2">
        <v>1200</v>
      </c>
      <c r="E769" t="s">
        <v>16</v>
      </c>
      <c r="F769" s="2">
        <v>1200</v>
      </c>
      <c r="G769" s="2"/>
      <c r="H769" s="2"/>
    </row>
    <row r="770" spans="1:8">
      <c r="A770" t="s">
        <v>373</v>
      </c>
      <c r="B770" s="1">
        <v>43132</v>
      </c>
      <c r="C770" s="2">
        <v>0</v>
      </c>
      <c r="D770" s="2">
        <v>1200</v>
      </c>
      <c r="E770" t="s">
        <v>16</v>
      </c>
      <c r="F770" s="2">
        <v>1200</v>
      </c>
      <c r="G770" s="2"/>
      <c r="H770" s="2"/>
    </row>
    <row r="771" spans="1:8">
      <c r="A771" t="s">
        <v>366</v>
      </c>
      <c r="B771" s="1">
        <v>43132</v>
      </c>
      <c r="C771" s="2">
        <v>3312</v>
      </c>
      <c r="D771" s="2">
        <v>4524</v>
      </c>
      <c r="E771" t="s">
        <v>12</v>
      </c>
      <c r="F771" s="2">
        <v>1212</v>
      </c>
      <c r="G771" s="2"/>
      <c r="H771" s="2"/>
    </row>
    <row r="772" spans="1:8">
      <c r="A772" t="s">
        <v>200</v>
      </c>
      <c r="B772" s="1">
        <v>43132</v>
      </c>
      <c r="C772" s="2">
        <v>3168</v>
      </c>
      <c r="D772" s="2">
        <v>4392</v>
      </c>
      <c r="E772" t="s">
        <v>12</v>
      </c>
      <c r="F772" s="2">
        <v>1224</v>
      </c>
      <c r="G772" s="2"/>
      <c r="H772" s="2"/>
    </row>
    <row r="773" spans="1:8">
      <c r="A773" t="s">
        <v>141</v>
      </c>
      <c r="B773" s="1">
        <v>43132</v>
      </c>
      <c r="C773" s="2">
        <v>1440</v>
      </c>
      <c r="D773" s="2">
        <v>2736</v>
      </c>
      <c r="E773" t="s">
        <v>12</v>
      </c>
      <c r="F773" s="2">
        <v>1296</v>
      </c>
      <c r="G773" s="2"/>
      <c r="H773" s="2"/>
    </row>
    <row r="774" spans="1:8">
      <c r="A774" t="s">
        <v>133</v>
      </c>
      <c r="B774" s="1">
        <v>43132</v>
      </c>
      <c r="C774" s="2">
        <v>0</v>
      </c>
      <c r="D774" s="2">
        <v>1440</v>
      </c>
      <c r="E774" t="s">
        <v>74</v>
      </c>
      <c r="F774" s="2">
        <v>1440</v>
      </c>
      <c r="G774" s="2"/>
      <c r="H774" s="2"/>
    </row>
    <row r="775" spans="1:8">
      <c r="A775" t="s">
        <v>374</v>
      </c>
      <c r="B775" s="1">
        <v>43132</v>
      </c>
      <c r="C775" s="2">
        <v>0</v>
      </c>
      <c r="D775" s="2">
        <v>1440</v>
      </c>
      <c r="E775" t="s">
        <v>72</v>
      </c>
      <c r="F775" s="2">
        <v>1440</v>
      </c>
      <c r="G775" s="2"/>
      <c r="H775" s="2"/>
    </row>
    <row r="776" spans="1:8">
      <c r="A776" t="s">
        <v>375</v>
      </c>
      <c r="B776" s="1">
        <v>43132</v>
      </c>
      <c r="C776" s="2">
        <v>0</v>
      </c>
      <c r="D776" s="2">
        <v>1440</v>
      </c>
      <c r="E776" t="s">
        <v>16</v>
      </c>
      <c r="F776" s="2">
        <v>1440</v>
      </c>
      <c r="G776" s="2"/>
      <c r="H776" s="2"/>
    </row>
    <row r="777" spans="1:8">
      <c r="A777" t="s">
        <v>376</v>
      </c>
      <c r="B777" s="1">
        <v>43132</v>
      </c>
      <c r="C777" s="2">
        <v>0</v>
      </c>
      <c r="D777" s="2">
        <v>1200</v>
      </c>
      <c r="E777" t="s">
        <v>25</v>
      </c>
      <c r="F777" s="2">
        <v>1200</v>
      </c>
      <c r="G777" s="2"/>
      <c r="H777" s="2"/>
    </row>
    <row r="778" spans="1:8">
      <c r="A778" t="s">
        <v>377</v>
      </c>
      <c r="B778" s="1">
        <v>43132</v>
      </c>
      <c r="C778" s="2">
        <v>0</v>
      </c>
      <c r="D778" s="2">
        <v>1200</v>
      </c>
      <c r="E778" t="s">
        <v>25</v>
      </c>
      <c r="F778" s="2">
        <v>1200</v>
      </c>
      <c r="G778" s="2"/>
      <c r="H778" s="2"/>
    </row>
    <row r="779" spans="1:8">
      <c r="A779" t="s">
        <v>378</v>
      </c>
      <c r="B779" s="1">
        <v>43132</v>
      </c>
      <c r="C779" s="2">
        <v>0</v>
      </c>
      <c r="D779" s="2">
        <v>1440</v>
      </c>
      <c r="E779" t="s">
        <v>25</v>
      </c>
      <c r="F779" s="2">
        <v>1440</v>
      </c>
      <c r="G779" s="2"/>
      <c r="H779" s="2"/>
    </row>
    <row r="780" spans="1:8">
      <c r="A780" t="s">
        <v>379</v>
      </c>
      <c r="B780" s="1">
        <v>43132</v>
      </c>
      <c r="C780" s="2">
        <v>0</v>
      </c>
      <c r="D780" s="2">
        <v>1440</v>
      </c>
      <c r="E780" t="s">
        <v>25</v>
      </c>
      <c r="F780" s="2">
        <v>1440</v>
      </c>
      <c r="G780" s="2"/>
      <c r="H780" s="2"/>
    </row>
    <row r="781" spans="1:8">
      <c r="A781" t="s">
        <v>380</v>
      </c>
      <c r="B781" s="1">
        <v>43132</v>
      </c>
      <c r="C781" s="2">
        <v>0</v>
      </c>
      <c r="D781" s="2">
        <v>1440</v>
      </c>
      <c r="E781" t="s">
        <v>25</v>
      </c>
      <c r="F781" s="2">
        <v>1440</v>
      </c>
      <c r="G781" s="2"/>
      <c r="H781" s="2"/>
    </row>
    <row r="782" spans="1:8">
      <c r="A782" t="s">
        <v>381</v>
      </c>
      <c r="B782" s="1">
        <v>43132</v>
      </c>
      <c r="C782" s="2">
        <v>0</v>
      </c>
      <c r="D782" s="2">
        <v>1440</v>
      </c>
      <c r="E782" t="s">
        <v>25</v>
      </c>
      <c r="F782" s="2">
        <v>1440</v>
      </c>
      <c r="G782" s="2"/>
      <c r="H782" s="2"/>
    </row>
    <row r="783" spans="1:8">
      <c r="A783" t="s">
        <v>382</v>
      </c>
      <c r="B783" s="1">
        <v>43132</v>
      </c>
      <c r="C783" s="2">
        <v>0</v>
      </c>
      <c r="D783" s="2">
        <v>1440</v>
      </c>
      <c r="E783" t="s">
        <v>25</v>
      </c>
      <c r="F783" s="2">
        <v>1440</v>
      </c>
      <c r="G783" s="2"/>
      <c r="H783" s="2"/>
    </row>
    <row r="784" spans="1:8">
      <c r="A784" t="s">
        <v>383</v>
      </c>
      <c r="B784" s="1">
        <v>43132</v>
      </c>
      <c r="C784" s="2">
        <v>0</v>
      </c>
      <c r="D784" s="2">
        <v>1440</v>
      </c>
      <c r="E784" t="s">
        <v>25</v>
      </c>
      <c r="F784" s="2">
        <v>1440</v>
      </c>
      <c r="G784" s="2"/>
      <c r="H784" s="2"/>
    </row>
    <row r="785" spans="1:8">
      <c r="A785" t="s">
        <v>384</v>
      </c>
      <c r="B785" s="1">
        <v>43132</v>
      </c>
      <c r="C785" s="2">
        <v>0</v>
      </c>
      <c r="D785" s="2">
        <v>1440</v>
      </c>
      <c r="E785" t="s">
        <v>25</v>
      </c>
      <c r="F785" s="2">
        <v>1440</v>
      </c>
      <c r="G785" s="2"/>
      <c r="H785" s="2"/>
    </row>
    <row r="786" spans="1:8">
      <c r="A786" t="s">
        <v>385</v>
      </c>
      <c r="B786" s="1">
        <v>43132</v>
      </c>
      <c r="C786" s="2">
        <v>0</v>
      </c>
      <c r="D786" s="2">
        <v>1440</v>
      </c>
      <c r="E786" t="s">
        <v>25</v>
      </c>
      <c r="F786" s="2">
        <v>1440</v>
      </c>
      <c r="G786" s="2"/>
      <c r="H786" s="2"/>
    </row>
    <row r="787" spans="1:8">
      <c r="A787" t="s">
        <v>386</v>
      </c>
      <c r="B787" s="1">
        <v>43132</v>
      </c>
      <c r="C787" s="2">
        <v>0</v>
      </c>
      <c r="D787" s="2">
        <v>1440</v>
      </c>
      <c r="E787" t="s">
        <v>25</v>
      </c>
      <c r="F787" s="2">
        <v>1440</v>
      </c>
      <c r="G787" s="2"/>
      <c r="H787" s="2"/>
    </row>
    <row r="788" spans="1:8">
      <c r="A788" t="s">
        <v>387</v>
      </c>
      <c r="B788" s="1">
        <v>43132</v>
      </c>
      <c r="C788" s="2">
        <v>0</v>
      </c>
      <c r="D788" s="2">
        <v>1440</v>
      </c>
      <c r="E788" t="s">
        <v>25</v>
      </c>
      <c r="F788" s="2">
        <v>1440</v>
      </c>
      <c r="G788" s="2"/>
      <c r="H788" s="2"/>
    </row>
    <row r="789" spans="1:8">
      <c r="A789" t="s">
        <v>388</v>
      </c>
      <c r="B789" s="1">
        <v>43132</v>
      </c>
      <c r="C789" s="2">
        <v>0</v>
      </c>
      <c r="D789" s="2">
        <v>1440</v>
      </c>
      <c r="E789" t="s">
        <v>25</v>
      </c>
      <c r="F789" s="2">
        <v>1440</v>
      </c>
      <c r="G789" s="2"/>
      <c r="H789" s="2"/>
    </row>
    <row r="790" spans="1:8">
      <c r="A790" t="s">
        <v>389</v>
      </c>
      <c r="B790" s="1">
        <v>43132</v>
      </c>
      <c r="C790" s="2">
        <v>0</v>
      </c>
      <c r="D790" s="2">
        <v>1440</v>
      </c>
      <c r="E790" t="s">
        <v>25</v>
      </c>
      <c r="F790" s="2">
        <v>1440</v>
      </c>
      <c r="G790" s="2"/>
      <c r="H790" s="2"/>
    </row>
    <row r="791" spans="1:8">
      <c r="A791" t="s">
        <v>390</v>
      </c>
      <c r="B791" s="1">
        <v>43132</v>
      </c>
      <c r="C791" s="2">
        <v>0</v>
      </c>
      <c r="D791" s="2">
        <v>1440</v>
      </c>
      <c r="E791" t="s">
        <v>25</v>
      </c>
      <c r="F791" s="2">
        <v>1440</v>
      </c>
      <c r="G791" s="2"/>
      <c r="H791" s="2"/>
    </row>
    <row r="792" spans="1:8">
      <c r="A792" t="s">
        <v>391</v>
      </c>
      <c r="B792" s="1">
        <v>43132</v>
      </c>
      <c r="C792" s="2">
        <v>0</v>
      </c>
      <c r="D792" s="2">
        <v>1440</v>
      </c>
      <c r="E792" t="s">
        <v>25</v>
      </c>
      <c r="F792" s="2">
        <v>1440</v>
      </c>
      <c r="G792" s="2"/>
      <c r="H792" s="2"/>
    </row>
    <row r="793" spans="1:8">
      <c r="A793" t="s">
        <v>392</v>
      </c>
      <c r="B793" s="1">
        <v>43132</v>
      </c>
      <c r="C793" s="2">
        <v>0</v>
      </c>
      <c r="D793" s="2">
        <v>1440</v>
      </c>
      <c r="E793" t="s">
        <v>25</v>
      </c>
      <c r="F793" s="2">
        <v>1440</v>
      </c>
      <c r="G793" s="2"/>
      <c r="H793" s="2"/>
    </row>
    <row r="794" spans="1:8">
      <c r="A794" t="s">
        <v>393</v>
      </c>
      <c r="B794" s="1">
        <v>43132</v>
      </c>
      <c r="C794" s="2">
        <v>0</v>
      </c>
      <c r="D794" s="2">
        <v>1440</v>
      </c>
      <c r="E794" t="s">
        <v>25</v>
      </c>
      <c r="F794" s="2">
        <v>1440</v>
      </c>
      <c r="G794" s="2"/>
      <c r="H794" s="2"/>
    </row>
    <row r="795" spans="1:8">
      <c r="A795" t="s">
        <v>394</v>
      </c>
      <c r="B795" s="1">
        <v>43132</v>
      </c>
      <c r="C795" s="2">
        <v>0</v>
      </c>
      <c r="D795" s="2">
        <v>1440</v>
      </c>
      <c r="E795" t="s">
        <v>25</v>
      </c>
      <c r="F795" s="2">
        <v>1440</v>
      </c>
      <c r="G795" s="2"/>
      <c r="H795" s="2"/>
    </row>
    <row r="796" spans="1:8">
      <c r="A796" t="s">
        <v>395</v>
      </c>
      <c r="B796" s="1">
        <v>43132</v>
      </c>
      <c r="C796" s="2">
        <v>0</v>
      </c>
      <c r="D796" s="2">
        <v>1440</v>
      </c>
      <c r="E796" t="s">
        <v>25</v>
      </c>
      <c r="F796" s="2">
        <v>1440</v>
      </c>
      <c r="G796" s="2"/>
      <c r="H796" s="2"/>
    </row>
    <row r="797" spans="1:8">
      <c r="A797" t="s">
        <v>396</v>
      </c>
      <c r="B797" s="1">
        <v>43132</v>
      </c>
      <c r="C797" s="2">
        <v>0</v>
      </c>
      <c r="D797" s="2">
        <v>1440</v>
      </c>
      <c r="E797" t="s">
        <v>25</v>
      </c>
      <c r="F797" s="2">
        <v>1440</v>
      </c>
      <c r="G797" s="2"/>
      <c r="H797" s="2"/>
    </row>
    <row r="798" spans="1:8">
      <c r="A798" t="s">
        <v>397</v>
      </c>
      <c r="B798" s="1">
        <v>43132</v>
      </c>
      <c r="C798" s="2">
        <v>0</v>
      </c>
      <c r="D798" s="2">
        <v>1440</v>
      </c>
      <c r="E798" t="s">
        <v>25</v>
      </c>
      <c r="F798" s="2">
        <v>1440</v>
      </c>
      <c r="G798" s="2"/>
      <c r="H798" s="2"/>
    </row>
    <row r="799" spans="1:8">
      <c r="A799" t="s">
        <v>398</v>
      </c>
      <c r="B799" s="1">
        <v>43132</v>
      </c>
      <c r="C799" s="2">
        <v>0</v>
      </c>
      <c r="D799" s="2">
        <v>1440</v>
      </c>
      <c r="E799" t="s">
        <v>25</v>
      </c>
      <c r="F799" s="2">
        <v>1440</v>
      </c>
      <c r="G799" s="2"/>
      <c r="H799" s="2"/>
    </row>
    <row r="800" spans="1:8">
      <c r="A800" t="s">
        <v>399</v>
      </c>
      <c r="B800" s="1">
        <v>43132</v>
      </c>
      <c r="C800" s="2">
        <v>0</v>
      </c>
      <c r="D800" s="2">
        <v>1440</v>
      </c>
      <c r="E800" t="s">
        <v>25</v>
      </c>
      <c r="F800" s="2">
        <v>1440</v>
      </c>
      <c r="G800" s="2"/>
      <c r="H800" s="2"/>
    </row>
    <row r="801" spans="1:8">
      <c r="A801" t="s">
        <v>400</v>
      </c>
      <c r="B801" s="1">
        <v>43132</v>
      </c>
      <c r="C801" s="2">
        <v>0</v>
      </c>
      <c r="D801" s="2">
        <v>1440</v>
      </c>
      <c r="E801" t="s">
        <v>25</v>
      </c>
      <c r="F801" s="2">
        <v>1440</v>
      </c>
      <c r="G801" s="2"/>
      <c r="H801" s="2"/>
    </row>
    <row r="802" spans="1:8">
      <c r="A802" t="s">
        <v>401</v>
      </c>
      <c r="B802" s="1">
        <v>43132</v>
      </c>
      <c r="C802" s="2">
        <v>0</v>
      </c>
      <c r="D802" s="2">
        <v>1440</v>
      </c>
      <c r="E802" t="s">
        <v>25</v>
      </c>
      <c r="F802" s="2">
        <v>1440</v>
      </c>
      <c r="G802" s="2"/>
      <c r="H802" s="2"/>
    </row>
    <row r="803" spans="1:8">
      <c r="A803" t="s">
        <v>402</v>
      </c>
      <c r="B803" s="1">
        <v>43132</v>
      </c>
      <c r="C803" s="2">
        <v>0</v>
      </c>
      <c r="D803" s="2">
        <v>1440</v>
      </c>
      <c r="E803" t="s">
        <v>25</v>
      </c>
      <c r="F803" s="2">
        <v>1440</v>
      </c>
      <c r="G803" s="2"/>
      <c r="H803" s="2"/>
    </row>
    <row r="804" spans="1:8">
      <c r="A804" t="s">
        <v>403</v>
      </c>
      <c r="B804" s="1">
        <v>43132</v>
      </c>
      <c r="C804" s="2">
        <v>0</v>
      </c>
      <c r="D804" s="2">
        <v>1440</v>
      </c>
      <c r="E804" t="s">
        <v>25</v>
      </c>
      <c r="F804" s="2">
        <v>1440</v>
      </c>
      <c r="G804" s="2"/>
      <c r="H804" s="2"/>
    </row>
    <row r="805" spans="1:8">
      <c r="A805" t="s">
        <v>404</v>
      </c>
      <c r="B805" s="1">
        <v>43132</v>
      </c>
      <c r="C805" s="2">
        <v>0</v>
      </c>
      <c r="D805" s="2">
        <v>1440</v>
      </c>
      <c r="E805" t="s">
        <v>25</v>
      </c>
      <c r="F805" s="2">
        <v>1440</v>
      </c>
      <c r="G805" s="2"/>
      <c r="H805" s="2"/>
    </row>
    <row r="806" spans="1:8">
      <c r="A806" t="s">
        <v>405</v>
      </c>
      <c r="B806" s="1">
        <v>43132</v>
      </c>
      <c r="C806" s="2">
        <v>0</v>
      </c>
      <c r="D806" s="2">
        <v>1440</v>
      </c>
      <c r="E806" t="s">
        <v>25</v>
      </c>
      <c r="F806" s="2">
        <v>1440</v>
      </c>
      <c r="G806" s="2"/>
      <c r="H806" s="2"/>
    </row>
    <row r="807" spans="1:8">
      <c r="A807" t="s">
        <v>406</v>
      </c>
      <c r="B807" s="1">
        <v>43132</v>
      </c>
      <c r="C807" s="2">
        <v>0</v>
      </c>
      <c r="D807" s="2">
        <v>1440</v>
      </c>
      <c r="E807" t="s">
        <v>25</v>
      </c>
      <c r="F807" s="2">
        <v>1440</v>
      </c>
      <c r="G807" s="2"/>
      <c r="H807" s="2"/>
    </row>
    <row r="808" spans="1:8">
      <c r="A808" t="s">
        <v>407</v>
      </c>
      <c r="B808" s="1">
        <v>43132</v>
      </c>
      <c r="C808" s="2">
        <v>0</v>
      </c>
      <c r="D808" s="2">
        <v>1440</v>
      </c>
      <c r="E808" t="s">
        <v>25</v>
      </c>
      <c r="F808" s="2">
        <v>1440</v>
      </c>
      <c r="G808" s="2"/>
      <c r="H808" s="2"/>
    </row>
    <row r="809" spans="1:8">
      <c r="A809" t="s">
        <v>408</v>
      </c>
      <c r="B809" s="1">
        <v>43132</v>
      </c>
      <c r="C809" s="2">
        <v>0</v>
      </c>
      <c r="D809" s="2">
        <v>1440</v>
      </c>
      <c r="E809" t="s">
        <v>25</v>
      </c>
      <c r="F809" s="2">
        <v>1440</v>
      </c>
      <c r="G809" s="2"/>
      <c r="H809" s="2"/>
    </row>
    <row r="810" spans="1:8">
      <c r="A810" t="s">
        <v>409</v>
      </c>
      <c r="B810" s="1">
        <v>43132</v>
      </c>
      <c r="C810" s="2">
        <v>0</v>
      </c>
      <c r="D810" s="2">
        <v>1440</v>
      </c>
      <c r="E810" t="s">
        <v>25</v>
      </c>
      <c r="F810" s="2">
        <v>1440</v>
      </c>
      <c r="G810" s="2"/>
      <c r="H810" s="2"/>
    </row>
    <row r="811" spans="1:8">
      <c r="A811" t="s">
        <v>410</v>
      </c>
      <c r="B811" s="1">
        <v>43132</v>
      </c>
      <c r="C811" s="2">
        <v>0</v>
      </c>
      <c r="D811" s="2">
        <v>1440</v>
      </c>
      <c r="E811" t="s">
        <v>25</v>
      </c>
      <c r="F811" s="2">
        <v>1440</v>
      </c>
      <c r="G811" s="2"/>
      <c r="H811" s="2"/>
    </row>
    <row r="812" spans="1:8">
      <c r="A812" t="s">
        <v>411</v>
      </c>
      <c r="B812" s="1">
        <v>43132</v>
      </c>
      <c r="C812" s="2">
        <v>0</v>
      </c>
      <c r="D812" s="2">
        <v>1440</v>
      </c>
      <c r="E812" t="s">
        <v>25</v>
      </c>
      <c r="F812" s="2">
        <v>1440</v>
      </c>
      <c r="G812" s="2"/>
      <c r="H812" s="2"/>
    </row>
    <row r="813" spans="1:8">
      <c r="A813" t="s">
        <v>412</v>
      </c>
      <c r="B813" s="1">
        <v>43132</v>
      </c>
      <c r="C813" s="2">
        <v>0</v>
      </c>
      <c r="D813" s="2">
        <v>1440</v>
      </c>
      <c r="E813" t="s">
        <v>25</v>
      </c>
      <c r="F813" s="2">
        <v>1440</v>
      </c>
      <c r="G813" s="2"/>
      <c r="H813" s="2"/>
    </row>
    <row r="814" spans="1:8">
      <c r="A814" t="s">
        <v>413</v>
      </c>
      <c r="B814" s="1">
        <v>43132</v>
      </c>
      <c r="C814" s="2">
        <v>0</v>
      </c>
      <c r="D814" s="2">
        <v>1440</v>
      </c>
      <c r="E814" t="s">
        <v>25</v>
      </c>
      <c r="F814" s="2">
        <v>1440</v>
      </c>
      <c r="G814" s="2"/>
      <c r="H814" s="2"/>
    </row>
    <row r="815" spans="1:8">
      <c r="A815" t="s">
        <v>414</v>
      </c>
      <c r="B815" s="1">
        <v>43132</v>
      </c>
      <c r="C815" s="2">
        <v>0</v>
      </c>
      <c r="D815" s="2">
        <v>1728</v>
      </c>
      <c r="E815" t="s">
        <v>25</v>
      </c>
      <c r="F815" s="2">
        <v>1728</v>
      </c>
      <c r="G815" s="2"/>
      <c r="H815" s="2"/>
    </row>
    <row r="816" spans="1:8">
      <c r="A816" t="s">
        <v>415</v>
      </c>
      <c r="B816" s="1">
        <v>43132</v>
      </c>
      <c r="C816" s="2">
        <v>0</v>
      </c>
      <c r="D816" s="2">
        <v>2448</v>
      </c>
      <c r="E816" t="s">
        <v>25</v>
      </c>
      <c r="F816" s="2">
        <v>2448</v>
      </c>
      <c r="G816" s="2"/>
      <c r="H816" s="2"/>
    </row>
    <row r="817" spans="1:8">
      <c r="A817" t="s">
        <v>416</v>
      </c>
      <c r="B817" s="1">
        <v>43132</v>
      </c>
      <c r="C817" s="2">
        <v>0</v>
      </c>
      <c r="D817" s="2">
        <v>2592</v>
      </c>
      <c r="E817" t="s">
        <v>25</v>
      </c>
      <c r="F817" s="2">
        <v>2592</v>
      </c>
      <c r="G817" s="2"/>
      <c r="H817" s="2"/>
    </row>
    <row r="818" spans="1:8">
      <c r="A818" t="s">
        <v>417</v>
      </c>
      <c r="B818" s="1">
        <v>43132</v>
      </c>
      <c r="C818" s="2">
        <v>0</v>
      </c>
      <c r="D818" s="2">
        <v>2592</v>
      </c>
      <c r="E818" t="s">
        <v>25</v>
      </c>
      <c r="F818" s="2">
        <v>2592</v>
      </c>
      <c r="G818" s="2"/>
      <c r="H818" s="2"/>
    </row>
    <row r="819" spans="1:8">
      <c r="A819" t="s">
        <v>418</v>
      </c>
      <c r="B819" s="1">
        <v>43132</v>
      </c>
      <c r="C819" s="2">
        <v>0</v>
      </c>
      <c r="D819" s="2">
        <v>2736</v>
      </c>
      <c r="E819" t="s">
        <v>25</v>
      </c>
      <c r="F819" s="2">
        <v>2736</v>
      </c>
      <c r="G819" s="2"/>
      <c r="H819" s="2"/>
    </row>
    <row r="820" spans="1:8">
      <c r="A820" t="s">
        <v>419</v>
      </c>
      <c r="B820" s="1">
        <v>43132</v>
      </c>
      <c r="C820" s="2">
        <v>0</v>
      </c>
      <c r="D820" s="2">
        <v>3024</v>
      </c>
      <c r="E820" t="s">
        <v>25</v>
      </c>
      <c r="F820" s="2">
        <v>3024</v>
      </c>
      <c r="G820" s="2"/>
      <c r="H820" s="2"/>
    </row>
    <row r="821" spans="1:8">
      <c r="A821" t="s">
        <v>420</v>
      </c>
      <c r="B821" s="1">
        <v>43132</v>
      </c>
      <c r="C821" s="2">
        <v>0</v>
      </c>
      <c r="D821" s="2">
        <v>3456</v>
      </c>
      <c r="E821" t="s">
        <v>25</v>
      </c>
      <c r="F821" s="2">
        <v>3456</v>
      </c>
      <c r="G821" s="2"/>
      <c r="H821" s="2"/>
    </row>
    <row r="822" spans="1:8">
      <c r="A822" t="s">
        <v>421</v>
      </c>
      <c r="B822" s="1">
        <v>43132</v>
      </c>
      <c r="C822" s="2">
        <v>0</v>
      </c>
      <c r="D822" s="2">
        <v>4524</v>
      </c>
      <c r="E822" t="s">
        <v>25</v>
      </c>
      <c r="F822" s="2">
        <v>4524</v>
      </c>
      <c r="G822" s="2"/>
      <c r="H822" s="2"/>
    </row>
    <row r="823" spans="1:8">
      <c r="A823" t="s">
        <v>422</v>
      </c>
      <c r="B823" s="1">
        <v>43132</v>
      </c>
      <c r="C823" s="2">
        <v>0</v>
      </c>
      <c r="D823" s="2">
        <v>5184</v>
      </c>
      <c r="E823" t="s">
        <v>25</v>
      </c>
      <c r="F823" s="2">
        <v>5184</v>
      </c>
      <c r="G823" s="2"/>
      <c r="H823" s="2"/>
    </row>
    <row r="824" spans="1:8">
      <c r="A824" t="s">
        <v>423</v>
      </c>
      <c r="B824" s="1">
        <v>43132</v>
      </c>
      <c r="C824" s="2">
        <v>0</v>
      </c>
      <c r="D824" s="2">
        <v>8616</v>
      </c>
      <c r="E824" t="s">
        <v>25</v>
      </c>
      <c r="F824" s="2">
        <v>8616</v>
      </c>
      <c r="G824" s="2"/>
      <c r="H824" s="2"/>
    </row>
    <row r="825" spans="1:8">
      <c r="A825" t="s">
        <v>424</v>
      </c>
      <c r="B825" s="1">
        <v>43132</v>
      </c>
      <c r="C825" s="2">
        <v>0</v>
      </c>
      <c r="D825" s="2">
        <v>11652</v>
      </c>
      <c r="E825" t="s">
        <v>25</v>
      </c>
      <c r="F825" s="2">
        <v>11652</v>
      </c>
      <c r="G825" s="2"/>
      <c r="H825" s="2"/>
    </row>
    <row r="826" spans="1:8">
      <c r="A826" t="s">
        <v>425</v>
      </c>
      <c r="B826" s="1">
        <v>43132</v>
      </c>
      <c r="C826" s="2">
        <v>0</v>
      </c>
      <c r="D826" s="2">
        <v>27300</v>
      </c>
      <c r="E826" t="s">
        <v>25</v>
      </c>
      <c r="F826" s="2">
        <v>27300</v>
      </c>
      <c r="G826" s="2"/>
      <c r="H826" s="2"/>
    </row>
    <row r="827" spans="1:8">
      <c r="A827" t="s">
        <v>208</v>
      </c>
      <c r="B827" s="1">
        <v>43132</v>
      </c>
      <c r="C827" s="2">
        <v>6504</v>
      </c>
      <c r="D827" s="2">
        <v>7956</v>
      </c>
      <c r="E827" t="s">
        <v>12</v>
      </c>
      <c r="F827" s="2">
        <v>1452</v>
      </c>
      <c r="G827" s="2"/>
      <c r="H827" s="2"/>
    </row>
    <row r="828" spans="1:8">
      <c r="A828" t="s">
        <v>202</v>
      </c>
      <c r="B828" s="1">
        <v>43132</v>
      </c>
      <c r="C828" s="2">
        <v>6768</v>
      </c>
      <c r="D828" s="2">
        <v>8352</v>
      </c>
      <c r="E828" t="s">
        <v>12</v>
      </c>
      <c r="F828" s="2">
        <v>1584</v>
      </c>
      <c r="G828" s="2"/>
      <c r="H828" s="2"/>
    </row>
    <row r="829" spans="1:8">
      <c r="A829" t="s">
        <v>360</v>
      </c>
      <c r="B829" s="1">
        <v>43132</v>
      </c>
      <c r="C829" s="2">
        <v>1872</v>
      </c>
      <c r="D829" s="2">
        <v>3456</v>
      </c>
      <c r="E829" t="s">
        <v>12</v>
      </c>
      <c r="F829" s="2">
        <v>1584</v>
      </c>
      <c r="G829" s="2"/>
      <c r="H829" s="2"/>
    </row>
    <row r="830" spans="1:8">
      <c r="A830" t="s">
        <v>196</v>
      </c>
      <c r="B830" s="1">
        <v>43132</v>
      </c>
      <c r="C830" s="2">
        <v>10068</v>
      </c>
      <c r="D830" s="2">
        <v>11916</v>
      </c>
      <c r="E830" t="s">
        <v>12</v>
      </c>
      <c r="F830" s="2">
        <v>1848</v>
      </c>
      <c r="G830" s="2"/>
      <c r="H830" s="2"/>
    </row>
    <row r="831" spans="1:8">
      <c r="A831" t="s">
        <v>426</v>
      </c>
      <c r="B831" s="1">
        <v>43132</v>
      </c>
      <c r="C831" s="2">
        <v>0</v>
      </c>
      <c r="D831" s="2">
        <v>2448</v>
      </c>
      <c r="E831" t="s">
        <v>72</v>
      </c>
      <c r="F831" s="2">
        <v>2448</v>
      </c>
      <c r="G831" s="2"/>
      <c r="H831" s="2"/>
    </row>
    <row r="832" spans="1:8">
      <c r="A832" t="s">
        <v>216</v>
      </c>
      <c r="B832" s="1">
        <v>43132</v>
      </c>
      <c r="C832" s="2">
        <v>15540</v>
      </c>
      <c r="D832" s="2">
        <v>18180</v>
      </c>
      <c r="E832" t="s">
        <v>12</v>
      </c>
      <c r="F832" s="2">
        <v>2640</v>
      </c>
      <c r="G832" s="2"/>
      <c r="H832" s="2"/>
    </row>
    <row r="833" spans="1:8">
      <c r="A833" t="s">
        <v>368</v>
      </c>
      <c r="B833" s="1">
        <v>43132</v>
      </c>
      <c r="C833" s="2">
        <v>9012</v>
      </c>
      <c r="D833" s="2">
        <v>11784</v>
      </c>
      <c r="E833" t="s">
        <v>12</v>
      </c>
      <c r="F833" s="2">
        <v>2772</v>
      </c>
      <c r="G833" s="2"/>
      <c r="H833" s="2"/>
    </row>
    <row r="834" spans="1:8">
      <c r="A834" t="s">
        <v>298</v>
      </c>
      <c r="B834" s="1">
        <v>43132</v>
      </c>
      <c r="C834" s="2">
        <v>1440</v>
      </c>
      <c r="D834" s="2">
        <v>4524</v>
      </c>
      <c r="E834" t="s">
        <v>12</v>
      </c>
      <c r="F834" s="2">
        <v>3084</v>
      </c>
      <c r="G834" s="2"/>
      <c r="H834" s="2"/>
    </row>
    <row r="835" spans="1:8">
      <c r="A835" t="s">
        <v>305</v>
      </c>
      <c r="B835" s="1">
        <v>43132</v>
      </c>
      <c r="C835" s="2">
        <v>3600</v>
      </c>
      <c r="D835" s="2">
        <v>6900</v>
      </c>
      <c r="E835" t="s">
        <v>12</v>
      </c>
      <c r="F835" s="2">
        <v>3300</v>
      </c>
      <c r="G835" s="2"/>
      <c r="H835" s="2"/>
    </row>
    <row r="836" spans="1:8">
      <c r="A836" t="s">
        <v>359</v>
      </c>
      <c r="B836" s="1">
        <v>43132</v>
      </c>
      <c r="C836" s="2">
        <v>1872</v>
      </c>
      <c r="D836" s="2">
        <v>5844</v>
      </c>
      <c r="E836" t="s">
        <v>12</v>
      </c>
      <c r="F836" s="2">
        <v>3972</v>
      </c>
      <c r="G836" s="2"/>
      <c r="H836" s="2"/>
    </row>
    <row r="837" spans="1:8">
      <c r="A837" t="s">
        <v>276</v>
      </c>
      <c r="B837" s="1">
        <v>43132</v>
      </c>
      <c r="C837" s="2">
        <v>2448</v>
      </c>
      <c r="D837" s="2">
        <v>6636</v>
      </c>
      <c r="E837" t="s">
        <v>12</v>
      </c>
      <c r="F837" s="2">
        <v>4188</v>
      </c>
      <c r="G837" s="2"/>
      <c r="H837" s="2"/>
    </row>
    <row r="838" spans="1:8">
      <c r="A838" t="s">
        <v>294</v>
      </c>
      <c r="B838" s="1">
        <v>43132</v>
      </c>
      <c r="C838" s="2">
        <v>3600</v>
      </c>
      <c r="D838" s="2">
        <v>7824</v>
      </c>
      <c r="E838" t="s">
        <v>12</v>
      </c>
      <c r="F838" s="2">
        <v>4224</v>
      </c>
      <c r="G838" s="2"/>
      <c r="H838" s="2"/>
    </row>
    <row r="839" spans="1:8">
      <c r="A839" t="s">
        <v>227</v>
      </c>
      <c r="B839" s="1">
        <v>43132</v>
      </c>
      <c r="C839" s="2">
        <v>2304</v>
      </c>
      <c r="D839" s="2">
        <v>6636</v>
      </c>
      <c r="E839" t="s">
        <v>12</v>
      </c>
      <c r="F839" s="2">
        <v>4332</v>
      </c>
      <c r="G839" s="2"/>
      <c r="H839" s="2"/>
    </row>
    <row r="840" spans="1:8">
      <c r="A840" t="s">
        <v>349</v>
      </c>
      <c r="B840" s="1">
        <v>43132</v>
      </c>
      <c r="C840" s="2">
        <v>1440</v>
      </c>
      <c r="D840" s="2">
        <v>5844</v>
      </c>
      <c r="E840" t="s">
        <v>12</v>
      </c>
      <c r="F840" s="2">
        <v>4404</v>
      </c>
      <c r="G840" s="2"/>
      <c r="H840" s="2"/>
    </row>
    <row r="841" spans="1:8">
      <c r="A841" t="s">
        <v>296</v>
      </c>
      <c r="B841" s="1">
        <v>43132</v>
      </c>
      <c r="C841" s="2">
        <v>6636</v>
      </c>
      <c r="D841" s="2">
        <v>11388</v>
      </c>
      <c r="E841" t="s">
        <v>12</v>
      </c>
      <c r="F841" s="2">
        <v>4752</v>
      </c>
      <c r="G841" s="2"/>
      <c r="H841" s="2"/>
    </row>
    <row r="842" spans="1:8">
      <c r="A842" t="s">
        <v>215</v>
      </c>
      <c r="B842" s="1">
        <v>43132</v>
      </c>
      <c r="C842" s="2">
        <v>15420</v>
      </c>
      <c r="D842" s="2">
        <v>20340</v>
      </c>
      <c r="E842" t="s">
        <v>12</v>
      </c>
      <c r="F842" s="2">
        <v>4920</v>
      </c>
      <c r="G842" s="2"/>
      <c r="H842" s="2"/>
    </row>
    <row r="843" spans="1:8">
      <c r="A843" t="s">
        <v>169</v>
      </c>
      <c r="B843" s="1">
        <v>43132</v>
      </c>
      <c r="C843" s="2">
        <v>13368</v>
      </c>
      <c r="D843" s="2">
        <v>18540</v>
      </c>
      <c r="E843" t="s">
        <v>12</v>
      </c>
      <c r="F843" s="2">
        <v>5172</v>
      </c>
      <c r="G843" s="2"/>
      <c r="H843" s="2"/>
    </row>
    <row r="844" spans="1:8">
      <c r="A844" t="s">
        <v>138</v>
      </c>
      <c r="B844" s="1">
        <v>43132</v>
      </c>
      <c r="C844" s="2">
        <v>1440</v>
      </c>
      <c r="D844" s="2">
        <v>7824</v>
      </c>
      <c r="E844" t="s">
        <v>12</v>
      </c>
      <c r="F844" s="2">
        <v>6384</v>
      </c>
      <c r="G844" s="2"/>
      <c r="H844" s="2"/>
    </row>
    <row r="845" spans="1:8">
      <c r="A845" t="s">
        <v>306</v>
      </c>
      <c r="B845" s="1">
        <v>43132</v>
      </c>
      <c r="C845" s="2">
        <v>14460</v>
      </c>
      <c r="D845" s="2">
        <v>22740</v>
      </c>
      <c r="E845" t="s">
        <v>12</v>
      </c>
      <c r="F845" s="2">
        <v>8280</v>
      </c>
      <c r="G845" s="2"/>
      <c r="H845" s="2"/>
    </row>
    <row r="846" spans="1:8">
      <c r="A846" t="s">
        <v>119</v>
      </c>
      <c r="B846" s="1">
        <v>43132</v>
      </c>
      <c r="C846" s="2">
        <v>1872</v>
      </c>
      <c r="D846" s="2">
        <v>13980</v>
      </c>
      <c r="E846" t="s">
        <v>12</v>
      </c>
      <c r="F846" s="2">
        <v>12108</v>
      </c>
      <c r="G846" s="2"/>
      <c r="H846" s="2"/>
    </row>
    <row r="847" spans="1:8">
      <c r="A847" t="s">
        <v>424</v>
      </c>
      <c r="B847" s="1">
        <v>43160</v>
      </c>
      <c r="C847" s="2">
        <v>11652</v>
      </c>
      <c r="D847" s="2">
        <v>0</v>
      </c>
      <c r="E847" t="s">
        <v>77</v>
      </c>
      <c r="F847" s="2">
        <v>-11652</v>
      </c>
      <c r="G847" s="2"/>
      <c r="H847" s="2"/>
    </row>
    <row r="848" spans="1:8">
      <c r="A848" t="s">
        <v>216</v>
      </c>
      <c r="B848" s="1">
        <v>43160</v>
      </c>
      <c r="C848" s="2">
        <v>18180</v>
      </c>
      <c r="D848" s="2">
        <v>8880</v>
      </c>
      <c r="E848" t="s">
        <v>14</v>
      </c>
      <c r="F848" s="2">
        <v>-9300</v>
      </c>
      <c r="G848" s="2"/>
      <c r="H848" s="2"/>
    </row>
    <row r="849" spans="1:8">
      <c r="A849" t="s">
        <v>215</v>
      </c>
      <c r="B849" s="1">
        <v>43160</v>
      </c>
      <c r="C849" s="2">
        <v>20340</v>
      </c>
      <c r="D849" s="2">
        <v>16380</v>
      </c>
      <c r="E849" t="s">
        <v>14</v>
      </c>
      <c r="F849" s="2">
        <v>-3960</v>
      </c>
      <c r="G849" s="2"/>
      <c r="H849" s="2"/>
    </row>
    <row r="850" spans="1:8">
      <c r="A850" t="s">
        <v>367</v>
      </c>
      <c r="B850" s="1">
        <v>43160</v>
      </c>
      <c r="C850" s="2">
        <v>2880</v>
      </c>
      <c r="D850" s="2">
        <v>0</v>
      </c>
      <c r="E850" t="s">
        <v>77</v>
      </c>
      <c r="F850" s="2">
        <v>-2880</v>
      </c>
      <c r="G850" s="2"/>
      <c r="H850" s="2"/>
    </row>
    <row r="851" spans="1:8">
      <c r="A851" t="s">
        <v>301</v>
      </c>
      <c r="B851" s="1">
        <v>43160</v>
      </c>
      <c r="C851" s="2">
        <v>5844</v>
      </c>
      <c r="D851" s="2">
        <v>3168</v>
      </c>
      <c r="E851" t="s">
        <v>14</v>
      </c>
      <c r="F851" s="2">
        <v>-2676</v>
      </c>
      <c r="G851" s="2"/>
      <c r="H851" s="2"/>
    </row>
    <row r="852" spans="1:8">
      <c r="A852" t="s">
        <v>138</v>
      </c>
      <c r="B852" s="1">
        <v>43160</v>
      </c>
      <c r="C852" s="2">
        <v>7824</v>
      </c>
      <c r="D852" s="2">
        <v>5448</v>
      </c>
      <c r="E852" t="s">
        <v>14</v>
      </c>
      <c r="F852" s="2">
        <v>-2376</v>
      </c>
      <c r="G852" s="2"/>
      <c r="H852" s="2"/>
    </row>
    <row r="853" spans="1:8">
      <c r="A853" t="s">
        <v>143</v>
      </c>
      <c r="B853" s="1">
        <v>43160</v>
      </c>
      <c r="C853" s="2">
        <v>5448</v>
      </c>
      <c r="D853" s="2">
        <v>3168</v>
      </c>
      <c r="E853" t="s">
        <v>14</v>
      </c>
      <c r="F853" s="2">
        <v>-2280</v>
      </c>
      <c r="G853" s="2"/>
      <c r="H853" s="2"/>
    </row>
    <row r="854" spans="1:8">
      <c r="A854" t="s">
        <v>169</v>
      </c>
      <c r="B854" s="1">
        <v>43160</v>
      </c>
      <c r="C854" s="2">
        <v>18540</v>
      </c>
      <c r="D854" s="2">
        <v>16380</v>
      </c>
      <c r="E854" t="s">
        <v>14</v>
      </c>
      <c r="F854" s="2">
        <v>-2160</v>
      </c>
      <c r="G854" s="2"/>
      <c r="H854" s="2"/>
    </row>
    <row r="855" spans="1:8">
      <c r="A855" t="s">
        <v>305</v>
      </c>
      <c r="B855" s="1">
        <v>43160</v>
      </c>
      <c r="C855" s="2">
        <v>6900</v>
      </c>
      <c r="D855" s="2">
        <v>5052</v>
      </c>
      <c r="E855" t="s">
        <v>14</v>
      </c>
      <c r="F855" s="2">
        <v>-1848</v>
      </c>
      <c r="G855" s="2"/>
      <c r="H855" s="2"/>
    </row>
    <row r="856" spans="1:8">
      <c r="A856" t="s">
        <v>276</v>
      </c>
      <c r="B856" s="1">
        <v>43160</v>
      </c>
      <c r="C856" s="2">
        <v>6636</v>
      </c>
      <c r="D856" s="2">
        <v>4788</v>
      </c>
      <c r="E856" t="s">
        <v>14</v>
      </c>
      <c r="F856" s="2">
        <v>-1848</v>
      </c>
      <c r="G856" s="2"/>
      <c r="H856" s="2"/>
    </row>
    <row r="857" spans="1:8">
      <c r="A857" t="s">
        <v>420</v>
      </c>
      <c r="B857" s="1">
        <v>43160</v>
      </c>
      <c r="C857" s="2">
        <v>3456</v>
      </c>
      <c r="D857" s="2">
        <v>1728</v>
      </c>
      <c r="E857" t="s">
        <v>14</v>
      </c>
      <c r="F857" s="2">
        <v>-1728</v>
      </c>
      <c r="G857" s="2"/>
      <c r="H857" s="2"/>
    </row>
    <row r="858" spans="1:8">
      <c r="A858" t="s">
        <v>202</v>
      </c>
      <c r="B858" s="1">
        <v>43160</v>
      </c>
      <c r="C858" s="2">
        <v>8352</v>
      </c>
      <c r="D858" s="2">
        <v>6900</v>
      </c>
      <c r="E858" t="s">
        <v>14</v>
      </c>
      <c r="F858" s="2">
        <v>-1452</v>
      </c>
      <c r="G858" s="2"/>
      <c r="H858" s="2"/>
    </row>
    <row r="859" spans="1:8">
      <c r="A859" t="s">
        <v>357</v>
      </c>
      <c r="B859" s="1">
        <v>43160</v>
      </c>
      <c r="C859" s="2">
        <v>1440</v>
      </c>
      <c r="D859" s="2">
        <v>0</v>
      </c>
      <c r="E859" t="s">
        <v>76</v>
      </c>
      <c r="F859" s="2">
        <v>-1440</v>
      </c>
      <c r="G859" s="2"/>
      <c r="H859" s="2"/>
    </row>
    <row r="860" spans="1:8">
      <c r="A860" t="s">
        <v>173</v>
      </c>
      <c r="B860" s="1">
        <v>43160</v>
      </c>
      <c r="C860" s="2">
        <v>1440</v>
      </c>
      <c r="D860" s="2">
        <v>0</v>
      </c>
      <c r="E860" t="s">
        <v>77</v>
      </c>
      <c r="F860" s="2">
        <v>-1440</v>
      </c>
      <c r="G860" s="2"/>
      <c r="H860" s="2"/>
    </row>
    <row r="861" spans="1:8">
      <c r="A861" t="s">
        <v>413</v>
      </c>
      <c r="B861" s="1">
        <v>43160</v>
      </c>
      <c r="C861" s="2">
        <v>1440</v>
      </c>
      <c r="D861" s="2">
        <v>0</v>
      </c>
      <c r="E861" t="s">
        <v>77</v>
      </c>
      <c r="F861" s="2">
        <v>-1440</v>
      </c>
      <c r="G861" s="2"/>
      <c r="H861" s="2"/>
    </row>
    <row r="862" spans="1:8">
      <c r="A862" t="s">
        <v>364</v>
      </c>
      <c r="B862" s="1">
        <v>43160</v>
      </c>
      <c r="C862" s="2">
        <v>3024</v>
      </c>
      <c r="D862" s="2">
        <v>1584</v>
      </c>
      <c r="E862" t="s">
        <v>14</v>
      </c>
      <c r="F862" s="2">
        <v>-1440</v>
      </c>
      <c r="G862" s="2"/>
      <c r="H862" s="2"/>
    </row>
    <row r="863" spans="1:8">
      <c r="A863" t="s">
        <v>141</v>
      </c>
      <c r="B863" s="1">
        <v>43160</v>
      </c>
      <c r="C863" s="2">
        <v>2736</v>
      </c>
      <c r="D863" s="2">
        <v>1584</v>
      </c>
      <c r="E863" t="s">
        <v>14</v>
      </c>
      <c r="F863" s="2">
        <v>-1152</v>
      </c>
      <c r="G863" s="2"/>
      <c r="H863" s="2"/>
    </row>
    <row r="864" spans="1:8">
      <c r="A864" t="s">
        <v>304</v>
      </c>
      <c r="B864" s="1">
        <v>43160</v>
      </c>
      <c r="C864" s="2">
        <v>10464</v>
      </c>
      <c r="D864" s="2">
        <v>9408</v>
      </c>
      <c r="E864" t="s">
        <v>14</v>
      </c>
      <c r="F864" s="2">
        <v>-1056</v>
      </c>
      <c r="G864" s="2"/>
      <c r="H864" s="2"/>
    </row>
    <row r="865" spans="1:8">
      <c r="A865" t="s">
        <v>415</v>
      </c>
      <c r="B865" s="1">
        <v>43160</v>
      </c>
      <c r="C865" s="2">
        <v>2448</v>
      </c>
      <c r="D865" s="2">
        <v>1440</v>
      </c>
      <c r="E865" t="s">
        <v>14</v>
      </c>
      <c r="F865" s="2">
        <v>-1008</v>
      </c>
      <c r="G865" s="2"/>
      <c r="H865" s="2"/>
    </row>
    <row r="866" spans="1:8">
      <c r="A866" t="s">
        <v>422</v>
      </c>
      <c r="B866" s="1">
        <v>43160</v>
      </c>
      <c r="C866" s="2">
        <v>5184</v>
      </c>
      <c r="D866" s="2">
        <v>4260</v>
      </c>
      <c r="E866" t="s">
        <v>14</v>
      </c>
      <c r="F866" s="2">
        <v>-924</v>
      </c>
      <c r="G866" s="2"/>
      <c r="H866" s="2"/>
    </row>
    <row r="867" spans="1:8">
      <c r="A867" t="s">
        <v>292</v>
      </c>
      <c r="B867" s="1">
        <v>43160</v>
      </c>
      <c r="C867" s="2">
        <v>3312</v>
      </c>
      <c r="D867" s="2">
        <v>2448</v>
      </c>
      <c r="E867" t="s">
        <v>14</v>
      </c>
      <c r="F867" s="2">
        <v>-864</v>
      </c>
      <c r="G867" s="2"/>
      <c r="H867" s="2"/>
    </row>
    <row r="868" spans="1:8">
      <c r="A868" t="s">
        <v>203</v>
      </c>
      <c r="B868" s="1">
        <v>43160</v>
      </c>
      <c r="C868" s="2">
        <v>4524</v>
      </c>
      <c r="D868" s="2">
        <v>3732</v>
      </c>
      <c r="E868" t="s">
        <v>14</v>
      </c>
      <c r="F868" s="2">
        <v>-792</v>
      </c>
      <c r="G868" s="2"/>
      <c r="H868" s="2"/>
    </row>
    <row r="869" spans="1:8">
      <c r="A869" t="s">
        <v>241</v>
      </c>
      <c r="B869" s="1">
        <v>43160</v>
      </c>
      <c r="C869" s="2">
        <v>2304</v>
      </c>
      <c r="D869" s="2">
        <v>1584</v>
      </c>
      <c r="E869" t="s">
        <v>14</v>
      </c>
      <c r="F869" s="2">
        <v>-720</v>
      </c>
      <c r="G869" s="2"/>
      <c r="H869" s="2"/>
    </row>
    <row r="870" spans="1:8">
      <c r="A870" t="s">
        <v>177</v>
      </c>
      <c r="B870" s="1">
        <v>43160</v>
      </c>
      <c r="C870" s="2">
        <v>2160</v>
      </c>
      <c r="D870" s="2">
        <v>1440</v>
      </c>
      <c r="E870" t="s">
        <v>14</v>
      </c>
      <c r="F870" s="2">
        <v>-720</v>
      </c>
      <c r="G870" s="2"/>
      <c r="H870" s="2"/>
    </row>
    <row r="871" spans="1:8">
      <c r="A871" t="s">
        <v>419</v>
      </c>
      <c r="B871" s="1">
        <v>43160</v>
      </c>
      <c r="C871" s="2">
        <v>3024</v>
      </c>
      <c r="D871" s="2">
        <v>2448</v>
      </c>
      <c r="E871" t="s">
        <v>14</v>
      </c>
      <c r="F871" s="2">
        <v>-576</v>
      </c>
      <c r="G871" s="2"/>
      <c r="H871" s="2"/>
    </row>
    <row r="872" spans="1:8">
      <c r="A872" t="s">
        <v>157</v>
      </c>
      <c r="B872" s="1">
        <v>43160</v>
      </c>
      <c r="C872" s="2">
        <v>2736</v>
      </c>
      <c r="D872" s="2">
        <v>2160</v>
      </c>
      <c r="E872" t="s">
        <v>14</v>
      </c>
      <c r="F872" s="2">
        <v>-576</v>
      </c>
      <c r="G872" s="2"/>
      <c r="H872" s="2"/>
    </row>
    <row r="873" spans="1:8">
      <c r="A873" t="s">
        <v>309</v>
      </c>
      <c r="B873" s="1">
        <v>43160</v>
      </c>
      <c r="C873" s="2">
        <v>3996</v>
      </c>
      <c r="D873" s="2">
        <v>3456</v>
      </c>
      <c r="E873" t="s">
        <v>14</v>
      </c>
      <c r="F873" s="2">
        <v>-540</v>
      </c>
      <c r="G873" s="2"/>
      <c r="H873" s="2"/>
    </row>
    <row r="874" spans="1:8">
      <c r="A874" t="s">
        <v>204</v>
      </c>
      <c r="B874" s="1">
        <v>43160</v>
      </c>
      <c r="C874" s="2">
        <v>4128</v>
      </c>
      <c r="D874" s="2">
        <v>3600</v>
      </c>
      <c r="E874" t="s">
        <v>14</v>
      </c>
      <c r="F874" s="2">
        <v>-528</v>
      </c>
      <c r="G874" s="2"/>
      <c r="H874" s="2"/>
    </row>
    <row r="875" spans="1:8">
      <c r="A875" t="s">
        <v>145</v>
      </c>
      <c r="B875" s="1">
        <v>43160</v>
      </c>
      <c r="C875" s="2">
        <v>20100</v>
      </c>
      <c r="D875" s="2">
        <v>19620</v>
      </c>
      <c r="E875" t="s">
        <v>14</v>
      </c>
      <c r="F875" s="2">
        <v>-480</v>
      </c>
      <c r="G875" s="2"/>
      <c r="H875" s="2"/>
    </row>
    <row r="876" spans="1:8">
      <c r="A876" t="s">
        <v>368</v>
      </c>
      <c r="B876" s="1">
        <v>43160</v>
      </c>
      <c r="C876" s="2">
        <v>11784</v>
      </c>
      <c r="D876" s="2">
        <v>11388</v>
      </c>
      <c r="E876" t="s">
        <v>14</v>
      </c>
      <c r="F876" s="2">
        <v>-396</v>
      </c>
      <c r="G876" s="2"/>
      <c r="H876" s="2"/>
    </row>
    <row r="877" spans="1:8">
      <c r="A877" t="s">
        <v>303</v>
      </c>
      <c r="B877" s="1">
        <v>43160</v>
      </c>
      <c r="C877" s="2">
        <v>4788</v>
      </c>
      <c r="D877" s="2">
        <v>4392</v>
      </c>
      <c r="E877" t="s">
        <v>14</v>
      </c>
      <c r="F877" s="2">
        <v>-396</v>
      </c>
      <c r="G877" s="2"/>
      <c r="H877" s="2"/>
    </row>
    <row r="878" spans="1:8">
      <c r="A878" t="s">
        <v>421</v>
      </c>
      <c r="B878" s="1">
        <v>43160</v>
      </c>
      <c r="C878" s="2">
        <v>4524</v>
      </c>
      <c r="D878" s="2">
        <v>4128</v>
      </c>
      <c r="E878" t="s">
        <v>14</v>
      </c>
      <c r="F878" s="2">
        <v>-396</v>
      </c>
      <c r="G878" s="2"/>
      <c r="H878" s="2"/>
    </row>
    <row r="879" spans="1:8">
      <c r="A879" t="s">
        <v>295</v>
      </c>
      <c r="B879" s="1">
        <v>43160</v>
      </c>
      <c r="C879" s="2">
        <v>3456</v>
      </c>
      <c r="D879" s="2">
        <v>3168</v>
      </c>
      <c r="E879" t="s">
        <v>14</v>
      </c>
      <c r="F879" s="2">
        <v>-288</v>
      </c>
      <c r="G879" s="2"/>
      <c r="H879" s="2"/>
    </row>
    <row r="880" spans="1:8">
      <c r="A880" t="s">
        <v>414</v>
      </c>
      <c r="B880" s="1">
        <v>43160</v>
      </c>
      <c r="C880" s="2">
        <v>1728</v>
      </c>
      <c r="D880" s="2">
        <v>1440</v>
      </c>
      <c r="E880" t="s">
        <v>14</v>
      </c>
      <c r="F880" s="2">
        <v>-288</v>
      </c>
      <c r="G880" s="2"/>
      <c r="H880" s="2"/>
    </row>
    <row r="881" spans="1:8">
      <c r="A881" t="s">
        <v>130</v>
      </c>
      <c r="B881" s="1">
        <v>43160</v>
      </c>
      <c r="C881" s="2">
        <v>1728</v>
      </c>
      <c r="D881" s="2">
        <v>1440</v>
      </c>
      <c r="E881" t="s">
        <v>14</v>
      </c>
      <c r="F881" s="2">
        <v>-288</v>
      </c>
      <c r="G881" s="2"/>
      <c r="H881" s="2"/>
    </row>
    <row r="882" spans="1:8">
      <c r="A882" t="s">
        <v>127</v>
      </c>
      <c r="B882" s="1">
        <v>43160</v>
      </c>
      <c r="C882" s="2">
        <v>1440</v>
      </c>
      <c r="D882" s="2">
        <v>1200</v>
      </c>
      <c r="E882" t="s">
        <v>14</v>
      </c>
      <c r="F882" s="2">
        <v>-240</v>
      </c>
      <c r="G882" s="2"/>
      <c r="H882" s="2"/>
    </row>
    <row r="883" spans="1:8">
      <c r="A883" t="s">
        <v>126</v>
      </c>
      <c r="B883" s="1">
        <v>43160</v>
      </c>
      <c r="C883" s="2">
        <v>1872</v>
      </c>
      <c r="D883" s="2">
        <v>1728</v>
      </c>
      <c r="E883" t="s">
        <v>14</v>
      </c>
      <c r="F883" s="2">
        <v>-144</v>
      </c>
      <c r="G883" s="2"/>
      <c r="H883" s="2"/>
    </row>
    <row r="884" spans="1:8">
      <c r="A884" t="s">
        <v>310</v>
      </c>
      <c r="B884" s="1">
        <v>43160</v>
      </c>
      <c r="C884" s="2">
        <v>11520</v>
      </c>
      <c r="D884" s="2">
        <v>11388</v>
      </c>
      <c r="E884" t="s">
        <v>14</v>
      </c>
      <c r="F884" s="2">
        <v>-132</v>
      </c>
      <c r="G884" s="2"/>
      <c r="H884" s="2"/>
    </row>
    <row r="885" spans="1:8">
      <c r="A885" t="s">
        <v>423</v>
      </c>
      <c r="B885" s="1">
        <v>43160</v>
      </c>
      <c r="C885" s="2">
        <v>8616</v>
      </c>
      <c r="D885" s="2">
        <v>8484</v>
      </c>
      <c r="E885" t="s">
        <v>14</v>
      </c>
      <c r="F885" s="2">
        <v>-132</v>
      </c>
      <c r="G885" s="2"/>
      <c r="H885" s="2"/>
    </row>
    <row r="886" spans="1:8">
      <c r="A886" t="s">
        <v>349</v>
      </c>
      <c r="B886" s="1">
        <v>43160</v>
      </c>
      <c r="C886" s="2">
        <v>5844</v>
      </c>
      <c r="D886" s="2">
        <v>5844</v>
      </c>
      <c r="E886" t="s">
        <v>73</v>
      </c>
      <c r="F886" s="2">
        <v>0</v>
      </c>
      <c r="G886" s="2"/>
      <c r="H886" s="2"/>
    </row>
    <row r="887" spans="1:8">
      <c r="A887" t="s">
        <v>146</v>
      </c>
      <c r="B887" s="1">
        <v>43160</v>
      </c>
      <c r="C887" s="2">
        <v>5316</v>
      </c>
      <c r="D887" s="2">
        <v>5316</v>
      </c>
      <c r="E887" t="s">
        <v>73</v>
      </c>
      <c r="F887" s="2">
        <v>0</v>
      </c>
      <c r="G887" s="2"/>
      <c r="H887" s="2"/>
    </row>
    <row r="888" spans="1:8">
      <c r="A888" t="s">
        <v>365</v>
      </c>
      <c r="B888" s="1">
        <v>43160</v>
      </c>
      <c r="C888" s="2">
        <v>3000</v>
      </c>
      <c r="D888" s="2">
        <v>3000</v>
      </c>
      <c r="E888" t="s">
        <v>73</v>
      </c>
      <c r="F888" s="2">
        <v>0</v>
      </c>
      <c r="G888" s="2"/>
      <c r="H888" s="2"/>
    </row>
    <row r="889" spans="1:8">
      <c r="A889" t="s">
        <v>363</v>
      </c>
      <c r="B889" s="1">
        <v>43160</v>
      </c>
      <c r="C889" s="2">
        <v>3000</v>
      </c>
      <c r="D889" s="2">
        <v>3000</v>
      </c>
      <c r="E889" t="s">
        <v>73</v>
      </c>
      <c r="F889" s="2">
        <v>0</v>
      </c>
      <c r="G889" s="2"/>
      <c r="H889" s="2"/>
    </row>
    <row r="890" spans="1:8">
      <c r="A890" t="s">
        <v>214</v>
      </c>
      <c r="B890" s="1">
        <v>43160</v>
      </c>
      <c r="C890" s="2">
        <v>2448</v>
      </c>
      <c r="D890" s="2">
        <v>2448</v>
      </c>
      <c r="E890" t="s">
        <v>73</v>
      </c>
      <c r="F890" s="2">
        <v>0</v>
      </c>
      <c r="G890" s="2"/>
      <c r="H890" s="2"/>
    </row>
    <row r="891" spans="1:8">
      <c r="A891" t="s">
        <v>234</v>
      </c>
      <c r="B891" s="1">
        <v>43160</v>
      </c>
      <c r="C891" s="2">
        <v>1584</v>
      </c>
      <c r="D891" s="2">
        <v>1584</v>
      </c>
      <c r="E891" t="s">
        <v>73</v>
      </c>
      <c r="F891" s="2">
        <v>0</v>
      </c>
      <c r="G891" s="2"/>
      <c r="H891" s="2"/>
    </row>
    <row r="892" spans="1:8">
      <c r="A892" t="s">
        <v>378</v>
      </c>
      <c r="B892" s="1">
        <v>43160</v>
      </c>
      <c r="C892" s="2">
        <v>1440</v>
      </c>
      <c r="D892" s="2">
        <v>1440</v>
      </c>
      <c r="E892" t="s">
        <v>73</v>
      </c>
      <c r="F892" s="2">
        <v>0</v>
      </c>
      <c r="G892" s="2"/>
      <c r="H892" s="2"/>
    </row>
    <row r="893" spans="1:8">
      <c r="A893" t="s">
        <v>155</v>
      </c>
      <c r="B893" s="1">
        <v>43160</v>
      </c>
      <c r="C893" s="2">
        <v>1440</v>
      </c>
      <c r="D893" s="2">
        <v>1440</v>
      </c>
      <c r="E893" t="s">
        <v>73</v>
      </c>
      <c r="F893" s="2">
        <v>0</v>
      </c>
      <c r="G893" s="2"/>
      <c r="H893" s="2"/>
    </row>
    <row r="894" spans="1:8">
      <c r="A894" t="s">
        <v>156</v>
      </c>
      <c r="B894" s="1">
        <v>43160</v>
      </c>
      <c r="C894" s="2">
        <v>1440</v>
      </c>
      <c r="D894" s="2">
        <v>1440</v>
      </c>
      <c r="E894" t="s">
        <v>73</v>
      </c>
      <c r="F894" s="2">
        <v>0</v>
      </c>
      <c r="G894" s="2"/>
      <c r="H894" s="2"/>
    </row>
    <row r="895" spans="1:8">
      <c r="A895" t="s">
        <v>158</v>
      </c>
      <c r="B895" s="1">
        <v>43160</v>
      </c>
      <c r="C895" s="2">
        <v>1440</v>
      </c>
      <c r="D895" s="2">
        <v>1440</v>
      </c>
      <c r="E895" t="s">
        <v>73</v>
      </c>
      <c r="F895" s="2">
        <v>0</v>
      </c>
      <c r="G895" s="2"/>
      <c r="H895" s="2"/>
    </row>
    <row r="896" spans="1:8">
      <c r="A896" t="s">
        <v>379</v>
      </c>
      <c r="B896" s="1">
        <v>43160</v>
      </c>
      <c r="C896" s="2">
        <v>1440</v>
      </c>
      <c r="D896" s="2">
        <v>1440</v>
      </c>
      <c r="E896" t="s">
        <v>73</v>
      </c>
      <c r="F896" s="2">
        <v>0</v>
      </c>
      <c r="G896" s="2"/>
      <c r="H896" s="2"/>
    </row>
    <row r="897" spans="1:8">
      <c r="A897" t="s">
        <v>123</v>
      </c>
      <c r="B897" s="1">
        <v>43160</v>
      </c>
      <c r="C897" s="2">
        <v>1440</v>
      </c>
      <c r="D897" s="2">
        <v>1440</v>
      </c>
      <c r="E897" t="s">
        <v>73</v>
      </c>
      <c r="F897" s="2">
        <v>0</v>
      </c>
      <c r="G897" s="2"/>
      <c r="H897" s="2"/>
    </row>
    <row r="898" spans="1:8">
      <c r="A898" t="s">
        <v>159</v>
      </c>
      <c r="B898" s="1">
        <v>43160</v>
      </c>
      <c r="C898" s="2">
        <v>1440</v>
      </c>
      <c r="D898" s="2">
        <v>1440</v>
      </c>
      <c r="E898" t="s">
        <v>73</v>
      </c>
      <c r="F898" s="2">
        <v>0</v>
      </c>
      <c r="G898" s="2"/>
      <c r="H898" s="2"/>
    </row>
    <row r="899" spans="1:8">
      <c r="A899" t="s">
        <v>228</v>
      </c>
      <c r="B899" s="1">
        <v>43160</v>
      </c>
      <c r="C899" s="2">
        <v>1440</v>
      </c>
      <c r="D899" s="2">
        <v>1440</v>
      </c>
      <c r="E899" t="s">
        <v>73</v>
      </c>
      <c r="F899" s="2">
        <v>0</v>
      </c>
      <c r="G899" s="2"/>
      <c r="H899" s="2"/>
    </row>
    <row r="900" spans="1:8">
      <c r="A900" t="s">
        <v>229</v>
      </c>
      <c r="B900" s="1">
        <v>43160</v>
      </c>
      <c r="C900" s="2">
        <v>1440</v>
      </c>
      <c r="D900" s="2">
        <v>1440</v>
      </c>
      <c r="E900" t="s">
        <v>73</v>
      </c>
      <c r="F900" s="2">
        <v>0</v>
      </c>
      <c r="G900" s="2"/>
      <c r="H900" s="2"/>
    </row>
    <row r="901" spans="1:8">
      <c r="A901" t="s">
        <v>320</v>
      </c>
      <c r="B901" s="1">
        <v>43160</v>
      </c>
      <c r="C901" s="2">
        <v>1440</v>
      </c>
      <c r="D901" s="2">
        <v>1440</v>
      </c>
      <c r="E901" t="s">
        <v>73</v>
      </c>
      <c r="F901" s="2">
        <v>0</v>
      </c>
      <c r="G901" s="2"/>
      <c r="H901" s="2"/>
    </row>
    <row r="902" spans="1:8">
      <c r="A902" t="s">
        <v>160</v>
      </c>
      <c r="B902" s="1">
        <v>43160</v>
      </c>
      <c r="C902" s="2">
        <v>1440</v>
      </c>
      <c r="D902" s="2">
        <v>1440</v>
      </c>
      <c r="E902" t="s">
        <v>73</v>
      </c>
      <c r="F902" s="2">
        <v>0</v>
      </c>
      <c r="G902" s="2"/>
      <c r="H902" s="2"/>
    </row>
    <row r="903" spans="1:8">
      <c r="A903" t="s">
        <v>321</v>
      </c>
      <c r="B903" s="1">
        <v>43160</v>
      </c>
      <c r="C903" s="2">
        <v>1440</v>
      </c>
      <c r="D903" s="2">
        <v>1440</v>
      </c>
      <c r="E903" t="s">
        <v>73</v>
      </c>
      <c r="F903" s="2">
        <v>0</v>
      </c>
      <c r="G903" s="2"/>
      <c r="H903" s="2"/>
    </row>
    <row r="904" spans="1:8">
      <c r="A904" t="s">
        <v>322</v>
      </c>
      <c r="B904" s="1">
        <v>43160</v>
      </c>
      <c r="C904" s="2">
        <v>1440</v>
      </c>
      <c r="D904" s="2">
        <v>1440</v>
      </c>
      <c r="E904" t="s">
        <v>73</v>
      </c>
      <c r="F904" s="2">
        <v>0</v>
      </c>
      <c r="G904" s="2"/>
      <c r="H904" s="2"/>
    </row>
    <row r="905" spans="1:8">
      <c r="A905" t="s">
        <v>231</v>
      </c>
      <c r="B905" s="1">
        <v>43160</v>
      </c>
      <c r="C905" s="2">
        <v>1440</v>
      </c>
      <c r="D905" s="2">
        <v>1440</v>
      </c>
      <c r="E905" t="s">
        <v>73</v>
      </c>
      <c r="F905" s="2">
        <v>0</v>
      </c>
      <c r="G905" s="2"/>
      <c r="H905" s="2"/>
    </row>
    <row r="906" spans="1:8">
      <c r="A906" t="s">
        <v>381</v>
      </c>
      <c r="B906" s="1">
        <v>43160</v>
      </c>
      <c r="C906" s="2">
        <v>1440</v>
      </c>
      <c r="D906" s="2">
        <v>1440</v>
      </c>
      <c r="E906" t="s">
        <v>73</v>
      </c>
      <c r="F906" s="2">
        <v>0</v>
      </c>
      <c r="G906" s="2"/>
      <c r="H906" s="2"/>
    </row>
    <row r="907" spans="1:8">
      <c r="A907" t="s">
        <v>199</v>
      </c>
      <c r="B907" s="1">
        <v>43160</v>
      </c>
      <c r="C907" s="2">
        <v>1440</v>
      </c>
      <c r="D907" s="2">
        <v>1440</v>
      </c>
      <c r="E907" t="s">
        <v>73</v>
      </c>
      <c r="F907" s="2">
        <v>0</v>
      </c>
      <c r="G907" s="2"/>
      <c r="H907" s="2"/>
    </row>
    <row r="908" spans="1:8">
      <c r="A908" t="s">
        <v>325</v>
      </c>
      <c r="B908" s="1">
        <v>43160</v>
      </c>
      <c r="C908" s="2">
        <v>1440</v>
      </c>
      <c r="D908" s="2">
        <v>1440</v>
      </c>
      <c r="E908" t="s">
        <v>73</v>
      </c>
      <c r="F908" s="2">
        <v>0</v>
      </c>
      <c r="G908" s="2"/>
      <c r="H908" s="2"/>
    </row>
    <row r="909" spans="1:8">
      <c r="A909" t="s">
        <v>326</v>
      </c>
      <c r="B909" s="1">
        <v>43160</v>
      </c>
      <c r="C909" s="2">
        <v>1440</v>
      </c>
      <c r="D909" s="2">
        <v>1440</v>
      </c>
      <c r="E909" t="s">
        <v>73</v>
      </c>
      <c r="F909" s="2">
        <v>0</v>
      </c>
      <c r="G909" s="2"/>
      <c r="H909" s="2"/>
    </row>
    <row r="910" spans="1:8">
      <c r="A910" t="s">
        <v>327</v>
      </c>
      <c r="B910" s="1">
        <v>43160</v>
      </c>
      <c r="C910" s="2">
        <v>1440</v>
      </c>
      <c r="D910" s="2">
        <v>1440</v>
      </c>
      <c r="E910" t="s">
        <v>73</v>
      </c>
      <c r="F910" s="2">
        <v>0</v>
      </c>
      <c r="G910" s="2"/>
      <c r="H910" s="2"/>
    </row>
    <row r="911" spans="1:8">
      <c r="A911" t="s">
        <v>161</v>
      </c>
      <c r="B911" s="1">
        <v>43160</v>
      </c>
      <c r="C911" s="2">
        <v>1440</v>
      </c>
      <c r="D911" s="2">
        <v>1440</v>
      </c>
      <c r="E911" t="s">
        <v>73</v>
      </c>
      <c r="F911" s="2">
        <v>0</v>
      </c>
      <c r="G911" s="2"/>
      <c r="H911" s="2"/>
    </row>
    <row r="912" spans="1:8">
      <c r="A912" t="s">
        <v>232</v>
      </c>
      <c r="B912" s="1">
        <v>43160</v>
      </c>
      <c r="C912" s="2">
        <v>1440</v>
      </c>
      <c r="D912" s="2">
        <v>1440</v>
      </c>
      <c r="E912" t="s">
        <v>73</v>
      </c>
      <c r="F912" s="2">
        <v>0</v>
      </c>
      <c r="G912" s="2"/>
      <c r="H912" s="2"/>
    </row>
    <row r="913" spans="1:8">
      <c r="A913" t="s">
        <v>162</v>
      </c>
      <c r="B913" s="1">
        <v>43160</v>
      </c>
      <c r="C913" s="2">
        <v>1440</v>
      </c>
      <c r="D913" s="2">
        <v>1440</v>
      </c>
      <c r="E913" t="s">
        <v>73</v>
      </c>
      <c r="F913" s="2">
        <v>0</v>
      </c>
      <c r="G913" s="2"/>
      <c r="H913" s="2"/>
    </row>
    <row r="914" spans="1:8">
      <c r="A914" t="s">
        <v>382</v>
      </c>
      <c r="B914" s="1">
        <v>43160</v>
      </c>
      <c r="C914" s="2">
        <v>1440</v>
      </c>
      <c r="D914" s="2">
        <v>1440</v>
      </c>
      <c r="E914" t="s">
        <v>73</v>
      </c>
      <c r="F914" s="2">
        <v>0</v>
      </c>
      <c r="G914" s="2"/>
      <c r="H914" s="2"/>
    </row>
    <row r="915" spans="1:8">
      <c r="A915" t="s">
        <v>330</v>
      </c>
      <c r="B915" s="1">
        <v>43160</v>
      </c>
      <c r="C915" s="2">
        <v>1440</v>
      </c>
      <c r="D915" s="2">
        <v>1440</v>
      </c>
      <c r="E915" t="s">
        <v>73</v>
      </c>
      <c r="F915" s="2">
        <v>0</v>
      </c>
      <c r="G915" s="2"/>
      <c r="H915" s="2"/>
    </row>
    <row r="916" spans="1:8">
      <c r="A916" t="s">
        <v>163</v>
      </c>
      <c r="B916" s="1">
        <v>43160</v>
      </c>
      <c r="C916" s="2">
        <v>1440</v>
      </c>
      <c r="D916" s="2">
        <v>1440</v>
      </c>
      <c r="E916" t="s">
        <v>73</v>
      </c>
      <c r="F916" s="2">
        <v>0</v>
      </c>
      <c r="G916" s="2"/>
      <c r="H916" s="2"/>
    </row>
    <row r="917" spans="1:8">
      <c r="A917" t="s">
        <v>331</v>
      </c>
      <c r="B917" s="1">
        <v>43160</v>
      </c>
      <c r="C917" s="2">
        <v>1440</v>
      </c>
      <c r="D917" s="2">
        <v>1440</v>
      </c>
      <c r="E917" t="s">
        <v>73</v>
      </c>
      <c r="F917" s="2">
        <v>0</v>
      </c>
      <c r="G917" s="2"/>
      <c r="H917" s="2"/>
    </row>
    <row r="918" spans="1:8">
      <c r="A918" t="s">
        <v>233</v>
      </c>
      <c r="B918" s="1">
        <v>43160</v>
      </c>
      <c r="C918" s="2">
        <v>1440</v>
      </c>
      <c r="D918" s="2">
        <v>1440</v>
      </c>
      <c r="E918" t="s">
        <v>73</v>
      </c>
      <c r="F918" s="2">
        <v>0</v>
      </c>
      <c r="G918" s="2"/>
      <c r="H918" s="2"/>
    </row>
    <row r="919" spans="1:8">
      <c r="A919" t="s">
        <v>383</v>
      </c>
      <c r="B919" s="1">
        <v>43160</v>
      </c>
      <c r="C919" s="2">
        <v>1440</v>
      </c>
      <c r="D919" s="2">
        <v>1440</v>
      </c>
      <c r="E919" t="s">
        <v>73</v>
      </c>
      <c r="F919" s="2">
        <v>0</v>
      </c>
      <c r="G919" s="2"/>
      <c r="H919" s="2"/>
    </row>
    <row r="920" spans="1:8">
      <c r="A920" t="s">
        <v>235</v>
      </c>
      <c r="B920" s="1">
        <v>43160</v>
      </c>
      <c r="C920" s="2">
        <v>1440</v>
      </c>
      <c r="D920" s="2">
        <v>1440</v>
      </c>
      <c r="E920" t="s">
        <v>73</v>
      </c>
      <c r="F920" s="2">
        <v>0</v>
      </c>
      <c r="G920" s="2"/>
      <c r="H920" s="2"/>
    </row>
    <row r="921" spans="1:8">
      <c r="A921" t="s">
        <v>124</v>
      </c>
      <c r="B921" s="1">
        <v>43160</v>
      </c>
      <c r="C921" s="2">
        <v>1440</v>
      </c>
      <c r="D921" s="2">
        <v>1440</v>
      </c>
      <c r="E921" t="s">
        <v>73</v>
      </c>
      <c r="F921" s="2">
        <v>0</v>
      </c>
      <c r="G921" s="2"/>
      <c r="H921" s="2"/>
    </row>
    <row r="922" spans="1:8">
      <c r="A922" t="s">
        <v>332</v>
      </c>
      <c r="B922" s="1">
        <v>43160</v>
      </c>
      <c r="C922" s="2">
        <v>1440</v>
      </c>
      <c r="D922" s="2">
        <v>1440</v>
      </c>
      <c r="E922" t="s">
        <v>73</v>
      </c>
      <c r="F922" s="2">
        <v>0</v>
      </c>
      <c r="G922" s="2"/>
      <c r="H922" s="2"/>
    </row>
    <row r="923" spans="1:8">
      <c r="A923" t="s">
        <v>165</v>
      </c>
      <c r="B923" s="1">
        <v>43160</v>
      </c>
      <c r="C923" s="2">
        <v>1440</v>
      </c>
      <c r="D923" s="2">
        <v>1440</v>
      </c>
      <c r="E923" t="s">
        <v>73</v>
      </c>
      <c r="F923" s="2">
        <v>0</v>
      </c>
      <c r="G923" s="2"/>
      <c r="H923" s="2"/>
    </row>
    <row r="924" spans="1:8">
      <c r="A924" t="s">
        <v>384</v>
      </c>
      <c r="B924" s="1">
        <v>43160</v>
      </c>
      <c r="C924" s="2">
        <v>1440</v>
      </c>
      <c r="D924" s="2">
        <v>1440</v>
      </c>
      <c r="E924" t="s">
        <v>73</v>
      </c>
      <c r="F924" s="2">
        <v>0</v>
      </c>
      <c r="G924" s="2"/>
      <c r="H924" s="2"/>
    </row>
    <row r="925" spans="1:8">
      <c r="A925" t="s">
        <v>166</v>
      </c>
      <c r="B925" s="1">
        <v>43160</v>
      </c>
      <c r="C925" s="2">
        <v>1440</v>
      </c>
      <c r="D925" s="2">
        <v>1440</v>
      </c>
      <c r="E925" t="s">
        <v>73</v>
      </c>
      <c r="F925" s="2">
        <v>0</v>
      </c>
      <c r="G925" s="2"/>
      <c r="H925" s="2"/>
    </row>
    <row r="926" spans="1:8">
      <c r="A926" t="s">
        <v>237</v>
      </c>
      <c r="B926" s="1">
        <v>43160</v>
      </c>
      <c r="C926" s="2">
        <v>1440</v>
      </c>
      <c r="D926" s="2">
        <v>1440</v>
      </c>
      <c r="E926" t="s">
        <v>73</v>
      </c>
      <c r="F926" s="2">
        <v>0</v>
      </c>
      <c r="G926" s="2"/>
      <c r="H926" s="2"/>
    </row>
    <row r="927" spans="1:8">
      <c r="A927" t="s">
        <v>385</v>
      </c>
      <c r="B927" s="1">
        <v>43160</v>
      </c>
      <c r="C927" s="2">
        <v>1440</v>
      </c>
      <c r="D927" s="2">
        <v>1440</v>
      </c>
      <c r="E927" t="s">
        <v>73</v>
      </c>
      <c r="F927" s="2">
        <v>0</v>
      </c>
      <c r="G927" s="2"/>
      <c r="H927" s="2"/>
    </row>
    <row r="928" spans="1:8">
      <c r="A928" t="s">
        <v>386</v>
      </c>
      <c r="B928" s="1">
        <v>43160</v>
      </c>
      <c r="C928" s="2">
        <v>1440</v>
      </c>
      <c r="D928" s="2">
        <v>1440</v>
      </c>
      <c r="E928" t="s">
        <v>73</v>
      </c>
      <c r="F928" s="2">
        <v>0</v>
      </c>
      <c r="G928" s="2"/>
      <c r="H928" s="2"/>
    </row>
    <row r="929" spans="1:8">
      <c r="A929" t="s">
        <v>238</v>
      </c>
      <c r="B929" s="1">
        <v>43160</v>
      </c>
      <c r="C929" s="2">
        <v>1440</v>
      </c>
      <c r="D929" s="2">
        <v>1440</v>
      </c>
      <c r="E929" t="s">
        <v>73</v>
      </c>
      <c r="F929" s="2">
        <v>0</v>
      </c>
      <c r="G929" s="2"/>
      <c r="H929" s="2"/>
    </row>
    <row r="930" spans="1:8">
      <c r="A930" t="s">
        <v>239</v>
      </c>
      <c r="B930" s="1">
        <v>43160</v>
      </c>
      <c r="C930" s="2">
        <v>1440</v>
      </c>
      <c r="D930" s="2">
        <v>1440</v>
      </c>
      <c r="E930" t="s">
        <v>73</v>
      </c>
      <c r="F930" s="2">
        <v>0</v>
      </c>
      <c r="G930" s="2"/>
      <c r="H930" s="2"/>
    </row>
    <row r="931" spans="1:8">
      <c r="A931" t="s">
        <v>167</v>
      </c>
      <c r="B931" s="1">
        <v>43160</v>
      </c>
      <c r="C931" s="2">
        <v>1440</v>
      </c>
      <c r="D931" s="2">
        <v>1440</v>
      </c>
      <c r="E931" t="s">
        <v>73</v>
      </c>
      <c r="F931" s="2">
        <v>0</v>
      </c>
      <c r="G931" s="2"/>
      <c r="H931" s="2"/>
    </row>
    <row r="932" spans="1:8">
      <c r="A932" t="s">
        <v>334</v>
      </c>
      <c r="B932" s="1">
        <v>43160</v>
      </c>
      <c r="C932" s="2">
        <v>1440</v>
      </c>
      <c r="D932" s="2">
        <v>1440</v>
      </c>
      <c r="E932" t="s">
        <v>73</v>
      </c>
      <c r="F932" s="2">
        <v>0</v>
      </c>
      <c r="G932" s="2"/>
      <c r="H932" s="2"/>
    </row>
    <row r="933" spans="1:8">
      <c r="A933" t="s">
        <v>168</v>
      </c>
      <c r="B933" s="1">
        <v>43160</v>
      </c>
      <c r="C933" s="2">
        <v>1440</v>
      </c>
      <c r="D933" s="2">
        <v>1440</v>
      </c>
      <c r="E933" t="s">
        <v>73</v>
      </c>
      <c r="F933" s="2">
        <v>0</v>
      </c>
      <c r="G933" s="2"/>
      <c r="H933" s="2"/>
    </row>
    <row r="934" spans="1:8">
      <c r="A934" t="s">
        <v>129</v>
      </c>
      <c r="B934" s="1">
        <v>43160</v>
      </c>
      <c r="C934" s="2">
        <v>1440</v>
      </c>
      <c r="D934" s="2">
        <v>1440</v>
      </c>
      <c r="E934" t="s">
        <v>73</v>
      </c>
      <c r="F934" s="2">
        <v>0</v>
      </c>
      <c r="G934" s="2"/>
      <c r="H934" s="2"/>
    </row>
    <row r="935" spans="1:8">
      <c r="A935" t="s">
        <v>388</v>
      </c>
      <c r="B935" s="1">
        <v>43160</v>
      </c>
      <c r="C935" s="2">
        <v>1440</v>
      </c>
      <c r="D935" s="2">
        <v>1440</v>
      </c>
      <c r="E935" t="s">
        <v>73</v>
      </c>
      <c r="F935" s="2">
        <v>0</v>
      </c>
      <c r="G935" s="2"/>
      <c r="H935" s="2"/>
    </row>
    <row r="936" spans="1:8">
      <c r="A936" t="s">
        <v>240</v>
      </c>
      <c r="B936" s="1">
        <v>43160</v>
      </c>
      <c r="C936" s="2">
        <v>1440</v>
      </c>
      <c r="D936" s="2">
        <v>1440</v>
      </c>
      <c r="E936" t="s">
        <v>73</v>
      </c>
      <c r="F936" s="2">
        <v>0</v>
      </c>
      <c r="G936" s="2"/>
      <c r="H936" s="2"/>
    </row>
    <row r="937" spans="1:8">
      <c r="A937" t="s">
        <v>335</v>
      </c>
      <c r="B937" s="1">
        <v>43160</v>
      </c>
      <c r="C937" s="2">
        <v>1440</v>
      </c>
      <c r="D937" s="2">
        <v>1440</v>
      </c>
      <c r="E937" t="s">
        <v>73</v>
      </c>
      <c r="F937" s="2">
        <v>0</v>
      </c>
      <c r="G937" s="2"/>
      <c r="H937" s="2"/>
    </row>
    <row r="938" spans="1:8">
      <c r="A938" t="s">
        <v>171</v>
      </c>
      <c r="B938" s="1">
        <v>43160</v>
      </c>
      <c r="C938" s="2">
        <v>1440</v>
      </c>
      <c r="D938" s="2">
        <v>1440</v>
      </c>
      <c r="E938" t="s">
        <v>73</v>
      </c>
      <c r="F938" s="2">
        <v>0</v>
      </c>
      <c r="G938" s="2"/>
      <c r="H938" s="2"/>
    </row>
    <row r="939" spans="1:8">
      <c r="A939" t="s">
        <v>336</v>
      </c>
      <c r="B939" s="1">
        <v>43160</v>
      </c>
      <c r="C939" s="2">
        <v>1440</v>
      </c>
      <c r="D939" s="2">
        <v>1440</v>
      </c>
      <c r="E939" t="s">
        <v>73</v>
      </c>
      <c r="F939" s="2">
        <v>0</v>
      </c>
      <c r="G939" s="2"/>
      <c r="H939" s="2"/>
    </row>
    <row r="940" spans="1:8">
      <c r="A940" t="s">
        <v>223</v>
      </c>
      <c r="B940" s="1">
        <v>43160</v>
      </c>
      <c r="C940" s="2">
        <v>1440</v>
      </c>
      <c r="D940" s="2">
        <v>1440</v>
      </c>
      <c r="E940" t="s">
        <v>73</v>
      </c>
      <c r="F940" s="2">
        <v>0</v>
      </c>
      <c r="G940" s="2"/>
      <c r="H940" s="2"/>
    </row>
    <row r="941" spans="1:8">
      <c r="A941" t="s">
        <v>337</v>
      </c>
      <c r="B941" s="1">
        <v>43160</v>
      </c>
      <c r="C941" s="2">
        <v>1440</v>
      </c>
      <c r="D941" s="2">
        <v>1440</v>
      </c>
      <c r="E941" t="s">
        <v>73</v>
      </c>
      <c r="F941" s="2">
        <v>0</v>
      </c>
      <c r="G941" s="2"/>
      <c r="H941" s="2"/>
    </row>
    <row r="942" spans="1:8">
      <c r="A942" t="s">
        <v>172</v>
      </c>
      <c r="B942" s="1">
        <v>43160</v>
      </c>
      <c r="C942" s="2">
        <v>1440</v>
      </c>
      <c r="D942" s="2">
        <v>1440</v>
      </c>
      <c r="E942" t="s">
        <v>73</v>
      </c>
      <c r="F942" s="2">
        <v>0</v>
      </c>
      <c r="G942" s="2"/>
      <c r="H942" s="2"/>
    </row>
    <row r="943" spans="1:8">
      <c r="A943" t="s">
        <v>242</v>
      </c>
      <c r="B943" s="1">
        <v>43160</v>
      </c>
      <c r="C943" s="2">
        <v>1440</v>
      </c>
      <c r="D943" s="2">
        <v>1440</v>
      </c>
      <c r="E943" t="s">
        <v>73</v>
      </c>
      <c r="F943" s="2">
        <v>0</v>
      </c>
      <c r="G943" s="2"/>
      <c r="H943" s="2"/>
    </row>
    <row r="944" spans="1:8">
      <c r="A944" t="s">
        <v>243</v>
      </c>
      <c r="B944" s="1">
        <v>43160</v>
      </c>
      <c r="C944" s="2">
        <v>1440</v>
      </c>
      <c r="D944" s="2">
        <v>1440</v>
      </c>
      <c r="E944" t="s">
        <v>73</v>
      </c>
      <c r="F944" s="2">
        <v>0</v>
      </c>
      <c r="G944" s="2"/>
      <c r="H944" s="2"/>
    </row>
    <row r="945" spans="1:8">
      <c r="A945" t="s">
        <v>174</v>
      </c>
      <c r="B945" s="1">
        <v>43160</v>
      </c>
      <c r="C945" s="2">
        <v>1440</v>
      </c>
      <c r="D945" s="2">
        <v>1440</v>
      </c>
      <c r="E945" t="s">
        <v>73</v>
      </c>
      <c r="F945" s="2">
        <v>0</v>
      </c>
      <c r="G945" s="2"/>
      <c r="H945" s="2"/>
    </row>
    <row r="946" spans="1:8">
      <c r="A946" t="s">
        <v>175</v>
      </c>
      <c r="B946" s="1">
        <v>43160</v>
      </c>
      <c r="C946" s="2">
        <v>1440</v>
      </c>
      <c r="D946" s="2">
        <v>1440</v>
      </c>
      <c r="E946" t="s">
        <v>73</v>
      </c>
      <c r="F946" s="2">
        <v>0</v>
      </c>
      <c r="G946" s="2"/>
      <c r="H946" s="2"/>
    </row>
    <row r="947" spans="1:8">
      <c r="A947" t="s">
        <v>176</v>
      </c>
      <c r="B947" s="1">
        <v>43160</v>
      </c>
      <c r="C947" s="2">
        <v>1440</v>
      </c>
      <c r="D947" s="2">
        <v>1440</v>
      </c>
      <c r="E947" t="s">
        <v>73</v>
      </c>
      <c r="F947" s="2">
        <v>0</v>
      </c>
      <c r="G947" s="2"/>
      <c r="H947" s="2"/>
    </row>
    <row r="948" spans="1:8">
      <c r="A948" t="s">
        <v>244</v>
      </c>
      <c r="B948" s="1">
        <v>43160</v>
      </c>
      <c r="C948" s="2">
        <v>1440</v>
      </c>
      <c r="D948" s="2">
        <v>1440</v>
      </c>
      <c r="E948" t="s">
        <v>73</v>
      </c>
      <c r="F948" s="2">
        <v>0</v>
      </c>
      <c r="G948" s="2"/>
      <c r="H948" s="2"/>
    </row>
    <row r="949" spans="1:8">
      <c r="A949" t="s">
        <v>245</v>
      </c>
      <c r="B949" s="1">
        <v>43160</v>
      </c>
      <c r="C949" s="2">
        <v>1440</v>
      </c>
      <c r="D949" s="2">
        <v>1440</v>
      </c>
      <c r="E949" t="s">
        <v>73</v>
      </c>
      <c r="F949" s="2">
        <v>0</v>
      </c>
      <c r="G949" s="2"/>
      <c r="H949" s="2"/>
    </row>
    <row r="950" spans="1:8">
      <c r="A950" t="s">
        <v>132</v>
      </c>
      <c r="B950" s="1">
        <v>43160</v>
      </c>
      <c r="C950" s="2">
        <v>1440</v>
      </c>
      <c r="D950" s="2">
        <v>1440</v>
      </c>
      <c r="E950" t="s">
        <v>73</v>
      </c>
      <c r="F950" s="2">
        <v>0</v>
      </c>
      <c r="G950" s="2"/>
      <c r="H950" s="2"/>
    </row>
    <row r="951" spans="1:8">
      <c r="A951" t="s">
        <v>338</v>
      </c>
      <c r="B951" s="1">
        <v>43160</v>
      </c>
      <c r="C951" s="2">
        <v>1440</v>
      </c>
      <c r="D951" s="2">
        <v>1440</v>
      </c>
      <c r="E951" t="s">
        <v>73</v>
      </c>
      <c r="F951" s="2">
        <v>0</v>
      </c>
      <c r="G951" s="2"/>
      <c r="H951" s="2"/>
    </row>
    <row r="952" spans="1:8">
      <c r="A952" t="s">
        <v>246</v>
      </c>
      <c r="B952" s="1">
        <v>43160</v>
      </c>
      <c r="C952" s="2">
        <v>1440</v>
      </c>
      <c r="D952" s="2">
        <v>1440</v>
      </c>
      <c r="E952" t="s">
        <v>73</v>
      </c>
      <c r="F952" s="2">
        <v>0</v>
      </c>
      <c r="G952" s="2"/>
      <c r="H952" s="2"/>
    </row>
    <row r="953" spans="1:8">
      <c r="A953" t="s">
        <v>339</v>
      </c>
      <c r="B953" s="1">
        <v>43160</v>
      </c>
      <c r="C953" s="2">
        <v>1440</v>
      </c>
      <c r="D953" s="2">
        <v>1440</v>
      </c>
      <c r="E953" t="s">
        <v>73</v>
      </c>
      <c r="F953" s="2">
        <v>0</v>
      </c>
      <c r="G953" s="2"/>
      <c r="H953" s="2"/>
    </row>
    <row r="954" spans="1:8">
      <c r="A954" t="s">
        <v>289</v>
      </c>
      <c r="B954" s="1">
        <v>43160</v>
      </c>
      <c r="C954" s="2">
        <v>1440</v>
      </c>
      <c r="D954" s="2">
        <v>1440</v>
      </c>
      <c r="E954" t="s">
        <v>73</v>
      </c>
      <c r="F954" s="2">
        <v>0</v>
      </c>
      <c r="G954" s="2"/>
      <c r="H954" s="2"/>
    </row>
    <row r="955" spans="1:8">
      <c r="A955" t="s">
        <v>178</v>
      </c>
      <c r="B955" s="1">
        <v>43160</v>
      </c>
      <c r="C955" s="2">
        <v>1440</v>
      </c>
      <c r="D955" s="2">
        <v>1440</v>
      </c>
      <c r="E955" t="s">
        <v>73</v>
      </c>
      <c r="F955" s="2">
        <v>0</v>
      </c>
      <c r="G955" s="2"/>
      <c r="H955" s="2"/>
    </row>
    <row r="956" spans="1:8">
      <c r="A956" t="s">
        <v>389</v>
      </c>
      <c r="B956" s="1">
        <v>43160</v>
      </c>
      <c r="C956" s="2">
        <v>1440</v>
      </c>
      <c r="D956" s="2">
        <v>1440</v>
      </c>
      <c r="E956" t="s">
        <v>73</v>
      </c>
      <c r="F956" s="2">
        <v>0</v>
      </c>
      <c r="G956" s="2"/>
      <c r="H956" s="2"/>
    </row>
    <row r="957" spans="1:8">
      <c r="A957" t="s">
        <v>249</v>
      </c>
      <c r="B957" s="1">
        <v>43160</v>
      </c>
      <c r="C957" s="2">
        <v>1440</v>
      </c>
      <c r="D957" s="2">
        <v>1440</v>
      </c>
      <c r="E957" t="s">
        <v>73</v>
      </c>
      <c r="F957" s="2">
        <v>0</v>
      </c>
      <c r="G957" s="2"/>
      <c r="H957" s="2"/>
    </row>
    <row r="958" spans="1:8">
      <c r="A958" t="s">
        <v>390</v>
      </c>
      <c r="B958" s="1">
        <v>43160</v>
      </c>
      <c r="C958" s="2">
        <v>1440</v>
      </c>
      <c r="D958" s="2">
        <v>1440</v>
      </c>
      <c r="E958" t="s">
        <v>73</v>
      </c>
      <c r="F958" s="2">
        <v>0</v>
      </c>
      <c r="G958" s="2"/>
      <c r="H958" s="2"/>
    </row>
    <row r="959" spans="1:8">
      <c r="A959" t="s">
        <v>391</v>
      </c>
      <c r="B959" s="1">
        <v>43160</v>
      </c>
      <c r="C959" s="2">
        <v>1440</v>
      </c>
      <c r="D959" s="2">
        <v>1440</v>
      </c>
      <c r="E959" t="s">
        <v>73</v>
      </c>
      <c r="F959" s="2">
        <v>0</v>
      </c>
      <c r="G959" s="2"/>
      <c r="H959" s="2"/>
    </row>
    <row r="960" spans="1:8">
      <c r="A960" t="s">
        <v>251</v>
      </c>
      <c r="B960" s="1">
        <v>43160</v>
      </c>
      <c r="C960" s="2">
        <v>1440</v>
      </c>
      <c r="D960" s="2">
        <v>1440</v>
      </c>
      <c r="E960" t="s">
        <v>73</v>
      </c>
      <c r="F960" s="2">
        <v>0</v>
      </c>
      <c r="G960" s="2"/>
      <c r="H960" s="2"/>
    </row>
    <row r="961" spans="1:8">
      <c r="A961" t="s">
        <v>252</v>
      </c>
      <c r="B961" s="1">
        <v>43160</v>
      </c>
      <c r="C961" s="2">
        <v>1440</v>
      </c>
      <c r="D961" s="2">
        <v>1440</v>
      </c>
      <c r="E961" t="s">
        <v>73</v>
      </c>
      <c r="F961" s="2">
        <v>0</v>
      </c>
      <c r="G961" s="2"/>
      <c r="H961" s="2"/>
    </row>
    <row r="962" spans="1:8">
      <c r="A962" t="s">
        <v>340</v>
      </c>
      <c r="B962" s="1">
        <v>43160</v>
      </c>
      <c r="C962" s="2">
        <v>1440</v>
      </c>
      <c r="D962" s="2">
        <v>1440</v>
      </c>
      <c r="E962" t="s">
        <v>73</v>
      </c>
      <c r="F962" s="2">
        <v>0</v>
      </c>
      <c r="G962" s="2"/>
      <c r="H962" s="2"/>
    </row>
    <row r="963" spans="1:8">
      <c r="A963" t="s">
        <v>341</v>
      </c>
      <c r="B963" s="1">
        <v>43160</v>
      </c>
      <c r="C963" s="2">
        <v>1440</v>
      </c>
      <c r="D963" s="2">
        <v>1440</v>
      </c>
      <c r="E963" t="s">
        <v>73</v>
      </c>
      <c r="F963" s="2">
        <v>0</v>
      </c>
      <c r="G963" s="2"/>
      <c r="H963" s="2"/>
    </row>
    <row r="964" spans="1:8">
      <c r="A964" t="s">
        <v>253</v>
      </c>
      <c r="B964" s="1">
        <v>43160</v>
      </c>
      <c r="C964" s="2">
        <v>1440</v>
      </c>
      <c r="D964" s="2">
        <v>1440</v>
      </c>
      <c r="E964" t="s">
        <v>73</v>
      </c>
      <c r="F964" s="2">
        <v>0</v>
      </c>
      <c r="G964" s="2"/>
      <c r="H964" s="2"/>
    </row>
    <row r="965" spans="1:8">
      <c r="A965" t="s">
        <v>133</v>
      </c>
      <c r="B965" s="1">
        <v>43160</v>
      </c>
      <c r="C965" s="2">
        <v>1440</v>
      </c>
      <c r="D965" s="2">
        <v>1440</v>
      </c>
      <c r="E965" t="s">
        <v>73</v>
      </c>
      <c r="F965" s="2">
        <v>0</v>
      </c>
      <c r="G965" s="2"/>
      <c r="H965" s="2"/>
    </row>
    <row r="966" spans="1:8">
      <c r="A966" t="s">
        <v>179</v>
      </c>
      <c r="B966" s="1">
        <v>43160</v>
      </c>
      <c r="C966" s="2">
        <v>1440</v>
      </c>
      <c r="D966" s="2">
        <v>1440</v>
      </c>
      <c r="E966" t="s">
        <v>73</v>
      </c>
      <c r="F966" s="2">
        <v>0</v>
      </c>
      <c r="G966" s="2"/>
      <c r="H966" s="2"/>
    </row>
    <row r="967" spans="1:8">
      <c r="A967" t="s">
        <v>343</v>
      </c>
      <c r="B967" s="1">
        <v>43160</v>
      </c>
      <c r="C967" s="2">
        <v>1440</v>
      </c>
      <c r="D967" s="2">
        <v>1440</v>
      </c>
      <c r="E967" t="s">
        <v>73</v>
      </c>
      <c r="F967" s="2">
        <v>0</v>
      </c>
      <c r="G967" s="2"/>
      <c r="H967" s="2"/>
    </row>
    <row r="968" spans="1:8">
      <c r="A968" t="s">
        <v>392</v>
      </c>
      <c r="B968" s="1">
        <v>43160</v>
      </c>
      <c r="C968" s="2">
        <v>1440</v>
      </c>
      <c r="D968" s="2">
        <v>1440</v>
      </c>
      <c r="E968" t="s">
        <v>73</v>
      </c>
      <c r="F968" s="2">
        <v>0</v>
      </c>
      <c r="G968" s="2"/>
      <c r="H968" s="2"/>
    </row>
    <row r="969" spans="1:8">
      <c r="A969" t="s">
        <v>344</v>
      </c>
      <c r="B969" s="1">
        <v>43160</v>
      </c>
      <c r="C969" s="2">
        <v>1440</v>
      </c>
      <c r="D969" s="2">
        <v>1440</v>
      </c>
      <c r="E969" t="s">
        <v>73</v>
      </c>
      <c r="F969" s="2">
        <v>0</v>
      </c>
      <c r="G969" s="2"/>
      <c r="H969" s="2"/>
    </row>
    <row r="970" spans="1:8">
      <c r="A970" t="s">
        <v>394</v>
      </c>
      <c r="B970" s="1">
        <v>43160</v>
      </c>
      <c r="C970" s="2">
        <v>1440</v>
      </c>
      <c r="D970" s="2">
        <v>1440</v>
      </c>
      <c r="E970" t="s">
        <v>73</v>
      </c>
      <c r="F970" s="2">
        <v>0</v>
      </c>
      <c r="G970" s="2"/>
      <c r="H970" s="2"/>
    </row>
    <row r="971" spans="1:8">
      <c r="A971" t="s">
        <v>255</v>
      </c>
      <c r="B971" s="1">
        <v>43160</v>
      </c>
      <c r="C971" s="2">
        <v>1440</v>
      </c>
      <c r="D971" s="2">
        <v>1440</v>
      </c>
      <c r="E971" t="s">
        <v>73</v>
      </c>
      <c r="F971" s="2">
        <v>0</v>
      </c>
      <c r="G971" s="2"/>
      <c r="H971" s="2"/>
    </row>
    <row r="972" spans="1:8">
      <c r="A972" t="s">
        <v>345</v>
      </c>
      <c r="B972" s="1">
        <v>43160</v>
      </c>
      <c r="C972" s="2">
        <v>1440</v>
      </c>
      <c r="D972" s="2">
        <v>1440</v>
      </c>
      <c r="E972" t="s">
        <v>73</v>
      </c>
      <c r="F972" s="2">
        <v>0</v>
      </c>
      <c r="G972" s="2"/>
      <c r="H972" s="2"/>
    </row>
    <row r="973" spans="1:8">
      <c r="A973" t="s">
        <v>256</v>
      </c>
      <c r="B973" s="1">
        <v>43160</v>
      </c>
      <c r="C973" s="2">
        <v>1440</v>
      </c>
      <c r="D973" s="2">
        <v>1440</v>
      </c>
      <c r="E973" t="s">
        <v>73</v>
      </c>
      <c r="F973" s="2">
        <v>0</v>
      </c>
      <c r="G973" s="2"/>
      <c r="H973" s="2"/>
    </row>
    <row r="974" spans="1:8">
      <c r="A974" t="s">
        <v>395</v>
      </c>
      <c r="B974" s="1">
        <v>43160</v>
      </c>
      <c r="C974" s="2">
        <v>1440</v>
      </c>
      <c r="D974" s="2">
        <v>1440</v>
      </c>
      <c r="E974" t="s">
        <v>73</v>
      </c>
      <c r="F974" s="2">
        <v>0</v>
      </c>
      <c r="G974" s="2"/>
      <c r="H974" s="2"/>
    </row>
    <row r="975" spans="1:8">
      <c r="A975" t="s">
        <v>257</v>
      </c>
      <c r="B975" s="1">
        <v>43160</v>
      </c>
      <c r="C975" s="2">
        <v>1440</v>
      </c>
      <c r="D975" s="2">
        <v>1440</v>
      </c>
      <c r="E975" t="s">
        <v>73</v>
      </c>
      <c r="F975" s="2">
        <v>0</v>
      </c>
      <c r="G975" s="2"/>
      <c r="H975" s="2"/>
    </row>
    <row r="976" spans="1:8">
      <c r="A976" t="s">
        <v>396</v>
      </c>
      <c r="B976" s="1">
        <v>43160</v>
      </c>
      <c r="C976" s="2">
        <v>1440</v>
      </c>
      <c r="D976" s="2">
        <v>1440</v>
      </c>
      <c r="E976" t="s">
        <v>73</v>
      </c>
      <c r="F976" s="2">
        <v>0</v>
      </c>
      <c r="G976" s="2"/>
      <c r="H976" s="2"/>
    </row>
    <row r="977" spans="1:8">
      <c r="A977" t="s">
        <v>258</v>
      </c>
      <c r="B977" s="1">
        <v>43160</v>
      </c>
      <c r="C977" s="2">
        <v>1440</v>
      </c>
      <c r="D977" s="2">
        <v>1440</v>
      </c>
      <c r="E977" t="s">
        <v>73</v>
      </c>
      <c r="F977" s="2">
        <v>0</v>
      </c>
      <c r="G977" s="2"/>
      <c r="H977" s="2"/>
    </row>
    <row r="978" spans="1:8">
      <c r="A978" t="s">
        <v>259</v>
      </c>
      <c r="B978" s="1">
        <v>43160</v>
      </c>
      <c r="C978" s="2">
        <v>1440</v>
      </c>
      <c r="D978" s="2">
        <v>1440</v>
      </c>
      <c r="E978" t="s">
        <v>73</v>
      </c>
      <c r="F978" s="2">
        <v>0</v>
      </c>
      <c r="G978" s="2"/>
      <c r="H978" s="2"/>
    </row>
    <row r="979" spans="1:8">
      <c r="A979" t="s">
        <v>374</v>
      </c>
      <c r="B979" s="1">
        <v>43160</v>
      </c>
      <c r="C979" s="2">
        <v>1440</v>
      </c>
      <c r="D979" s="2">
        <v>1440</v>
      </c>
      <c r="E979" t="s">
        <v>73</v>
      </c>
      <c r="F979" s="2">
        <v>0</v>
      </c>
      <c r="G979" s="2"/>
      <c r="H979" s="2"/>
    </row>
    <row r="980" spans="1:8">
      <c r="A980" t="s">
        <v>260</v>
      </c>
      <c r="B980" s="1">
        <v>43160</v>
      </c>
      <c r="C980" s="2">
        <v>1440</v>
      </c>
      <c r="D980" s="2">
        <v>1440</v>
      </c>
      <c r="E980" t="s">
        <v>73</v>
      </c>
      <c r="F980" s="2">
        <v>0</v>
      </c>
      <c r="G980" s="2"/>
      <c r="H980" s="2"/>
    </row>
    <row r="981" spans="1:8">
      <c r="A981" t="s">
        <v>183</v>
      </c>
      <c r="B981" s="1">
        <v>43160</v>
      </c>
      <c r="C981" s="2">
        <v>1440</v>
      </c>
      <c r="D981" s="2">
        <v>1440</v>
      </c>
      <c r="E981" t="s">
        <v>73</v>
      </c>
      <c r="F981" s="2">
        <v>0</v>
      </c>
      <c r="G981" s="2"/>
      <c r="H981" s="2"/>
    </row>
    <row r="982" spans="1:8">
      <c r="A982" t="s">
        <v>262</v>
      </c>
      <c r="B982" s="1">
        <v>43160</v>
      </c>
      <c r="C982" s="2">
        <v>1440</v>
      </c>
      <c r="D982" s="2">
        <v>1440</v>
      </c>
      <c r="E982" t="s">
        <v>73</v>
      </c>
      <c r="F982" s="2">
        <v>0</v>
      </c>
      <c r="G982" s="2"/>
      <c r="H982" s="2"/>
    </row>
    <row r="983" spans="1:8">
      <c r="A983" t="s">
        <v>184</v>
      </c>
      <c r="B983" s="1">
        <v>43160</v>
      </c>
      <c r="C983" s="2">
        <v>1440</v>
      </c>
      <c r="D983" s="2">
        <v>1440</v>
      </c>
      <c r="E983" t="s">
        <v>73</v>
      </c>
      <c r="F983" s="2">
        <v>0</v>
      </c>
      <c r="G983" s="2"/>
      <c r="H983" s="2"/>
    </row>
    <row r="984" spans="1:8">
      <c r="A984" t="s">
        <v>263</v>
      </c>
      <c r="B984" s="1">
        <v>43160</v>
      </c>
      <c r="C984" s="2">
        <v>1440</v>
      </c>
      <c r="D984" s="2">
        <v>1440</v>
      </c>
      <c r="E984" t="s">
        <v>73</v>
      </c>
      <c r="F984" s="2">
        <v>0</v>
      </c>
      <c r="G984" s="2"/>
      <c r="H984" s="2"/>
    </row>
    <row r="985" spans="1:8">
      <c r="A985" t="s">
        <v>264</v>
      </c>
      <c r="B985" s="1">
        <v>43160</v>
      </c>
      <c r="C985" s="2">
        <v>1440</v>
      </c>
      <c r="D985" s="2">
        <v>1440</v>
      </c>
      <c r="E985" t="s">
        <v>73</v>
      </c>
      <c r="F985" s="2">
        <v>0</v>
      </c>
      <c r="G985" s="2"/>
      <c r="H985" s="2"/>
    </row>
    <row r="986" spans="1:8">
      <c r="A986" t="s">
        <v>265</v>
      </c>
      <c r="B986" s="1">
        <v>43160</v>
      </c>
      <c r="C986" s="2">
        <v>1440</v>
      </c>
      <c r="D986" s="2">
        <v>1440</v>
      </c>
      <c r="E986" t="s">
        <v>73</v>
      </c>
      <c r="F986" s="2">
        <v>0</v>
      </c>
      <c r="G986" s="2"/>
      <c r="H986" s="2"/>
    </row>
    <row r="987" spans="1:8">
      <c r="A987" t="s">
        <v>266</v>
      </c>
      <c r="B987" s="1">
        <v>43160</v>
      </c>
      <c r="C987" s="2">
        <v>1440</v>
      </c>
      <c r="D987" s="2">
        <v>1440</v>
      </c>
      <c r="E987" t="s">
        <v>73</v>
      </c>
      <c r="F987" s="2">
        <v>0</v>
      </c>
      <c r="G987" s="2"/>
      <c r="H987" s="2"/>
    </row>
    <row r="988" spans="1:8">
      <c r="A988" t="s">
        <v>186</v>
      </c>
      <c r="B988" s="1">
        <v>43160</v>
      </c>
      <c r="C988" s="2">
        <v>1440</v>
      </c>
      <c r="D988" s="2">
        <v>1440</v>
      </c>
      <c r="E988" t="s">
        <v>73</v>
      </c>
      <c r="F988" s="2">
        <v>0</v>
      </c>
      <c r="G988" s="2"/>
      <c r="H988" s="2"/>
    </row>
    <row r="989" spans="1:8">
      <c r="A989" t="s">
        <v>290</v>
      </c>
      <c r="B989" s="1">
        <v>43160</v>
      </c>
      <c r="C989" s="2">
        <v>1440</v>
      </c>
      <c r="D989" s="2">
        <v>1440</v>
      </c>
      <c r="E989" t="s">
        <v>73</v>
      </c>
      <c r="F989" s="2">
        <v>0</v>
      </c>
      <c r="G989" s="2"/>
      <c r="H989" s="2"/>
    </row>
    <row r="990" spans="1:8">
      <c r="A990" t="s">
        <v>134</v>
      </c>
      <c r="B990" s="1">
        <v>43160</v>
      </c>
      <c r="C990" s="2">
        <v>1440</v>
      </c>
      <c r="D990" s="2">
        <v>1440</v>
      </c>
      <c r="E990" t="s">
        <v>73</v>
      </c>
      <c r="F990" s="2">
        <v>0</v>
      </c>
      <c r="G990" s="2"/>
      <c r="H990" s="2"/>
    </row>
    <row r="991" spans="1:8">
      <c r="A991" t="s">
        <v>313</v>
      </c>
      <c r="B991" s="1">
        <v>43160</v>
      </c>
      <c r="C991" s="2">
        <v>1440</v>
      </c>
      <c r="D991" s="2">
        <v>1440</v>
      </c>
      <c r="E991" t="s">
        <v>73</v>
      </c>
      <c r="F991" s="2">
        <v>0</v>
      </c>
      <c r="G991" s="2"/>
      <c r="H991" s="2"/>
    </row>
    <row r="992" spans="1:8">
      <c r="A992" t="s">
        <v>397</v>
      </c>
      <c r="B992" s="1">
        <v>43160</v>
      </c>
      <c r="C992" s="2">
        <v>1440</v>
      </c>
      <c r="D992" s="2">
        <v>1440</v>
      </c>
      <c r="E992" t="s">
        <v>73</v>
      </c>
      <c r="F992" s="2">
        <v>0</v>
      </c>
      <c r="G992" s="2"/>
      <c r="H992" s="2"/>
    </row>
    <row r="993" spans="1:8">
      <c r="A993" t="s">
        <v>187</v>
      </c>
      <c r="B993" s="1">
        <v>43160</v>
      </c>
      <c r="C993" s="2">
        <v>1440</v>
      </c>
      <c r="D993" s="2">
        <v>1440</v>
      </c>
      <c r="E993" t="s">
        <v>73</v>
      </c>
      <c r="F993" s="2">
        <v>0</v>
      </c>
      <c r="G993" s="2"/>
      <c r="H993" s="2"/>
    </row>
    <row r="994" spans="1:8">
      <c r="A994" t="s">
        <v>398</v>
      </c>
      <c r="B994" s="1">
        <v>43160</v>
      </c>
      <c r="C994" s="2">
        <v>1440</v>
      </c>
      <c r="D994" s="2">
        <v>1440</v>
      </c>
      <c r="E994" t="s">
        <v>73</v>
      </c>
      <c r="F994" s="2">
        <v>0</v>
      </c>
      <c r="G994" s="2"/>
      <c r="H994" s="2"/>
    </row>
    <row r="995" spans="1:8">
      <c r="A995" t="s">
        <v>267</v>
      </c>
      <c r="B995" s="1">
        <v>43160</v>
      </c>
      <c r="C995" s="2">
        <v>1440</v>
      </c>
      <c r="D995" s="2">
        <v>1440</v>
      </c>
      <c r="E995" t="s">
        <v>73</v>
      </c>
      <c r="F995" s="2">
        <v>0</v>
      </c>
      <c r="G995" s="2"/>
      <c r="H995" s="2"/>
    </row>
    <row r="996" spans="1:8">
      <c r="A996" t="s">
        <v>188</v>
      </c>
      <c r="B996" s="1">
        <v>43160</v>
      </c>
      <c r="C996" s="2">
        <v>1440</v>
      </c>
      <c r="D996" s="2">
        <v>1440</v>
      </c>
      <c r="E996" t="s">
        <v>73</v>
      </c>
      <c r="F996" s="2">
        <v>0</v>
      </c>
      <c r="G996" s="2"/>
      <c r="H996" s="2"/>
    </row>
    <row r="997" spans="1:8">
      <c r="A997" t="s">
        <v>399</v>
      </c>
      <c r="B997" s="1">
        <v>43160</v>
      </c>
      <c r="C997" s="2">
        <v>1440</v>
      </c>
      <c r="D997" s="2">
        <v>1440</v>
      </c>
      <c r="E997" t="s">
        <v>73</v>
      </c>
      <c r="F997" s="2">
        <v>0</v>
      </c>
      <c r="G997" s="2"/>
      <c r="H997" s="2"/>
    </row>
    <row r="998" spans="1:8">
      <c r="A998" t="s">
        <v>400</v>
      </c>
      <c r="B998" s="1">
        <v>43160</v>
      </c>
      <c r="C998" s="2">
        <v>1440</v>
      </c>
      <c r="D998" s="2">
        <v>1440</v>
      </c>
      <c r="E998" t="s">
        <v>73</v>
      </c>
      <c r="F998" s="2">
        <v>0</v>
      </c>
      <c r="G998" s="2"/>
      <c r="H998" s="2"/>
    </row>
    <row r="999" spans="1:8">
      <c r="A999" t="s">
        <v>401</v>
      </c>
      <c r="B999" s="1">
        <v>43160</v>
      </c>
      <c r="C999" s="2">
        <v>1440</v>
      </c>
      <c r="D999" s="2">
        <v>1440</v>
      </c>
      <c r="E999" t="s">
        <v>73</v>
      </c>
      <c r="F999" s="2">
        <v>0</v>
      </c>
      <c r="G999" s="2"/>
      <c r="H999" s="2"/>
    </row>
    <row r="1000" spans="1:8">
      <c r="A1000" t="s">
        <v>268</v>
      </c>
      <c r="B1000" s="1">
        <v>43160</v>
      </c>
      <c r="C1000" s="2">
        <v>1440</v>
      </c>
      <c r="D1000" s="2">
        <v>1440</v>
      </c>
      <c r="E1000" t="s">
        <v>73</v>
      </c>
      <c r="F1000" s="2">
        <v>0</v>
      </c>
      <c r="G1000" s="2"/>
      <c r="H1000" s="2"/>
    </row>
    <row r="1001" spans="1:8">
      <c r="A1001" t="s">
        <v>348</v>
      </c>
      <c r="B1001" s="1">
        <v>43160</v>
      </c>
      <c r="C1001" s="2">
        <v>1440</v>
      </c>
      <c r="D1001" s="2">
        <v>1440</v>
      </c>
      <c r="E1001" t="s">
        <v>73</v>
      </c>
      <c r="F1001" s="2">
        <v>0</v>
      </c>
      <c r="G1001" s="2"/>
      <c r="H1001" s="2"/>
    </row>
    <row r="1002" spans="1:8">
      <c r="A1002" t="s">
        <v>136</v>
      </c>
      <c r="B1002" s="1">
        <v>43160</v>
      </c>
      <c r="C1002" s="2">
        <v>1440</v>
      </c>
      <c r="D1002" s="2">
        <v>1440</v>
      </c>
      <c r="E1002" t="s">
        <v>73</v>
      </c>
      <c r="F1002" s="2">
        <v>0</v>
      </c>
      <c r="G1002" s="2"/>
      <c r="H1002" s="2"/>
    </row>
    <row r="1003" spans="1:8">
      <c r="A1003" t="s">
        <v>402</v>
      </c>
      <c r="B1003" s="1">
        <v>43160</v>
      </c>
      <c r="C1003" s="2">
        <v>1440</v>
      </c>
      <c r="D1003" s="2">
        <v>1440</v>
      </c>
      <c r="E1003" t="s">
        <v>73</v>
      </c>
      <c r="F1003" s="2">
        <v>0</v>
      </c>
      <c r="G1003" s="2"/>
      <c r="H1003" s="2"/>
    </row>
    <row r="1004" spans="1:8">
      <c r="A1004" t="s">
        <v>140</v>
      </c>
      <c r="B1004" s="1">
        <v>43160</v>
      </c>
      <c r="C1004" s="2">
        <v>1440</v>
      </c>
      <c r="D1004" s="2">
        <v>1440</v>
      </c>
      <c r="E1004" t="s">
        <v>73</v>
      </c>
      <c r="F1004" s="2">
        <v>0</v>
      </c>
      <c r="G1004" s="2"/>
      <c r="H1004" s="2"/>
    </row>
    <row r="1005" spans="1:8">
      <c r="A1005" t="s">
        <v>269</v>
      </c>
      <c r="B1005" s="1">
        <v>43160</v>
      </c>
      <c r="C1005" s="2">
        <v>1440</v>
      </c>
      <c r="D1005" s="2">
        <v>1440</v>
      </c>
      <c r="E1005" t="s">
        <v>73</v>
      </c>
      <c r="F1005" s="2">
        <v>0</v>
      </c>
      <c r="G1005" s="2"/>
      <c r="H1005" s="2"/>
    </row>
    <row r="1006" spans="1:8">
      <c r="A1006" t="s">
        <v>270</v>
      </c>
      <c r="B1006" s="1">
        <v>43160</v>
      </c>
      <c r="C1006" s="2">
        <v>1440</v>
      </c>
      <c r="D1006" s="2">
        <v>1440</v>
      </c>
      <c r="E1006" t="s">
        <v>73</v>
      </c>
      <c r="F1006" s="2">
        <v>0</v>
      </c>
      <c r="G1006" s="2"/>
      <c r="H1006" s="2"/>
    </row>
    <row r="1007" spans="1:8">
      <c r="A1007" t="s">
        <v>405</v>
      </c>
      <c r="B1007" s="1">
        <v>43160</v>
      </c>
      <c r="C1007" s="2">
        <v>1440</v>
      </c>
      <c r="D1007" s="2">
        <v>1440</v>
      </c>
      <c r="E1007" t="s">
        <v>73</v>
      </c>
      <c r="F1007" s="2">
        <v>0</v>
      </c>
      <c r="G1007" s="2"/>
      <c r="H1007" s="2"/>
    </row>
    <row r="1008" spans="1:8">
      <c r="A1008" t="s">
        <v>406</v>
      </c>
      <c r="B1008" s="1">
        <v>43160</v>
      </c>
      <c r="C1008" s="2">
        <v>1440</v>
      </c>
      <c r="D1008" s="2">
        <v>1440</v>
      </c>
      <c r="E1008" t="s">
        <v>73</v>
      </c>
      <c r="F1008" s="2">
        <v>0</v>
      </c>
      <c r="G1008" s="2"/>
      <c r="H1008" s="2"/>
    </row>
    <row r="1009" spans="1:8">
      <c r="A1009" t="s">
        <v>271</v>
      </c>
      <c r="B1009" s="1">
        <v>43160</v>
      </c>
      <c r="C1009" s="2">
        <v>1440</v>
      </c>
      <c r="D1009" s="2">
        <v>1440</v>
      </c>
      <c r="E1009" t="s">
        <v>73</v>
      </c>
      <c r="F1009" s="2">
        <v>0</v>
      </c>
      <c r="G1009" s="2"/>
      <c r="H1009" s="2"/>
    </row>
    <row r="1010" spans="1:8">
      <c r="A1010" t="s">
        <v>407</v>
      </c>
      <c r="B1010" s="1">
        <v>43160</v>
      </c>
      <c r="C1010" s="2">
        <v>1440</v>
      </c>
      <c r="D1010" s="2">
        <v>1440</v>
      </c>
      <c r="E1010" t="s">
        <v>73</v>
      </c>
      <c r="F1010" s="2">
        <v>0</v>
      </c>
      <c r="G1010" s="2"/>
      <c r="H1010" s="2"/>
    </row>
    <row r="1011" spans="1:8">
      <c r="A1011" t="s">
        <v>272</v>
      </c>
      <c r="B1011" s="1">
        <v>43160</v>
      </c>
      <c r="C1011" s="2">
        <v>1440</v>
      </c>
      <c r="D1011" s="2">
        <v>1440</v>
      </c>
      <c r="E1011" t="s">
        <v>73</v>
      </c>
      <c r="F1011" s="2">
        <v>0</v>
      </c>
      <c r="G1011" s="2"/>
      <c r="H1011" s="2"/>
    </row>
    <row r="1012" spans="1:8">
      <c r="A1012" t="s">
        <v>351</v>
      </c>
      <c r="B1012" s="1">
        <v>43160</v>
      </c>
      <c r="C1012" s="2">
        <v>1440</v>
      </c>
      <c r="D1012" s="2">
        <v>1440</v>
      </c>
      <c r="E1012" t="s">
        <v>73</v>
      </c>
      <c r="F1012" s="2">
        <v>0</v>
      </c>
      <c r="G1012" s="2"/>
      <c r="H1012" s="2"/>
    </row>
    <row r="1013" spans="1:8">
      <c r="A1013" t="s">
        <v>190</v>
      </c>
      <c r="B1013" s="1">
        <v>43160</v>
      </c>
      <c r="C1013" s="2">
        <v>1440</v>
      </c>
      <c r="D1013" s="2">
        <v>1440</v>
      </c>
      <c r="E1013" t="s">
        <v>73</v>
      </c>
      <c r="F1013" s="2">
        <v>0</v>
      </c>
      <c r="G1013" s="2"/>
      <c r="H1013" s="2"/>
    </row>
    <row r="1014" spans="1:8">
      <c r="A1014" t="s">
        <v>273</v>
      </c>
      <c r="B1014" s="1">
        <v>43160</v>
      </c>
      <c r="C1014" s="2">
        <v>1440</v>
      </c>
      <c r="D1014" s="2">
        <v>1440</v>
      </c>
      <c r="E1014" t="s">
        <v>73</v>
      </c>
      <c r="F1014" s="2">
        <v>0</v>
      </c>
      <c r="G1014" s="2"/>
      <c r="H1014" s="2"/>
    </row>
    <row r="1015" spans="1:8">
      <c r="A1015" t="s">
        <v>300</v>
      </c>
      <c r="B1015" s="1">
        <v>43160</v>
      </c>
      <c r="C1015" s="2">
        <v>1440</v>
      </c>
      <c r="D1015" s="2">
        <v>1440</v>
      </c>
      <c r="E1015" t="s">
        <v>73</v>
      </c>
      <c r="F1015" s="2">
        <v>0</v>
      </c>
      <c r="G1015" s="2"/>
      <c r="H1015" s="2"/>
    </row>
    <row r="1016" spans="1:8">
      <c r="A1016" t="s">
        <v>274</v>
      </c>
      <c r="B1016" s="1">
        <v>43160</v>
      </c>
      <c r="C1016" s="2">
        <v>1440</v>
      </c>
      <c r="D1016" s="2">
        <v>1440</v>
      </c>
      <c r="E1016" t="s">
        <v>73</v>
      </c>
      <c r="F1016" s="2">
        <v>0</v>
      </c>
      <c r="G1016" s="2"/>
      <c r="H1016" s="2"/>
    </row>
    <row r="1017" spans="1:8">
      <c r="A1017" t="s">
        <v>191</v>
      </c>
      <c r="B1017" s="1">
        <v>43160</v>
      </c>
      <c r="C1017" s="2">
        <v>1440</v>
      </c>
      <c r="D1017" s="2">
        <v>1440</v>
      </c>
      <c r="E1017" t="s">
        <v>73</v>
      </c>
      <c r="F1017" s="2">
        <v>0</v>
      </c>
      <c r="G1017" s="2"/>
      <c r="H1017" s="2"/>
    </row>
    <row r="1018" spans="1:8">
      <c r="A1018" t="s">
        <v>192</v>
      </c>
      <c r="B1018" s="1">
        <v>43160</v>
      </c>
      <c r="C1018" s="2">
        <v>1440</v>
      </c>
      <c r="D1018" s="2">
        <v>1440</v>
      </c>
      <c r="E1018" t="s">
        <v>73</v>
      </c>
      <c r="F1018" s="2">
        <v>0</v>
      </c>
      <c r="G1018" s="2"/>
      <c r="H1018" s="2"/>
    </row>
    <row r="1019" spans="1:8">
      <c r="A1019" t="s">
        <v>275</v>
      </c>
      <c r="B1019" s="1">
        <v>43160</v>
      </c>
      <c r="C1019" s="2">
        <v>1440</v>
      </c>
      <c r="D1019" s="2">
        <v>1440</v>
      </c>
      <c r="E1019" t="s">
        <v>73</v>
      </c>
      <c r="F1019" s="2">
        <v>0</v>
      </c>
      <c r="G1019" s="2"/>
      <c r="H1019" s="2"/>
    </row>
    <row r="1020" spans="1:8">
      <c r="A1020" t="s">
        <v>279</v>
      </c>
      <c r="B1020" s="1">
        <v>43160</v>
      </c>
      <c r="C1020" s="2">
        <v>1440</v>
      </c>
      <c r="D1020" s="2">
        <v>1440</v>
      </c>
      <c r="E1020" t="s">
        <v>73</v>
      </c>
      <c r="F1020" s="2">
        <v>0</v>
      </c>
      <c r="G1020" s="2"/>
      <c r="H1020" s="2"/>
    </row>
    <row r="1021" spans="1:8">
      <c r="A1021" t="s">
        <v>293</v>
      </c>
      <c r="B1021" s="1">
        <v>43160</v>
      </c>
      <c r="C1021" s="2">
        <v>1440</v>
      </c>
      <c r="D1021" s="2">
        <v>1440</v>
      </c>
      <c r="E1021" t="s">
        <v>73</v>
      </c>
      <c r="F1021" s="2">
        <v>0</v>
      </c>
      <c r="G1021" s="2"/>
      <c r="H1021" s="2"/>
    </row>
    <row r="1022" spans="1:8">
      <c r="A1022" t="s">
        <v>137</v>
      </c>
      <c r="B1022" s="1">
        <v>43160</v>
      </c>
      <c r="C1022" s="2">
        <v>1440</v>
      </c>
      <c r="D1022" s="2">
        <v>1440</v>
      </c>
      <c r="E1022" t="s">
        <v>73</v>
      </c>
      <c r="F1022" s="2">
        <v>0</v>
      </c>
      <c r="G1022" s="2"/>
      <c r="H1022" s="2"/>
    </row>
    <row r="1023" spans="1:8">
      <c r="A1023" t="s">
        <v>193</v>
      </c>
      <c r="B1023" s="1">
        <v>43160</v>
      </c>
      <c r="C1023" s="2">
        <v>1440</v>
      </c>
      <c r="D1023" s="2">
        <v>1440</v>
      </c>
      <c r="E1023" t="s">
        <v>73</v>
      </c>
      <c r="F1023" s="2">
        <v>0</v>
      </c>
      <c r="G1023" s="2"/>
      <c r="H1023" s="2"/>
    </row>
    <row r="1024" spans="1:8">
      <c r="A1024" t="s">
        <v>194</v>
      </c>
      <c r="B1024" s="1">
        <v>43160</v>
      </c>
      <c r="C1024" s="2">
        <v>1440</v>
      </c>
      <c r="D1024" s="2">
        <v>1440</v>
      </c>
      <c r="E1024" t="s">
        <v>73</v>
      </c>
      <c r="F1024" s="2">
        <v>0</v>
      </c>
      <c r="G1024" s="2"/>
      <c r="H1024" s="2"/>
    </row>
    <row r="1025" spans="1:8">
      <c r="A1025" t="s">
        <v>352</v>
      </c>
      <c r="B1025" s="1">
        <v>43160</v>
      </c>
      <c r="C1025" s="2">
        <v>1440</v>
      </c>
      <c r="D1025" s="2">
        <v>1440</v>
      </c>
      <c r="E1025" t="s">
        <v>73</v>
      </c>
      <c r="F1025" s="2">
        <v>0</v>
      </c>
      <c r="G1025" s="2"/>
      <c r="H1025" s="2"/>
    </row>
    <row r="1026" spans="1:8">
      <c r="A1026" t="s">
        <v>281</v>
      </c>
      <c r="B1026" s="1">
        <v>43160</v>
      </c>
      <c r="C1026" s="2">
        <v>1440</v>
      </c>
      <c r="D1026" s="2">
        <v>1440</v>
      </c>
      <c r="E1026" t="s">
        <v>73</v>
      </c>
      <c r="F1026" s="2">
        <v>0</v>
      </c>
      <c r="G1026" s="2"/>
      <c r="H1026" s="2"/>
    </row>
    <row r="1027" spans="1:8">
      <c r="A1027" t="s">
        <v>211</v>
      </c>
      <c r="B1027" s="1">
        <v>43160</v>
      </c>
      <c r="C1027" s="2">
        <v>1440</v>
      </c>
      <c r="D1027" s="2">
        <v>1440</v>
      </c>
      <c r="E1027" t="s">
        <v>73</v>
      </c>
      <c r="F1027" s="2">
        <v>0</v>
      </c>
      <c r="G1027" s="2"/>
      <c r="H1027" s="2"/>
    </row>
    <row r="1028" spans="1:8">
      <c r="A1028" t="s">
        <v>408</v>
      </c>
      <c r="B1028" s="1">
        <v>43160</v>
      </c>
      <c r="C1028" s="2">
        <v>1440</v>
      </c>
      <c r="D1028" s="2">
        <v>1440</v>
      </c>
      <c r="E1028" t="s">
        <v>73</v>
      </c>
      <c r="F1028" s="2">
        <v>0</v>
      </c>
      <c r="G1028" s="2"/>
      <c r="H1028" s="2"/>
    </row>
    <row r="1029" spans="1:8">
      <c r="A1029" t="s">
        <v>282</v>
      </c>
      <c r="B1029" s="1">
        <v>43160</v>
      </c>
      <c r="C1029" s="2">
        <v>1440</v>
      </c>
      <c r="D1029" s="2">
        <v>1440</v>
      </c>
      <c r="E1029" t="s">
        <v>73</v>
      </c>
      <c r="F1029" s="2">
        <v>0</v>
      </c>
      <c r="G1029" s="2"/>
      <c r="H1029" s="2"/>
    </row>
    <row r="1030" spans="1:8">
      <c r="A1030" t="s">
        <v>283</v>
      </c>
      <c r="B1030" s="1">
        <v>43160</v>
      </c>
      <c r="C1030" s="2">
        <v>1440</v>
      </c>
      <c r="D1030" s="2">
        <v>1440</v>
      </c>
      <c r="E1030" t="s">
        <v>73</v>
      </c>
      <c r="F1030" s="2">
        <v>0</v>
      </c>
      <c r="G1030" s="2"/>
      <c r="H1030" s="2"/>
    </row>
    <row r="1031" spans="1:8">
      <c r="A1031" t="s">
        <v>409</v>
      </c>
      <c r="B1031" s="1">
        <v>43160</v>
      </c>
      <c r="C1031" s="2">
        <v>1440</v>
      </c>
      <c r="D1031" s="2">
        <v>1440</v>
      </c>
      <c r="E1031" t="s">
        <v>73</v>
      </c>
      <c r="F1031" s="2">
        <v>0</v>
      </c>
      <c r="G1031" s="2"/>
      <c r="H1031" s="2"/>
    </row>
    <row r="1032" spans="1:8">
      <c r="A1032" t="s">
        <v>410</v>
      </c>
      <c r="B1032" s="1">
        <v>43160</v>
      </c>
      <c r="C1032" s="2">
        <v>1440</v>
      </c>
      <c r="D1032" s="2">
        <v>1440</v>
      </c>
      <c r="E1032" t="s">
        <v>73</v>
      </c>
      <c r="F1032" s="2">
        <v>0</v>
      </c>
      <c r="G1032" s="2"/>
      <c r="H1032" s="2"/>
    </row>
    <row r="1033" spans="1:8">
      <c r="A1033" t="s">
        <v>411</v>
      </c>
      <c r="B1033" s="1">
        <v>43160</v>
      </c>
      <c r="C1033" s="2">
        <v>1440</v>
      </c>
      <c r="D1033" s="2">
        <v>1440</v>
      </c>
      <c r="E1033" t="s">
        <v>73</v>
      </c>
      <c r="F1033" s="2">
        <v>0</v>
      </c>
      <c r="G1033" s="2"/>
      <c r="H1033" s="2"/>
    </row>
    <row r="1034" spans="1:8">
      <c r="A1034" t="s">
        <v>284</v>
      </c>
      <c r="B1034" s="1">
        <v>43160</v>
      </c>
      <c r="C1034" s="2">
        <v>1440</v>
      </c>
      <c r="D1034" s="2">
        <v>1440</v>
      </c>
      <c r="E1034" t="s">
        <v>73</v>
      </c>
      <c r="F1034" s="2">
        <v>0</v>
      </c>
      <c r="G1034" s="2"/>
      <c r="H1034" s="2"/>
    </row>
    <row r="1035" spans="1:8">
      <c r="A1035" t="s">
        <v>285</v>
      </c>
      <c r="B1035" s="1">
        <v>43160</v>
      </c>
      <c r="C1035" s="2">
        <v>1440</v>
      </c>
      <c r="D1035" s="2">
        <v>1440</v>
      </c>
      <c r="E1035" t="s">
        <v>73</v>
      </c>
      <c r="F1035" s="2">
        <v>0</v>
      </c>
      <c r="G1035" s="2"/>
      <c r="H1035" s="2"/>
    </row>
    <row r="1036" spans="1:8">
      <c r="A1036" t="s">
        <v>195</v>
      </c>
      <c r="B1036" s="1">
        <v>43160</v>
      </c>
      <c r="C1036" s="2">
        <v>1440</v>
      </c>
      <c r="D1036" s="2">
        <v>1440</v>
      </c>
      <c r="E1036" t="s">
        <v>73</v>
      </c>
      <c r="F1036" s="2">
        <v>0</v>
      </c>
      <c r="G1036" s="2"/>
      <c r="H1036" s="2"/>
    </row>
    <row r="1037" spans="1:8">
      <c r="A1037" t="s">
        <v>356</v>
      </c>
      <c r="B1037" s="1">
        <v>43160</v>
      </c>
      <c r="C1037" s="2">
        <v>1440</v>
      </c>
      <c r="D1037" s="2">
        <v>1440</v>
      </c>
      <c r="E1037" t="s">
        <v>73</v>
      </c>
      <c r="F1037" s="2">
        <v>0</v>
      </c>
      <c r="G1037" s="2"/>
      <c r="H1037" s="2"/>
    </row>
    <row r="1038" spans="1:8">
      <c r="A1038" t="s">
        <v>412</v>
      </c>
      <c r="B1038" s="1">
        <v>43160</v>
      </c>
      <c r="C1038" s="2">
        <v>1440</v>
      </c>
      <c r="D1038" s="2">
        <v>1440</v>
      </c>
      <c r="E1038" t="s">
        <v>73</v>
      </c>
      <c r="F1038" s="2">
        <v>0</v>
      </c>
      <c r="G1038" s="2"/>
      <c r="H1038" s="2"/>
    </row>
    <row r="1039" spans="1:8">
      <c r="A1039" t="s">
        <v>286</v>
      </c>
      <c r="B1039" s="1">
        <v>43160</v>
      </c>
      <c r="C1039" s="2">
        <v>1440</v>
      </c>
      <c r="D1039" s="2">
        <v>1440</v>
      </c>
      <c r="E1039" t="s">
        <v>73</v>
      </c>
      <c r="F1039" s="2">
        <v>0</v>
      </c>
      <c r="G1039" s="2"/>
      <c r="H1039" s="2"/>
    </row>
    <row r="1040" spans="1:8">
      <c r="A1040" t="s">
        <v>287</v>
      </c>
      <c r="B1040" s="1">
        <v>43160</v>
      </c>
      <c r="C1040" s="2">
        <v>1440</v>
      </c>
      <c r="D1040" s="2">
        <v>1440</v>
      </c>
      <c r="E1040" t="s">
        <v>73</v>
      </c>
      <c r="F1040" s="2">
        <v>0</v>
      </c>
      <c r="G1040" s="2"/>
      <c r="H1040" s="2"/>
    </row>
    <row r="1041" spans="1:8">
      <c r="A1041" t="s">
        <v>197</v>
      </c>
      <c r="B1041" s="1">
        <v>43160</v>
      </c>
      <c r="C1041" s="2">
        <v>1440</v>
      </c>
      <c r="D1041" s="2">
        <v>1440</v>
      </c>
      <c r="E1041" t="s">
        <v>73</v>
      </c>
      <c r="F1041" s="2">
        <v>0</v>
      </c>
      <c r="G1041" s="2"/>
      <c r="H1041" s="2"/>
    </row>
    <row r="1042" spans="1:8">
      <c r="A1042" t="s">
        <v>314</v>
      </c>
      <c r="B1042" s="1">
        <v>43160</v>
      </c>
      <c r="C1042" s="2">
        <v>1200</v>
      </c>
      <c r="D1042" s="2">
        <v>1200</v>
      </c>
      <c r="E1042" t="s">
        <v>73</v>
      </c>
      <c r="F1042" s="2">
        <v>0</v>
      </c>
      <c r="G1042" s="2"/>
      <c r="H1042" s="2"/>
    </row>
    <row r="1043" spans="1:8">
      <c r="A1043" t="s">
        <v>315</v>
      </c>
      <c r="B1043" s="1">
        <v>43160</v>
      </c>
      <c r="C1043" s="2">
        <v>1200</v>
      </c>
      <c r="D1043" s="2">
        <v>1200</v>
      </c>
      <c r="E1043" t="s">
        <v>73</v>
      </c>
      <c r="F1043" s="2">
        <v>0</v>
      </c>
      <c r="G1043" s="2"/>
      <c r="H1043" s="2"/>
    </row>
    <row r="1044" spans="1:8">
      <c r="A1044" t="s">
        <v>147</v>
      </c>
      <c r="B1044" s="1">
        <v>43160</v>
      </c>
      <c r="C1044" s="2">
        <v>1200</v>
      </c>
      <c r="D1044" s="2">
        <v>1200</v>
      </c>
      <c r="E1044" t="s">
        <v>73</v>
      </c>
      <c r="F1044" s="2">
        <v>0</v>
      </c>
      <c r="G1044" s="2"/>
      <c r="H1044" s="2"/>
    </row>
    <row r="1045" spans="1:8">
      <c r="A1045" t="s">
        <v>369</v>
      </c>
      <c r="B1045" s="1">
        <v>43160</v>
      </c>
      <c r="C1045" s="2">
        <v>1200</v>
      </c>
      <c r="D1045" s="2">
        <v>1200</v>
      </c>
      <c r="E1045" t="s">
        <v>73</v>
      </c>
      <c r="F1045" s="2">
        <v>0</v>
      </c>
      <c r="G1045" s="2"/>
      <c r="H1045" s="2"/>
    </row>
    <row r="1046" spans="1:8">
      <c r="A1046" t="s">
        <v>148</v>
      </c>
      <c r="B1046" s="1">
        <v>43160</v>
      </c>
      <c r="C1046" s="2">
        <v>1200</v>
      </c>
      <c r="D1046" s="2">
        <v>1200</v>
      </c>
      <c r="E1046" t="s">
        <v>73</v>
      </c>
      <c r="F1046" s="2">
        <v>0</v>
      </c>
      <c r="G1046" s="2"/>
      <c r="H1046" s="2"/>
    </row>
    <row r="1047" spans="1:8">
      <c r="A1047" t="s">
        <v>224</v>
      </c>
      <c r="B1047" s="1">
        <v>43160</v>
      </c>
      <c r="C1047" s="2">
        <v>1200</v>
      </c>
      <c r="D1047" s="2">
        <v>1200</v>
      </c>
      <c r="E1047" t="s">
        <v>73</v>
      </c>
      <c r="F1047" s="2">
        <v>0</v>
      </c>
      <c r="G1047" s="2"/>
      <c r="H1047" s="2"/>
    </row>
    <row r="1048" spans="1:8">
      <c r="A1048" t="s">
        <v>427</v>
      </c>
      <c r="B1048" s="1">
        <v>43160</v>
      </c>
      <c r="C1048" s="2">
        <v>1200</v>
      </c>
      <c r="D1048" s="2">
        <v>1200</v>
      </c>
      <c r="E1048" t="s">
        <v>73</v>
      </c>
      <c r="F1048" s="2">
        <v>0</v>
      </c>
      <c r="G1048" s="2"/>
      <c r="H1048" s="2"/>
    </row>
    <row r="1049" spans="1:8">
      <c r="A1049" t="s">
        <v>217</v>
      </c>
      <c r="B1049" s="1">
        <v>43160</v>
      </c>
      <c r="C1049" s="2">
        <v>1200</v>
      </c>
      <c r="D1049" s="2">
        <v>1200</v>
      </c>
      <c r="E1049" t="s">
        <v>73</v>
      </c>
      <c r="F1049" s="2">
        <v>0</v>
      </c>
      <c r="G1049" s="2"/>
      <c r="H1049" s="2"/>
    </row>
    <row r="1050" spans="1:8">
      <c r="A1050" t="s">
        <v>316</v>
      </c>
      <c r="B1050" s="1">
        <v>43160</v>
      </c>
      <c r="C1050" s="2">
        <v>1200</v>
      </c>
      <c r="D1050" s="2">
        <v>1200</v>
      </c>
      <c r="E1050" t="s">
        <v>73</v>
      </c>
      <c r="F1050" s="2">
        <v>0</v>
      </c>
      <c r="G1050" s="2"/>
      <c r="H1050" s="2"/>
    </row>
    <row r="1051" spans="1:8">
      <c r="A1051" t="s">
        <v>311</v>
      </c>
      <c r="B1051" s="1">
        <v>43160</v>
      </c>
      <c r="C1051" s="2">
        <v>1200</v>
      </c>
      <c r="D1051" s="2">
        <v>1200</v>
      </c>
      <c r="E1051" t="s">
        <v>73</v>
      </c>
      <c r="F1051" s="2">
        <v>0</v>
      </c>
      <c r="G1051" s="2"/>
      <c r="H1051" s="2"/>
    </row>
    <row r="1052" spans="1:8">
      <c r="A1052" t="s">
        <v>120</v>
      </c>
      <c r="B1052" s="1">
        <v>43160</v>
      </c>
      <c r="C1052" s="2">
        <v>1200</v>
      </c>
      <c r="D1052" s="2">
        <v>1200</v>
      </c>
      <c r="E1052" t="s">
        <v>73</v>
      </c>
      <c r="F1052" s="2">
        <v>0</v>
      </c>
      <c r="G1052" s="2"/>
      <c r="H1052" s="2"/>
    </row>
    <row r="1053" spans="1:8">
      <c r="A1053" t="s">
        <v>312</v>
      </c>
      <c r="B1053" s="1">
        <v>43160</v>
      </c>
      <c r="C1053" s="2">
        <v>1200</v>
      </c>
      <c r="D1053" s="2">
        <v>1200</v>
      </c>
      <c r="E1053" t="s">
        <v>73</v>
      </c>
      <c r="F1053" s="2">
        <v>0</v>
      </c>
      <c r="G1053" s="2"/>
      <c r="H1053" s="2"/>
    </row>
    <row r="1054" spans="1:8">
      <c r="A1054" t="s">
        <v>121</v>
      </c>
      <c r="B1054" s="1">
        <v>43160</v>
      </c>
      <c r="C1054" s="2">
        <v>1200</v>
      </c>
      <c r="D1054" s="2">
        <v>1200</v>
      </c>
      <c r="E1054" t="s">
        <v>73</v>
      </c>
      <c r="F1054" s="2">
        <v>0</v>
      </c>
      <c r="G1054" s="2"/>
      <c r="H1054" s="2"/>
    </row>
    <row r="1055" spans="1:8">
      <c r="A1055" t="s">
        <v>317</v>
      </c>
      <c r="B1055" s="1">
        <v>43160</v>
      </c>
      <c r="C1055" s="2">
        <v>1200</v>
      </c>
      <c r="D1055" s="2">
        <v>1200</v>
      </c>
      <c r="E1055" t="s">
        <v>73</v>
      </c>
      <c r="F1055" s="2">
        <v>0</v>
      </c>
      <c r="G1055" s="2"/>
      <c r="H1055" s="2"/>
    </row>
    <row r="1056" spans="1:8">
      <c r="A1056" t="s">
        <v>152</v>
      </c>
      <c r="B1056" s="1">
        <v>43160</v>
      </c>
      <c r="C1056" s="2">
        <v>1200</v>
      </c>
      <c r="D1056" s="2">
        <v>1200</v>
      </c>
      <c r="E1056" t="s">
        <v>73</v>
      </c>
      <c r="F1056" s="2">
        <v>0</v>
      </c>
      <c r="G1056" s="2"/>
      <c r="H1056" s="2"/>
    </row>
    <row r="1057" spans="1:8">
      <c r="A1057" t="s">
        <v>370</v>
      </c>
      <c r="B1057" s="1">
        <v>43160</v>
      </c>
      <c r="C1057" s="2">
        <v>1200</v>
      </c>
      <c r="D1057" s="2">
        <v>1200</v>
      </c>
      <c r="E1057" t="s">
        <v>73</v>
      </c>
      <c r="F1057" s="2">
        <v>0</v>
      </c>
      <c r="G1057" s="2"/>
      <c r="H1057" s="2"/>
    </row>
    <row r="1058" spans="1:8">
      <c r="A1058" t="s">
        <v>153</v>
      </c>
      <c r="B1058" s="1">
        <v>43160</v>
      </c>
      <c r="C1058" s="2">
        <v>1200</v>
      </c>
      <c r="D1058" s="2">
        <v>1200</v>
      </c>
      <c r="E1058" t="s">
        <v>73</v>
      </c>
      <c r="F1058" s="2">
        <v>0</v>
      </c>
      <c r="G1058" s="2"/>
      <c r="H1058" s="2"/>
    </row>
    <row r="1059" spans="1:8">
      <c r="A1059" t="s">
        <v>376</v>
      </c>
      <c r="B1059" s="1">
        <v>43160</v>
      </c>
      <c r="C1059" s="2">
        <v>1200</v>
      </c>
      <c r="D1059" s="2">
        <v>1200</v>
      </c>
      <c r="E1059" t="s">
        <v>73</v>
      </c>
      <c r="F1059" s="2">
        <v>0</v>
      </c>
      <c r="G1059" s="2"/>
      <c r="H1059" s="2"/>
    </row>
    <row r="1060" spans="1:8">
      <c r="A1060" t="s">
        <v>222</v>
      </c>
      <c r="B1060" s="1">
        <v>43160</v>
      </c>
      <c r="C1060" s="2">
        <v>1200</v>
      </c>
      <c r="D1060" s="2">
        <v>1200</v>
      </c>
      <c r="E1060" t="s">
        <v>73</v>
      </c>
      <c r="F1060" s="2">
        <v>0</v>
      </c>
      <c r="G1060" s="2"/>
      <c r="H1060" s="2"/>
    </row>
    <row r="1061" spans="1:8">
      <c r="A1061" t="s">
        <v>149</v>
      </c>
      <c r="B1061" s="1">
        <v>43160</v>
      </c>
      <c r="C1061" s="2">
        <v>1200</v>
      </c>
      <c r="D1061" s="2">
        <v>1200</v>
      </c>
      <c r="E1061" t="s">
        <v>73</v>
      </c>
      <c r="F1061" s="2">
        <v>0</v>
      </c>
      <c r="G1061" s="2"/>
      <c r="H1061" s="2"/>
    </row>
    <row r="1062" spans="1:8">
      <c r="A1062" t="s">
        <v>371</v>
      </c>
      <c r="B1062" s="1">
        <v>43160</v>
      </c>
      <c r="C1062" s="2">
        <v>1200</v>
      </c>
      <c r="D1062" s="2">
        <v>1200</v>
      </c>
      <c r="E1062" t="s">
        <v>73</v>
      </c>
      <c r="F1062" s="2">
        <v>0</v>
      </c>
      <c r="G1062" s="2"/>
      <c r="H1062" s="2"/>
    </row>
    <row r="1063" spans="1:8">
      <c r="A1063" t="s">
        <v>154</v>
      </c>
      <c r="B1063" s="1">
        <v>43160</v>
      </c>
      <c r="C1063" s="2">
        <v>1200</v>
      </c>
      <c r="D1063" s="2">
        <v>1200</v>
      </c>
      <c r="E1063" t="s">
        <v>73</v>
      </c>
      <c r="F1063" s="2">
        <v>0</v>
      </c>
      <c r="G1063" s="2"/>
      <c r="H1063" s="2"/>
    </row>
    <row r="1064" spans="1:8">
      <c r="A1064" t="s">
        <v>372</v>
      </c>
      <c r="B1064" s="1">
        <v>43160</v>
      </c>
      <c r="C1064" s="2">
        <v>1200</v>
      </c>
      <c r="D1064" s="2">
        <v>1200</v>
      </c>
      <c r="E1064" t="s">
        <v>73</v>
      </c>
      <c r="F1064" s="2">
        <v>0</v>
      </c>
      <c r="G1064" s="2"/>
      <c r="H1064" s="2"/>
    </row>
    <row r="1065" spans="1:8">
      <c r="A1065" t="s">
        <v>377</v>
      </c>
      <c r="B1065" s="1">
        <v>43160</v>
      </c>
      <c r="C1065" s="2">
        <v>1200</v>
      </c>
      <c r="D1065" s="2">
        <v>1200</v>
      </c>
      <c r="E1065" t="s">
        <v>73</v>
      </c>
      <c r="F1065" s="2">
        <v>0</v>
      </c>
      <c r="G1065" s="2"/>
      <c r="H1065" s="2"/>
    </row>
    <row r="1066" spans="1:8">
      <c r="A1066" t="s">
        <v>150</v>
      </c>
      <c r="B1066" s="1">
        <v>43160</v>
      </c>
      <c r="C1066" s="2">
        <v>1200</v>
      </c>
      <c r="D1066" s="2">
        <v>1200</v>
      </c>
      <c r="E1066" t="s">
        <v>73</v>
      </c>
      <c r="F1066" s="2">
        <v>0</v>
      </c>
      <c r="G1066" s="2"/>
      <c r="H1066" s="2"/>
    </row>
    <row r="1067" spans="1:8">
      <c r="A1067" t="s">
        <v>122</v>
      </c>
      <c r="B1067" s="1">
        <v>43160</v>
      </c>
      <c r="C1067" s="2">
        <v>1200</v>
      </c>
      <c r="D1067" s="2">
        <v>1200</v>
      </c>
      <c r="E1067" t="s">
        <v>73</v>
      </c>
      <c r="F1067" s="2">
        <v>0</v>
      </c>
      <c r="G1067" s="2"/>
      <c r="H1067" s="2"/>
    </row>
    <row r="1068" spans="1:8">
      <c r="A1068" t="s">
        <v>218</v>
      </c>
      <c r="B1068" s="1">
        <v>43160</v>
      </c>
      <c r="C1068" s="2">
        <v>1200</v>
      </c>
      <c r="D1068" s="2">
        <v>1200</v>
      </c>
      <c r="E1068" t="s">
        <v>73</v>
      </c>
      <c r="F1068" s="2">
        <v>0</v>
      </c>
      <c r="G1068" s="2"/>
      <c r="H1068" s="2"/>
    </row>
    <row r="1069" spans="1:8">
      <c r="A1069" t="s">
        <v>151</v>
      </c>
      <c r="B1069" s="1">
        <v>43160</v>
      </c>
      <c r="C1069" s="2">
        <v>1200</v>
      </c>
      <c r="D1069" s="2">
        <v>1200</v>
      </c>
      <c r="E1069" t="s">
        <v>73</v>
      </c>
      <c r="F1069" s="2">
        <v>0</v>
      </c>
      <c r="G1069" s="2"/>
      <c r="H1069" s="2"/>
    </row>
    <row r="1070" spans="1:8">
      <c r="A1070" t="s">
        <v>219</v>
      </c>
      <c r="B1070" s="1">
        <v>43160</v>
      </c>
      <c r="C1070" s="2">
        <v>1200</v>
      </c>
      <c r="D1070" s="2">
        <v>1200</v>
      </c>
      <c r="E1070" t="s">
        <v>73</v>
      </c>
      <c r="F1070" s="2">
        <v>0</v>
      </c>
      <c r="G1070" s="2"/>
      <c r="H1070" s="2"/>
    </row>
    <row r="1071" spans="1:8">
      <c r="A1071" t="s">
        <v>373</v>
      </c>
      <c r="B1071" s="1">
        <v>43160</v>
      </c>
      <c r="C1071" s="2">
        <v>1200</v>
      </c>
      <c r="D1071" s="2">
        <v>1200</v>
      </c>
      <c r="E1071" t="s">
        <v>73</v>
      </c>
      <c r="F1071" s="2">
        <v>0</v>
      </c>
      <c r="G1071" s="2"/>
      <c r="H1071" s="2"/>
    </row>
    <row r="1072" spans="1:8">
      <c r="A1072" t="s">
        <v>225</v>
      </c>
      <c r="B1072" s="1">
        <v>43160</v>
      </c>
      <c r="C1072" s="2">
        <v>1200</v>
      </c>
      <c r="D1072" s="2">
        <v>1200</v>
      </c>
      <c r="E1072" t="s">
        <v>73</v>
      </c>
      <c r="F1072" s="2">
        <v>0</v>
      </c>
      <c r="G1072" s="2"/>
      <c r="H1072" s="2"/>
    </row>
    <row r="1073" spans="1:8">
      <c r="A1073" t="s">
        <v>118</v>
      </c>
      <c r="B1073" s="1">
        <v>43160</v>
      </c>
      <c r="C1073" s="2">
        <v>1200</v>
      </c>
      <c r="D1073" s="2">
        <v>1200</v>
      </c>
      <c r="E1073" t="s">
        <v>73</v>
      </c>
      <c r="F1073" s="2">
        <v>0</v>
      </c>
      <c r="G1073" s="2"/>
      <c r="H1073" s="2"/>
    </row>
    <row r="1074" spans="1:8">
      <c r="A1074" t="s">
        <v>220</v>
      </c>
      <c r="B1074" s="1">
        <v>43160</v>
      </c>
      <c r="C1074" s="2">
        <v>1200</v>
      </c>
      <c r="D1074" s="2">
        <v>1200</v>
      </c>
      <c r="E1074" t="s">
        <v>73</v>
      </c>
      <c r="F1074" s="2">
        <v>0</v>
      </c>
      <c r="G1074" s="2"/>
      <c r="H1074" s="2"/>
    </row>
    <row r="1075" spans="1:8">
      <c r="A1075" t="s">
        <v>221</v>
      </c>
      <c r="B1075" s="1">
        <v>43160</v>
      </c>
      <c r="C1075" s="2">
        <v>1200</v>
      </c>
      <c r="D1075" s="2">
        <v>1200</v>
      </c>
      <c r="E1075" t="s">
        <v>73</v>
      </c>
      <c r="F1075" s="2">
        <v>0</v>
      </c>
      <c r="G1075" s="2"/>
      <c r="H1075" s="2"/>
    </row>
    <row r="1076" spans="1:8">
      <c r="A1076" t="s">
        <v>297</v>
      </c>
      <c r="B1076" s="1">
        <v>43160</v>
      </c>
      <c r="C1076" s="2">
        <v>3996</v>
      </c>
      <c r="D1076" s="2">
        <v>4128</v>
      </c>
      <c r="E1076" t="s">
        <v>12</v>
      </c>
      <c r="F1076" s="2">
        <v>132</v>
      </c>
      <c r="G1076" s="2"/>
      <c r="H1076" s="2"/>
    </row>
    <row r="1077" spans="1:8">
      <c r="A1077" t="s">
        <v>418</v>
      </c>
      <c r="B1077" s="1">
        <v>43160</v>
      </c>
      <c r="C1077" s="2">
        <v>2736</v>
      </c>
      <c r="D1077" s="2">
        <v>2880</v>
      </c>
      <c r="E1077" t="s">
        <v>12</v>
      </c>
      <c r="F1077" s="2">
        <v>144</v>
      </c>
      <c r="G1077" s="2"/>
      <c r="H1077" s="2"/>
    </row>
    <row r="1078" spans="1:8">
      <c r="A1078" t="s">
        <v>416</v>
      </c>
      <c r="B1078" s="1">
        <v>43160</v>
      </c>
      <c r="C1078" s="2">
        <v>2592</v>
      </c>
      <c r="D1078" s="2">
        <v>2880</v>
      </c>
      <c r="E1078" t="s">
        <v>12</v>
      </c>
      <c r="F1078" s="2">
        <v>288</v>
      </c>
      <c r="G1078" s="2"/>
      <c r="H1078" s="2"/>
    </row>
    <row r="1079" spans="1:8">
      <c r="A1079" t="s">
        <v>426</v>
      </c>
      <c r="B1079" s="1">
        <v>43160</v>
      </c>
      <c r="C1079" s="2">
        <v>2448</v>
      </c>
      <c r="D1079" s="2">
        <v>2736</v>
      </c>
      <c r="E1079" t="s">
        <v>12</v>
      </c>
      <c r="F1079" s="2">
        <v>288</v>
      </c>
      <c r="G1079" s="2"/>
      <c r="H1079" s="2"/>
    </row>
    <row r="1080" spans="1:8">
      <c r="A1080" t="s">
        <v>347</v>
      </c>
      <c r="B1080" s="1">
        <v>43160</v>
      </c>
      <c r="C1080" s="2">
        <v>2160</v>
      </c>
      <c r="D1080" s="2">
        <v>2448</v>
      </c>
      <c r="E1080" t="s">
        <v>12</v>
      </c>
      <c r="F1080" s="2">
        <v>288</v>
      </c>
      <c r="G1080" s="2"/>
      <c r="H1080" s="2"/>
    </row>
    <row r="1081" spans="1:8">
      <c r="A1081" t="s">
        <v>135</v>
      </c>
      <c r="B1081" s="1">
        <v>43160</v>
      </c>
      <c r="C1081" s="2">
        <v>1440</v>
      </c>
      <c r="D1081" s="2">
        <v>1728</v>
      </c>
      <c r="E1081" t="s">
        <v>12</v>
      </c>
      <c r="F1081" s="2">
        <v>288</v>
      </c>
      <c r="G1081" s="2"/>
      <c r="H1081" s="2"/>
    </row>
    <row r="1082" spans="1:8">
      <c r="A1082" t="s">
        <v>288</v>
      </c>
      <c r="B1082" s="1">
        <v>43160</v>
      </c>
      <c r="C1082" s="2">
        <v>1440</v>
      </c>
      <c r="D1082" s="2">
        <v>1728</v>
      </c>
      <c r="E1082" t="s">
        <v>12</v>
      </c>
      <c r="F1082" s="2">
        <v>288</v>
      </c>
      <c r="G1082" s="2"/>
      <c r="H1082" s="2"/>
    </row>
    <row r="1083" spans="1:8">
      <c r="A1083" t="s">
        <v>302</v>
      </c>
      <c r="B1083" s="1">
        <v>43160</v>
      </c>
      <c r="C1083" s="2">
        <v>5844</v>
      </c>
      <c r="D1083" s="2">
        <v>6240</v>
      </c>
      <c r="E1083" t="s">
        <v>12</v>
      </c>
      <c r="F1083" s="2">
        <v>396</v>
      </c>
      <c r="G1083" s="2"/>
      <c r="H1083" s="2"/>
    </row>
    <row r="1084" spans="1:8">
      <c r="A1084" t="s">
        <v>350</v>
      </c>
      <c r="B1084" s="1">
        <v>43160</v>
      </c>
      <c r="C1084" s="2">
        <v>1872</v>
      </c>
      <c r="D1084" s="2">
        <v>2304</v>
      </c>
      <c r="E1084" t="s">
        <v>12</v>
      </c>
      <c r="F1084" s="2">
        <v>432</v>
      </c>
      <c r="G1084" s="2"/>
      <c r="H1084" s="2"/>
    </row>
    <row r="1085" spans="1:8">
      <c r="A1085" t="s">
        <v>425</v>
      </c>
      <c r="B1085" s="1">
        <v>43160</v>
      </c>
      <c r="C1085" s="2">
        <v>27300</v>
      </c>
      <c r="D1085" s="2">
        <v>27780</v>
      </c>
      <c r="E1085" t="s">
        <v>12</v>
      </c>
      <c r="F1085" s="2">
        <v>480</v>
      </c>
      <c r="G1085" s="2"/>
      <c r="H1085" s="2"/>
    </row>
    <row r="1086" spans="1:8">
      <c r="A1086" t="s">
        <v>206</v>
      </c>
      <c r="B1086" s="1">
        <v>43160</v>
      </c>
      <c r="C1086" s="2">
        <v>25020</v>
      </c>
      <c r="D1086" s="2">
        <v>25500</v>
      </c>
      <c r="E1086" t="s">
        <v>12</v>
      </c>
      <c r="F1086" s="2">
        <v>480</v>
      </c>
      <c r="G1086" s="2"/>
      <c r="H1086" s="2"/>
    </row>
    <row r="1087" spans="1:8">
      <c r="A1087" t="s">
        <v>291</v>
      </c>
      <c r="B1087" s="1">
        <v>43160</v>
      </c>
      <c r="C1087" s="2">
        <v>2592</v>
      </c>
      <c r="D1087" s="2">
        <v>3072</v>
      </c>
      <c r="E1087" t="s">
        <v>12</v>
      </c>
      <c r="F1087" s="2">
        <v>480</v>
      </c>
      <c r="G1087" s="2"/>
      <c r="H1087" s="2"/>
    </row>
    <row r="1088" spans="1:8">
      <c r="A1088" t="s">
        <v>361</v>
      </c>
      <c r="B1088" s="1">
        <v>43160</v>
      </c>
      <c r="C1088" s="2">
        <v>2304</v>
      </c>
      <c r="D1088" s="2">
        <v>2880</v>
      </c>
      <c r="E1088" t="s">
        <v>12</v>
      </c>
      <c r="F1088" s="2">
        <v>576</v>
      </c>
      <c r="G1088" s="2"/>
      <c r="H1088" s="2"/>
    </row>
    <row r="1089" spans="1:8">
      <c r="A1089" t="s">
        <v>213</v>
      </c>
      <c r="B1089" s="1">
        <v>43160</v>
      </c>
      <c r="C1089" s="2">
        <v>2160</v>
      </c>
      <c r="D1089" s="2">
        <v>2736</v>
      </c>
      <c r="E1089" t="s">
        <v>12</v>
      </c>
      <c r="F1089" s="2">
        <v>576</v>
      </c>
      <c r="G1089" s="2"/>
      <c r="H1089" s="2"/>
    </row>
    <row r="1090" spans="1:8">
      <c r="A1090" t="s">
        <v>403</v>
      </c>
      <c r="B1090" s="1">
        <v>43160</v>
      </c>
      <c r="C1090" s="2">
        <v>1440</v>
      </c>
      <c r="D1090" s="2">
        <v>2016</v>
      </c>
      <c r="E1090" t="s">
        <v>12</v>
      </c>
      <c r="F1090" s="2">
        <v>576</v>
      </c>
      <c r="G1090" s="2"/>
      <c r="H1090" s="2"/>
    </row>
    <row r="1091" spans="1:8">
      <c r="A1091" t="s">
        <v>359</v>
      </c>
      <c r="B1091" s="1">
        <v>43160</v>
      </c>
      <c r="C1091" s="2">
        <v>5844</v>
      </c>
      <c r="D1091" s="2">
        <v>6504</v>
      </c>
      <c r="E1091" t="s">
        <v>12</v>
      </c>
      <c r="F1091" s="2">
        <v>660</v>
      </c>
      <c r="G1091" s="2"/>
      <c r="H1091" s="2"/>
    </row>
    <row r="1092" spans="1:8">
      <c r="A1092" t="s">
        <v>200</v>
      </c>
      <c r="B1092" s="1">
        <v>43160</v>
      </c>
      <c r="C1092" s="2">
        <v>4392</v>
      </c>
      <c r="D1092" s="2">
        <v>5052</v>
      </c>
      <c r="E1092" t="s">
        <v>12</v>
      </c>
      <c r="F1092" s="2">
        <v>660</v>
      </c>
      <c r="G1092" s="2"/>
      <c r="H1092" s="2"/>
    </row>
    <row r="1093" spans="1:8">
      <c r="A1093" t="s">
        <v>362</v>
      </c>
      <c r="B1093" s="1">
        <v>43160</v>
      </c>
      <c r="C1093" s="2">
        <v>2592</v>
      </c>
      <c r="D1093" s="2">
        <v>3312</v>
      </c>
      <c r="E1093" t="s">
        <v>12</v>
      </c>
      <c r="F1093" s="2">
        <v>720</v>
      </c>
      <c r="G1093" s="2"/>
      <c r="H1093" s="2"/>
    </row>
    <row r="1094" spans="1:8">
      <c r="A1094" t="s">
        <v>205</v>
      </c>
      <c r="B1094" s="1">
        <v>43160</v>
      </c>
      <c r="C1094" s="2">
        <v>8088</v>
      </c>
      <c r="D1094" s="2">
        <v>8880</v>
      </c>
      <c r="E1094" t="s">
        <v>12</v>
      </c>
      <c r="F1094" s="2">
        <v>792</v>
      </c>
      <c r="G1094" s="2"/>
      <c r="H1094" s="2"/>
    </row>
    <row r="1095" spans="1:8">
      <c r="A1095" t="s">
        <v>404</v>
      </c>
      <c r="B1095" s="1">
        <v>43160</v>
      </c>
      <c r="C1095" s="2">
        <v>1440</v>
      </c>
      <c r="D1095" s="2">
        <v>2304</v>
      </c>
      <c r="E1095" t="s">
        <v>12</v>
      </c>
      <c r="F1095" s="2">
        <v>864</v>
      </c>
      <c r="G1095" s="2"/>
      <c r="H1095" s="2"/>
    </row>
    <row r="1096" spans="1:8">
      <c r="A1096" t="s">
        <v>294</v>
      </c>
      <c r="B1096" s="1">
        <v>43160</v>
      </c>
      <c r="C1096" s="2">
        <v>7824</v>
      </c>
      <c r="D1096" s="2">
        <v>8748</v>
      </c>
      <c r="E1096" t="s">
        <v>12</v>
      </c>
      <c r="F1096" s="2">
        <v>924</v>
      </c>
      <c r="G1096" s="2"/>
      <c r="H1096" s="2"/>
    </row>
    <row r="1097" spans="1:8">
      <c r="A1097" t="s">
        <v>307</v>
      </c>
      <c r="B1097" s="1">
        <v>43160</v>
      </c>
      <c r="C1097" s="2">
        <v>2160</v>
      </c>
      <c r="D1097" s="2">
        <v>3168</v>
      </c>
      <c r="E1097" t="s">
        <v>12</v>
      </c>
      <c r="F1097" s="2">
        <v>1008</v>
      </c>
      <c r="G1097" s="2"/>
      <c r="H1097" s="2"/>
    </row>
    <row r="1098" spans="1:8">
      <c r="A1098" t="s">
        <v>358</v>
      </c>
      <c r="B1098" s="1">
        <v>43160</v>
      </c>
      <c r="C1098" s="2">
        <v>1584</v>
      </c>
      <c r="D1098" s="2">
        <v>2592</v>
      </c>
      <c r="E1098" t="s">
        <v>12</v>
      </c>
      <c r="F1098" s="2">
        <v>1008</v>
      </c>
      <c r="G1098" s="2"/>
      <c r="H1098" s="2"/>
    </row>
    <row r="1099" spans="1:8">
      <c r="A1099" t="s">
        <v>230</v>
      </c>
      <c r="B1099" s="1">
        <v>43160</v>
      </c>
      <c r="C1099" s="2">
        <v>1440</v>
      </c>
      <c r="D1099" s="2">
        <v>2448</v>
      </c>
      <c r="E1099" t="s">
        <v>12</v>
      </c>
      <c r="F1099" s="2">
        <v>1008</v>
      </c>
      <c r="G1099" s="2"/>
      <c r="H1099" s="2"/>
    </row>
    <row r="1100" spans="1:8">
      <c r="A1100" t="s">
        <v>180</v>
      </c>
      <c r="B1100" s="1">
        <v>43160</v>
      </c>
      <c r="C1100" s="2">
        <v>1440</v>
      </c>
      <c r="D1100" s="2">
        <v>2448</v>
      </c>
      <c r="E1100" t="s">
        <v>12</v>
      </c>
      <c r="F1100" s="2">
        <v>1008</v>
      </c>
      <c r="G1100" s="2"/>
      <c r="H1100" s="2"/>
    </row>
    <row r="1101" spans="1:8">
      <c r="A1101" t="s">
        <v>354</v>
      </c>
      <c r="B1101" s="1">
        <v>43160</v>
      </c>
      <c r="C1101" s="2">
        <v>1440</v>
      </c>
      <c r="D1101" s="2">
        <v>2448</v>
      </c>
      <c r="E1101" t="s">
        <v>12</v>
      </c>
      <c r="F1101" s="2">
        <v>1008</v>
      </c>
      <c r="G1101" s="2"/>
      <c r="H1101" s="2"/>
    </row>
    <row r="1102" spans="1:8">
      <c r="A1102" t="s">
        <v>170</v>
      </c>
      <c r="B1102" s="1">
        <v>43160</v>
      </c>
      <c r="C1102" s="2">
        <v>1440</v>
      </c>
      <c r="D1102" s="2">
        <v>2592</v>
      </c>
      <c r="E1102" t="s">
        <v>12</v>
      </c>
      <c r="F1102" s="2">
        <v>1152</v>
      </c>
      <c r="G1102" s="2"/>
      <c r="H1102" s="2"/>
    </row>
    <row r="1103" spans="1:8">
      <c r="A1103" t="s">
        <v>208</v>
      </c>
      <c r="B1103" s="1">
        <v>43160</v>
      </c>
      <c r="C1103" s="2">
        <v>7956</v>
      </c>
      <c r="D1103" s="2">
        <v>9144</v>
      </c>
      <c r="E1103" t="s">
        <v>12</v>
      </c>
      <c r="F1103" s="2">
        <v>1188</v>
      </c>
      <c r="G1103" s="2"/>
      <c r="H1103" s="2"/>
    </row>
    <row r="1104" spans="1:8">
      <c r="A1104" t="s">
        <v>323</v>
      </c>
      <c r="B1104" s="1">
        <v>43160</v>
      </c>
      <c r="C1104" s="2">
        <v>1440</v>
      </c>
      <c r="D1104" s="2">
        <v>2640</v>
      </c>
      <c r="E1104" t="s">
        <v>12</v>
      </c>
      <c r="F1104" s="2">
        <v>1200</v>
      </c>
      <c r="G1104" s="2"/>
      <c r="H1104" s="2"/>
    </row>
    <row r="1105" spans="1:8">
      <c r="A1105" t="s">
        <v>254</v>
      </c>
      <c r="B1105" s="1">
        <v>43160</v>
      </c>
      <c r="C1105" s="2">
        <v>1440</v>
      </c>
      <c r="D1105" s="2">
        <v>2640</v>
      </c>
      <c r="E1105" t="s">
        <v>12</v>
      </c>
      <c r="F1105" s="2">
        <v>1200</v>
      </c>
      <c r="G1105" s="2"/>
      <c r="H1105" s="2"/>
    </row>
    <row r="1106" spans="1:8">
      <c r="A1106" t="s">
        <v>181</v>
      </c>
      <c r="B1106" s="1">
        <v>43160</v>
      </c>
      <c r="C1106" s="2">
        <v>1872</v>
      </c>
      <c r="D1106" s="2">
        <v>3168</v>
      </c>
      <c r="E1106" t="s">
        <v>12</v>
      </c>
      <c r="F1106" s="2">
        <v>1296</v>
      </c>
      <c r="G1106" s="2"/>
      <c r="H1106" s="2"/>
    </row>
    <row r="1107" spans="1:8">
      <c r="A1107" t="s">
        <v>428</v>
      </c>
      <c r="B1107" s="1">
        <v>43160</v>
      </c>
      <c r="C1107" s="2">
        <v>0</v>
      </c>
      <c r="D1107" s="2">
        <v>1440</v>
      </c>
      <c r="E1107" t="s">
        <v>72</v>
      </c>
      <c r="F1107" s="2">
        <v>1440</v>
      </c>
      <c r="G1107" s="2"/>
      <c r="H1107" s="2"/>
    </row>
    <row r="1108" spans="1:8">
      <c r="A1108" t="s">
        <v>429</v>
      </c>
      <c r="B1108" s="1">
        <v>43160</v>
      </c>
      <c r="C1108" s="2">
        <v>0</v>
      </c>
      <c r="D1108" s="2">
        <v>1440</v>
      </c>
      <c r="E1108" t="s">
        <v>25</v>
      </c>
      <c r="F1108" s="2">
        <v>1440</v>
      </c>
      <c r="G1108" s="2"/>
      <c r="H1108" s="2"/>
    </row>
    <row r="1109" spans="1:8">
      <c r="A1109" t="s">
        <v>430</v>
      </c>
      <c r="B1109" s="1">
        <v>43160</v>
      </c>
      <c r="C1109" s="2">
        <v>0</v>
      </c>
      <c r="D1109" s="2">
        <v>1440</v>
      </c>
      <c r="E1109" t="s">
        <v>25</v>
      </c>
      <c r="F1109" s="2">
        <v>1440</v>
      </c>
      <c r="G1109" s="2"/>
      <c r="H1109" s="2"/>
    </row>
    <row r="1110" spans="1:8">
      <c r="A1110" t="s">
        <v>431</v>
      </c>
      <c r="B1110" s="1">
        <v>43160</v>
      </c>
      <c r="C1110" s="2">
        <v>0</v>
      </c>
      <c r="D1110" s="2">
        <v>1440</v>
      </c>
      <c r="E1110" t="s">
        <v>25</v>
      </c>
      <c r="F1110" s="2">
        <v>1440</v>
      </c>
      <c r="G1110" s="2"/>
      <c r="H1110" s="2"/>
    </row>
    <row r="1111" spans="1:8">
      <c r="A1111" t="s">
        <v>432</v>
      </c>
      <c r="B1111" s="1">
        <v>43160</v>
      </c>
      <c r="C1111" s="2">
        <v>0</v>
      </c>
      <c r="D1111" s="2">
        <v>1440</v>
      </c>
      <c r="E1111" t="s">
        <v>25</v>
      </c>
      <c r="F1111" s="2">
        <v>1440</v>
      </c>
      <c r="G1111" s="2"/>
      <c r="H1111" s="2"/>
    </row>
    <row r="1112" spans="1:8">
      <c r="A1112" t="s">
        <v>433</v>
      </c>
      <c r="B1112" s="1">
        <v>43160</v>
      </c>
      <c r="C1112" s="2">
        <v>0</v>
      </c>
      <c r="D1112" s="2">
        <v>1440</v>
      </c>
      <c r="E1112" t="s">
        <v>25</v>
      </c>
      <c r="F1112" s="2">
        <v>1440</v>
      </c>
      <c r="G1112" s="2"/>
      <c r="H1112" s="2"/>
    </row>
    <row r="1113" spans="1:8">
      <c r="A1113" t="s">
        <v>434</v>
      </c>
      <c r="B1113" s="1">
        <v>43160</v>
      </c>
      <c r="C1113" s="2">
        <v>0</v>
      </c>
      <c r="D1113" s="2">
        <v>1440</v>
      </c>
      <c r="E1113" t="s">
        <v>25</v>
      </c>
      <c r="F1113" s="2">
        <v>1440</v>
      </c>
      <c r="G1113" s="2"/>
      <c r="H1113" s="2"/>
    </row>
    <row r="1114" spans="1:8">
      <c r="A1114" t="s">
        <v>435</v>
      </c>
      <c r="B1114" s="1">
        <v>43160</v>
      </c>
      <c r="C1114" s="2">
        <v>0</v>
      </c>
      <c r="D1114" s="2">
        <v>1440</v>
      </c>
      <c r="E1114" t="s">
        <v>25</v>
      </c>
      <c r="F1114" s="2">
        <v>1440</v>
      </c>
      <c r="G1114" s="2"/>
      <c r="H1114" s="2"/>
    </row>
    <row r="1115" spans="1:8">
      <c r="A1115" t="s">
        <v>436</v>
      </c>
      <c r="B1115" s="1">
        <v>43160</v>
      </c>
      <c r="C1115" s="2">
        <v>0</v>
      </c>
      <c r="D1115" s="2">
        <v>1440</v>
      </c>
      <c r="E1115" t="s">
        <v>25</v>
      </c>
      <c r="F1115" s="2">
        <v>1440</v>
      </c>
      <c r="G1115" s="2"/>
      <c r="H1115" s="2"/>
    </row>
    <row r="1116" spans="1:8">
      <c r="A1116" t="s">
        <v>437</v>
      </c>
      <c r="B1116" s="1">
        <v>43160</v>
      </c>
      <c r="C1116" s="2">
        <v>0</v>
      </c>
      <c r="D1116" s="2">
        <v>1440</v>
      </c>
      <c r="E1116" t="s">
        <v>25</v>
      </c>
      <c r="F1116" s="2">
        <v>1440</v>
      </c>
      <c r="G1116" s="2"/>
      <c r="H1116" s="2"/>
    </row>
    <row r="1117" spans="1:8">
      <c r="A1117" t="s">
        <v>438</v>
      </c>
      <c r="B1117" s="1">
        <v>43160</v>
      </c>
      <c r="C1117" s="2">
        <v>0</v>
      </c>
      <c r="D1117" s="2">
        <v>1440</v>
      </c>
      <c r="E1117" t="s">
        <v>25</v>
      </c>
      <c r="F1117" s="2">
        <v>1440</v>
      </c>
      <c r="G1117" s="2"/>
      <c r="H1117" s="2"/>
    </row>
    <row r="1118" spans="1:8">
      <c r="A1118" t="s">
        <v>439</v>
      </c>
      <c r="B1118" s="1">
        <v>43160</v>
      </c>
      <c r="C1118" s="2">
        <v>0</v>
      </c>
      <c r="D1118" s="2">
        <v>1440</v>
      </c>
      <c r="E1118" t="s">
        <v>25</v>
      </c>
      <c r="F1118" s="2">
        <v>1440</v>
      </c>
      <c r="G1118" s="2"/>
      <c r="H1118" s="2"/>
    </row>
    <row r="1119" spans="1:8">
      <c r="A1119" t="s">
        <v>440</v>
      </c>
      <c r="B1119" s="1">
        <v>43160</v>
      </c>
      <c r="C1119" s="2">
        <v>0</v>
      </c>
      <c r="D1119" s="2">
        <v>1440</v>
      </c>
      <c r="E1119" t="s">
        <v>25</v>
      </c>
      <c r="F1119" s="2">
        <v>1440</v>
      </c>
      <c r="G1119" s="2"/>
      <c r="H1119" s="2"/>
    </row>
    <row r="1120" spans="1:8">
      <c r="A1120" t="s">
        <v>441</v>
      </c>
      <c r="B1120" s="1">
        <v>43160</v>
      </c>
      <c r="C1120" s="2">
        <v>0</v>
      </c>
      <c r="D1120" s="2">
        <v>1440</v>
      </c>
      <c r="E1120" t="s">
        <v>25</v>
      </c>
      <c r="F1120" s="2">
        <v>1440</v>
      </c>
      <c r="G1120" s="2"/>
      <c r="H1120" s="2"/>
    </row>
    <row r="1121" spans="1:8">
      <c r="A1121" t="s">
        <v>442</v>
      </c>
      <c r="B1121" s="1">
        <v>43160</v>
      </c>
      <c r="C1121" s="2">
        <v>0</v>
      </c>
      <c r="D1121" s="2">
        <v>1440</v>
      </c>
      <c r="E1121" t="s">
        <v>25</v>
      </c>
      <c r="F1121" s="2">
        <v>1440</v>
      </c>
      <c r="G1121" s="2"/>
      <c r="H1121" s="2"/>
    </row>
    <row r="1122" spans="1:8">
      <c r="A1122" t="s">
        <v>443</v>
      </c>
      <c r="B1122" s="1">
        <v>43160</v>
      </c>
      <c r="C1122" s="2">
        <v>0</v>
      </c>
      <c r="D1122" s="2">
        <v>1440</v>
      </c>
      <c r="E1122" t="s">
        <v>25</v>
      </c>
      <c r="F1122" s="2">
        <v>1440</v>
      </c>
      <c r="G1122" s="2"/>
      <c r="H1122" s="2"/>
    </row>
    <row r="1123" spans="1:8">
      <c r="A1123" t="s">
        <v>444</v>
      </c>
      <c r="B1123" s="1">
        <v>43160</v>
      </c>
      <c r="C1123" s="2">
        <v>0</v>
      </c>
      <c r="D1123" s="2">
        <v>1440</v>
      </c>
      <c r="E1123" t="s">
        <v>25</v>
      </c>
      <c r="F1123" s="2">
        <v>1440</v>
      </c>
      <c r="G1123" s="2"/>
      <c r="H1123" s="2"/>
    </row>
    <row r="1124" spans="1:8">
      <c r="A1124" t="s">
        <v>445</v>
      </c>
      <c r="B1124" s="1">
        <v>43160</v>
      </c>
      <c r="C1124" s="2">
        <v>0</v>
      </c>
      <c r="D1124" s="2">
        <v>1440</v>
      </c>
      <c r="E1124" t="s">
        <v>25</v>
      </c>
      <c r="F1124" s="2">
        <v>1440</v>
      </c>
      <c r="G1124" s="2"/>
      <c r="H1124" s="2"/>
    </row>
    <row r="1125" spans="1:8">
      <c r="A1125" t="s">
        <v>446</v>
      </c>
      <c r="B1125" s="1">
        <v>43160</v>
      </c>
      <c r="C1125" s="2">
        <v>0</v>
      </c>
      <c r="D1125" s="2">
        <v>1440</v>
      </c>
      <c r="E1125" t="s">
        <v>25</v>
      </c>
      <c r="F1125" s="2">
        <v>1440</v>
      </c>
      <c r="G1125" s="2"/>
      <c r="H1125" s="2"/>
    </row>
    <row r="1126" spans="1:8">
      <c r="A1126" t="s">
        <v>447</v>
      </c>
      <c r="B1126" s="1">
        <v>43160</v>
      </c>
      <c r="C1126" s="2">
        <v>0</v>
      </c>
      <c r="D1126" s="2">
        <v>1440</v>
      </c>
      <c r="E1126" t="s">
        <v>25</v>
      </c>
      <c r="F1126" s="2">
        <v>1440</v>
      </c>
      <c r="G1126" s="2"/>
      <c r="H1126" s="2"/>
    </row>
    <row r="1127" spans="1:8">
      <c r="A1127" t="s">
        <v>448</v>
      </c>
      <c r="B1127" s="1">
        <v>43160</v>
      </c>
      <c r="C1127" s="2">
        <v>0</v>
      </c>
      <c r="D1127" s="2">
        <v>1440</v>
      </c>
      <c r="E1127" t="s">
        <v>25</v>
      </c>
      <c r="F1127" s="2">
        <v>1440</v>
      </c>
      <c r="G1127" s="2"/>
      <c r="H1127" s="2"/>
    </row>
    <row r="1128" spans="1:8">
      <c r="A1128" t="s">
        <v>449</v>
      </c>
      <c r="B1128" s="1">
        <v>43160</v>
      </c>
      <c r="C1128" s="2">
        <v>0</v>
      </c>
      <c r="D1128" s="2">
        <v>1440</v>
      </c>
      <c r="E1128" t="s">
        <v>25</v>
      </c>
      <c r="F1128" s="2">
        <v>1440</v>
      </c>
      <c r="G1128" s="2"/>
      <c r="H1128" s="2"/>
    </row>
    <row r="1129" spans="1:8">
      <c r="A1129" t="s">
        <v>450</v>
      </c>
      <c r="B1129" s="1">
        <v>43160</v>
      </c>
      <c r="C1129" s="2">
        <v>0</v>
      </c>
      <c r="D1129" s="2">
        <v>1440</v>
      </c>
      <c r="E1129" t="s">
        <v>25</v>
      </c>
      <c r="F1129" s="2">
        <v>1440</v>
      </c>
      <c r="G1129" s="2"/>
      <c r="H1129" s="2"/>
    </row>
    <row r="1130" spans="1:8">
      <c r="A1130" t="s">
        <v>451</v>
      </c>
      <c r="B1130" s="1">
        <v>43160</v>
      </c>
      <c r="C1130" s="2">
        <v>0</v>
      </c>
      <c r="D1130" s="2">
        <v>1440</v>
      </c>
      <c r="E1130" t="s">
        <v>25</v>
      </c>
      <c r="F1130" s="2">
        <v>1440</v>
      </c>
      <c r="G1130" s="2"/>
      <c r="H1130" s="2"/>
    </row>
    <row r="1131" spans="1:8">
      <c r="A1131" t="s">
        <v>452</v>
      </c>
      <c r="B1131" s="1">
        <v>43160</v>
      </c>
      <c r="C1131" s="2">
        <v>0</v>
      </c>
      <c r="D1131" s="2">
        <v>1440</v>
      </c>
      <c r="E1131" t="s">
        <v>25</v>
      </c>
      <c r="F1131" s="2">
        <v>1440</v>
      </c>
      <c r="G1131" s="2"/>
      <c r="H1131" s="2"/>
    </row>
    <row r="1132" spans="1:8">
      <c r="A1132" t="s">
        <v>453</v>
      </c>
      <c r="B1132" s="1">
        <v>43160</v>
      </c>
      <c r="C1132" s="2">
        <v>0</v>
      </c>
      <c r="D1132" s="2">
        <v>1440</v>
      </c>
      <c r="E1132" t="s">
        <v>25</v>
      </c>
      <c r="F1132" s="2">
        <v>1440</v>
      </c>
      <c r="G1132" s="2"/>
      <c r="H1132" s="2"/>
    </row>
    <row r="1133" spans="1:8">
      <c r="A1133" t="s">
        <v>454</v>
      </c>
      <c r="B1133" s="1">
        <v>43160</v>
      </c>
      <c r="C1133" s="2">
        <v>0</v>
      </c>
      <c r="D1133" s="2">
        <v>1440</v>
      </c>
      <c r="E1133" t="s">
        <v>25</v>
      </c>
      <c r="F1133" s="2">
        <v>1440</v>
      </c>
      <c r="G1133" s="2"/>
      <c r="H1133" s="2"/>
    </row>
    <row r="1134" spans="1:8">
      <c r="A1134" t="s">
        <v>298</v>
      </c>
      <c r="B1134" s="1">
        <v>43160</v>
      </c>
      <c r="C1134" s="2">
        <v>4524</v>
      </c>
      <c r="D1134" s="2">
        <v>5976</v>
      </c>
      <c r="E1134" t="s">
        <v>12</v>
      </c>
      <c r="F1134" s="2">
        <v>1452</v>
      </c>
      <c r="G1134" s="2"/>
      <c r="H1134" s="2"/>
    </row>
    <row r="1135" spans="1:8">
      <c r="A1135" t="s">
        <v>360</v>
      </c>
      <c r="B1135" s="1">
        <v>43160</v>
      </c>
      <c r="C1135" s="2">
        <v>3456</v>
      </c>
      <c r="D1135" s="2">
        <v>4920</v>
      </c>
      <c r="E1135" t="s">
        <v>12</v>
      </c>
      <c r="F1135" s="2">
        <v>1464</v>
      </c>
      <c r="G1135" s="2"/>
      <c r="H1135" s="2"/>
    </row>
    <row r="1136" spans="1:8">
      <c r="A1136" t="s">
        <v>455</v>
      </c>
      <c r="B1136" s="1">
        <v>43160</v>
      </c>
      <c r="C1136" s="2">
        <v>0</v>
      </c>
      <c r="D1136" s="2">
        <v>1440</v>
      </c>
      <c r="E1136" t="s">
        <v>25</v>
      </c>
      <c r="F1136" s="2">
        <v>1440</v>
      </c>
      <c r="G1136" s="2"/>
      <c r="H1136" s="2"/>
    </row>
    <row r="1137" spans="1:8">
      <c r="A1137" t="s">
        <v>456</v>
      </c>
      <c r="B1137" s="1">
        <v>43160</v>
      </c>
      <c r="C1137" s="2">
        <v>0</v>
      </c>
      <c r="D1137" s="2">
        <v>1440</v>
      </c>
      <c r="E1137" t="s">
        <v>25</v>
      </c>
      <c r="F1137" s="2">
        <v>1440</v>
      </c>
      <c r="G1137" s="2"/>
      <c r="H1137" s="2"/>
    </row>
    <row r="1138" spans="1:8">
      <c r="A1138" t="s">
        <v>457</v>
      </c>
      <c r="B1138" s="1">
        <v>43160</v>
      </c>
      <c r="C1138" s="2">
        <v>0</v>
      </c>
      <c r="D1138" s="2">
        <v>1440</v>
      </c>
      <c r="E1138" t="s">
        <v>25</v>
      </c>
      <c r="F1138" s="2">
        <v>1440</v>
      </c>
      <c r="G1138" s="2"/>
      <c r="H1138" s="2"/>
    </row>
    <row r="1139" spans="1:8">
      <c r="A1139" t="s">
        <v>458</v>
      </c>
      <c r="B1139" s="1">
        <v>43160</v>
      </c>
      <c r="C1139" s="2">
        <v>0</v>
      </c>
      <c r="D1139" s="2">
        <v>1440</v>
      </c>
      <c r="E1139" t="s">
        <v>25</v>
      </c>
      <c r="F1139" s="2">
        <v>1440</v>
      </c>
      <c r="G1139" s="2"/>
      <c r="H1139" s="2"/>
    </row>
    <row r="1140" spans="1:8">
      <c r="A1140" t="s">
        <v>459</v>
      </c>
      <c r="B1140" s="1">
        <v>43160</v>
      </c>
      <c r="C1140" s="2">
        <v>0</v>
      </c>
      <c r="D1140" s="2">
        <v>1440</v>
      </c>
      <c r="E1140" t="s">
        <v>25</v>
      </c>
      <c r="F1140" s="2">
        <v>1440</v>
      </c>
      <c r="G1140" s="2"/>
      <c r="H1140" s="2"/>
    </row>
    <row r="1141" spans="1:8">
      <c r="A1141" t="s">
        <v>460</v>
      </c>
      <c r="B1141" s="1">
        <v>43160</v>
      </c>
      <c r="C1141" s="2">
        <v>0</v>
      </c>
      <c r="D1141" s="2">
        <v>1440</v>
      </c>
      <c r="E1141" t="s">
        <v>25</v>
      </c>
      <c r="F1141" s="2">
        <v>1440</v>
      </c>
      <c r="G1141" s="2"/>
      <c r="H1141" s="2"/>
    </row>
    <row r="1142" spans="1:8">
      <c r="A1142" t="s">
        <v>461</v>
      </c>
      <c r="B1142" s="1">
        <v>43160</v>
      </c>
      <c r="C1142" s="2">
        <v>0</v>
      </c>
      <c r="D1142" s="2">
        <v>1440</v>
      </c>
      <c r="E1142" t="s">
        <v>25</v>
      </c>
      <c r="F1142" s="2">
        <v>1440</v>
      </c>
      <c r="G1142" s="2"/>
      <c r="H1142" s="2"/>
    </row>
    <row r="1143" spans="1:8">
      <c r="A1143" t="s">
        <v>462</v>
      </c>
      <c r="B1143" s="1">
        <v>43160</v>
      </c>
      <c r="C1143" s="2">
        <v>0</v>
      </c>
      <c r="D1143" s="2">
        <v>1440</v>
      </c>
      <c r="E1143" t="s">
        <v>25</v>
      </c>
      <c r="F1143" s="2">
        <v>1440</v>
      </c>
      <c r="G1143" s="2"/>
      <c r="H1143" s="2"/>
    </row>
    <row r="1144" spans="1:8">
      <c r="A1144" t="s">
        <v>463</v>
      </c>
      <c r="B1144" s="1">
        <v>43160</v>
      </c>
      <c r="C1144" s="2">
        <v>0</v>
      </c>
      <c r="D1144" s="2">
        <v>1440</v>
      </c>
      <c r="E1144" t="s">
        <v>25</v>
      </c>
      <c r="F1144" s="2">
        <v>1440</v>
      </c>
      <c r="G1144" s="2"/>
      <c r="H1144" s="2"/>
    </row>
    <row r="1145" spans="1:8">
      <c r="A1145" t="s">
        <v>464</v>
      </c>
      <c r="B1145" s="1">
        <v>43160</v>
      </c>
      <c r="C1145" s="2">
        <v>0</v>
      </c>
      <c r="D1145" s="2">
        <v>1440</v>
      </c>
      <c r="E1145" t="s">
        <v>25</v>
      </c>
      <c r="F1145" s="2">
        <v>1440</v>
      </c>
      <c r="G1145" s="2"/>
      <c r="H1145" s="2"/>
    </row>
    <row r="1146" spans="1:8">
      <c r="A1146" t="s">
        <v>465</v>
      </c>
      <c r="B1146" s="1">
        <v>43160</v>
      </c>
      <c r="C1146" s="2">
        <v>0</v>
      </c>
      <c r="D1146" s="2">
        <v>1440</v>
      </c>
      <c r="E1146" t="s">
        <v>25</v>
      </c>
      <c r="F1146" s="2">
        <v>1440</v>
      </c>
      <c r="G1146" s="2"/>
      <c r="H1146" s="2"/>
    </row>
    <row r="1147" spans="1:8">
      <c r="A1147" t="s">
        <v>212</v>
      </c>
      <c r="B1147" s="1">
        <v>43160</v>
      </c>
      <c r="C1147" s="2">
        <v>1728</v>
      </c>
      <c r="D1147" s="2">
        <v>3600</v>
      </c>
      <c r="E1147" t="s">
        <v>12</v>
      </c>
      <c r="F1147" s="2">
        <v>1872</v>
      </c>
      <c r="G1147" s="2"/>
      <c r="H1147" s="2"/>
    </row>
    <row r="1148" spans="1:8">
      <c r="A1148" t="s">
        <v>466</v>
      </c>
      <c r="B1148" s="1">
        <v>43160</v>
      </c>
      <c r="C1148" s="2">
        <v>0</v>
      </c>
      <c r="D1148" s="2">
        <v>1440</v>
      </c>
      <c r="E1148" t="s">
        <v>25</v>
      </c>
      <c r="F1148" s="2">
        <v>1440</v>
      </c>
      <c r="G1148" s="2"/>
      <c r="H1148" s="2"/>
    </row>
    <row r="1149" spans="1:8">
      <c r="A1149" t="s">
        <v>467</v>
      </c>
      <c r="B1149" s="1">
        <v>43160</v>
      </c>
      <c r="C1149" s="2">
        <v>0</v>
      </c>
      <c r="D1149" s="2">
        <v>1440</v>
      </c>
      <c r="E1149" t="s">
        <v>25</v>
      </c>
      <c r="F1149" s="2">
        <v>1440</v>
      </c>
      <c r="G1149" s="2"/>
      <c r="H1149" s="2"/>
    </row>
    <row r="1150" spans="1:8">
      <c r="A1150" t="s">
        <v>468</v>
      </c>
      <c r="B1150" s="1">
        <v>43160</v>
      </c>
      <c r="C1150" s="2">
        <v>0</v>
      </c>
      <c r="D1150" s="2">
        <v>1440</v>
      </c>
      <c r="E1150" t="s">
        <v>25</v>
      </c>
      <c r="F1150" s="2">
        <v>1440</v>
      </c>
      <c r="G1150" s="2"/>
      <c r="H1150" s="2"/>
    </row>
    <row r="1151" spans="1:8">
      <c r="A1151" t="s">
        <v>469</v>
      </c>
      <c r="B1151" s="1">
        <v>43160</v>
      </c>
      <c r="C1151" s="2">
        <v>0</v>
      </c>
      <c r="D1151" s="2">
        <v>1440</v>
      </c>
      <c r="E1151" t="s">
        <v>25</v>
      </c>
      <c r="F1151" s="2">
        <v>1440</v>
      </c>
      <c r="G1151" s="2"/>
      <c r="H1151" s="2"/>
    </row>
    <row r="1152" spans="1:8">
      <c r="A1152" t="s">
        <v>470</v>
      </c>
      <c r="B1152" s="1">
        <v>43160</v>
      </c>
      <c r="C1152" s="2">
        <v>0</v>
      </c>
      <c r="D1152" s="2">
        <v>1440</v>
      </c>
      <c r="E1152" t="s">
        <v>25</v>
      </c>
      <c r="F1152" s="2">
        <v>1440</v>
      </c>
      <c r="G1152" s="2"/>
      <c r="H1152" s="2"/>
    </row>
    <row r="1153" spans="1:8">
      <c r="A1153" t="s">
        <v>417</v>
      </c>
      <c r="B1153" s="1">
        <v>43160</v>
      </c>
      <c r="C1153" s="2">
        <v>2592</v>
      </c>
      <c r="D1153" s="2">
        <v>4656</v>
      </c>
      <c r="E1153" t="s">
        <v>12</v>
      </c>
      <c r="F1153" s="2">
        <v>2064</v>
      </c>
      <c r="G1153" s="2"/>
      <c r="H1153" s="2"/>
    </row>
    <row r="1154" spans="1:8">
      <c r="A1154" t="s">
        <v>471</v>
      </c>
      <c r="B1154" s="1">
        <v>43160</v>
      </c>
      <c r="C1154" s="2">
        <v>0</v>
      </c>
      <c r="D1154" s="2">
        <v>1440</v>
      </c>
      <c r="E1154" t="s">
        <v>25</v>
      </c>
      <c r="F1154" s="2">
        <v>1440</v>
      </c>
      <c r="G1154" s="2"/>
      <c r="H1154" s="2"/>
    </row>
    <row r="1155" spans="1:8">
      <c r="A1155" t="s">
        <v>472</v>
      </c>
      <c r="B1155" s="1">
        <v>43160</v>
      </c>
      <c r="C1155" s="2">
        <v>0</v>
      </c>
      <c r="D1155" s="2">
        <v>1584</v>
      </c>
      <c r="E1155" t="s">
        <v>25</v>
      </c>
      <c r="F1155" s="2">
        <v>1584</v>
      </c>
      <c r="G1155" s="2"/>
      <c r="H1155" s="2"/>
    </row>
    <row r="1156" spans="1:8">
      <c r="A1156" t="s">
        <v>355</v>
      </c>
      <c r="B1156" s="1">
        <v>43160</v>
      </c>
      <c r="C1156" s="2">
        <v>1440</v>
      </c>
      <c r="D1156" s="2">
        <v>3600</v>
      </c>
      <c r="E1156" t="s">
        <v>12</v>
      </c>
      <c r="F1156" s="2">
        <v>2160</v>
      </c>
      <c r="G1156" s="2"/>
      <c r="H1156" s="2"/>
    </row>
    <row r="1157" spans="1:8">
      <c r="A1157" t="s">
        <v>473</v>
      </c>
      <c r="B1157" s="1">
        <v>43160</v>
      </c>
      <c r="C1157" s="2">
        <v>0</v>
      </c>
      <c r="D1157" s="2">
        <v>1728</v>
      </c>
      <c r="E1157" t="s">
        <v>25</v>
      </c>
      <c r="F1157" s="2">
        <v>1728</v>
      </c>
      <c r="G1157" s="2"/>
      <c r="H1157" s="2"/>
    </row>
    <row r="1158" spans="1:8">
      <c r="A1158" t="s">
        <v>189</v>
      </c>
      <c r="B1158" s="1">
        <v>43160</v>
      </c>
      <c r="C1158" s="2">
        <v>1440</v>
      </c>
      <c r="D1158" s="2">
        <v>3732</v>
      </c>
      <c r="E1158" t="s">
        <v>12</v>
      </c>
      <c r="F1158" s="2">
        <v>2292</v>
      </c>
      <c r="G1158" s="2"/>
      <c r="H1158" s="2"/>
    </row>
    <row r="1159" spans="1:8">
      <c r="A1159" t="s">
        <v>474</v>
      </c>
      <c r="B1159" s="1">
        <v>43160</v>
      </c>
      <c r="C1159" s="2">
        <v>0</v>
      </c>
      <c r="D1159" s="2">
        <v>1728</v>
      </c>
      <c r="E1159" t="s">
        <v>25</v>
      </c>
      <c r="F1159" s="2">
        <v>1728</v>
      </c>
      <c r="G1159" s="2"/>
      <c r="H1159" s="2"/>
    </row>
    <row r="1160" spans="1:8">
      <c r="A1160" t="s">
        <v>475</v>
      </c>
      <c r="B1160" s="1">
        <v>43160</v>
      </c>
      <c r="C1160" s="2">
        <v>0</v>
      </c>
      <c r="D1160" s="2">
        <v>1847</v>
      </c>
      <c r="E1160" t="s">
        <v>25</v>
      </c>
      <c r="F1160" s="2">
        <v>1847</v>
      </c>
      <c r="G1160" s="2"/>
      <c r="H1160" s="2"/>
    </row>
    <row r="1161" spans="1:8">
      <c r="A1161" t="s">
        <v>476</v>
      </c>
      <c r="B1161" s="1">
        <v>43160</v>
      </c>
      <c r="C1161" s="2">
        <v>0</v>
      </c>
      <c r="D1161" s="2">
        <v>2016</v>
      </c>
      <c r="E1161" t="s">
        <v>25</v>
      </c>
      <c r="F1161" s="2">
        <v>2016</v>
      </c>
      <c r="G1161" s="2"/>
      <c r="H1161" s="2"/>
    </row>
    <row r="1162" spans="1:8">
      <c r="A1162" t="s">
        <v>477</v>
      </c>
      <c r="B1162" s="1">
        <v>43160</v>
      </c>
      <c r="C1162" s="2">
        <v>0</v>
      </c>
      <c r="D1162" s="2">
        <v>2736</v>
      </c>
      <c r="E1162" t="s">
        <v>25</v>
      </c>
      <c r="F1162" s="2">
        <v>2736</v>
      </c>
      <c r="G1162" s="2"/>
      <c r="H1162" s="2"/>
    </row>
    <row r="1163" spans="1:8">
      <c r="A1163" t="s">
        <v>478</v>
      </c>
      <c r="B1163" s="1">
        <v>43160</v>
      </c>
      <c r="C1163" s="2">
        <v>0</v>
      </c>
      <c r="D1163" s="2">
        <v>2736</v>
      </c>
      <c r="E1163" t="s">
        <v>25</v>
      </c>
      <c r="F1163" s="2">
        <v>2736</v>
      </c>
      <c r="G1163" s="2"/>
      <c r="H1163" s="2"/>
    </row>
    <row r="1164" spans="1:8">
      <c r="A1164" t="s">
        <v>479</v>
      </c>
      <c r="B1164" s="1">
        <v>43160</v>
      </c>
      <c r="C1164" s="2">
        <v>0</v>
      </c>
      <c r="D1164" s="2">
        <v>2736</v>
      </c>
      <c r="E1164" t="s">
        <v>25</v>
      </c>
      <c r="F1164" s="2">
        <v>2736</v>
      </c>
      <c r="G1164" s="2"/>
      <c r="H1164" s="2"/>
    </row>
    <row r="1165" spans="1:8">
      <c r="A1165" t="s">
        <v>480</v>
      </c>
      <c r="B1165" s="1">
        <v>43160</v>
      </c>
      <c r="C1165" s="2">
        <v>0</v>
      </c>
      <c r="D1165" s="2">
        <v>3732</v>
      </c>
      <c r="E1165" t="s">
        <v>25</v>
      </c>
      <c r="F1165" s="2">
        <v>3732</v>
      </c>
      <c r="G1165" s="2"/>
      <c r="H1165" s="2"/>
    </row>
    <row r="1166" spans="1:8">
      <c r="A1166" t="s">
        <v>481</v>
      </c>
      <c r="B1166" s="1">
        <v>43160</v>
      </c>
      <c r="C1166" s="2">
        <v>0</v>
      </c>
      <c r="D1166" s="2">
        <v>4260</v>
      </c>
      <c r="E1166" t="s">
        <v>25</v>
      </c>
      <c r="F1166" s="2">
        <v>4260</v>
      </c>
      <c r="G1166" s="2"/>
      <c r="H1166" s="2"/>
    </row>
    <row r="1167" spans="1:8">
      <c r="A1167" t="s">
        <v>482</v>
      </c>
      <c r="B1167" s="1">
        <v>43160</v>
      </c>
      <c r="C1167" s="2">
        <v>0</v>
      </c>
      <c r="D1167" s="2">
        <v>4920</v>
      </c>
      <c r="E1167" t="s">
        <v>25</v>
      </c>
      <c r="F1167" s="2">
        <v>4920</v>
      </c>
      <c r="G1167" s="2"/>
      <c r="H1167" s="2"/>
    </row>
    <row r="1168" spans="1:8">
      <c r="A1168" t="s">
        <v>483</v>
      </c>
      <c r="B1168" s="1">
        <v>43160</v>
      </c>
      <c r="C1168" s="2">
        <v>0</v>
      </c>
      <c r="D1168" s="2">
        <v>6504</v>
      </c>
      <c r="E1168" t="s">
        <v>25</v>
      </c>
      <c r="F1168" s="2">
        <v>6504</v>
      </c>
      <c r="G1168" s="2"/>
      <c r="H1168" s="2"/>
    </row>
    <row r="1169" spans="1:8">
      <c r="A1169" t="s">
        <v>318</v>
      </c>
      <c r="B1169" s="1">
        <v>43160</v>
      </c>
      <c r="C1169" s="2">
        <v>0</v>
      </c>
      <c r="D1169" s="2">
        <v>2736</v>
      </c>
      <c r="E1169" t="s">
        <v>74</v>
      </c>
      <c r="F1169" s="2">
        <v>2736</v>
      </c>
      <c r="G1169" s="2"/>
      <c r="H1169" s="2"/>
    </row>
    <row r="1170" spans="1:8">
      <c r="A1170" t="s">
        <v>484</v>
      </c>
      <c r="B1170" s="1">
        <v>43160</v>
      </c>
      <c r="C1170" s="2">
        <v>0</v>
      </c>
      <c r="D1170" s="2">
        <v>6900</v>
      </c>
      <c r="E1170" t="s">
        <v>25</v>
      </c>
      <c r="F1170" s="2">
        <v>6900</v>
      </c>
      <c r="G1170" s="2"/>
      <c r="H1170" s="2"/>
    </row>
    <row r="1171" spans="1:8">
      <c r="A1171" t="s">
        <v>485</v>
      </c>
      <c r="B1171" s="1">
        <v>43160</v>
      </c>
      <c r="C1171" s="2">
        <v>0</v>
      </c>
      <c r="D1171" s="2">
        <v>9276</v>
      </c>
      <c r="E1171" t="s">
        <v>25</v>
      </c>
      <c r="F1171" s="2">
        <v>9276</v>
      </c>
      <c r="G1171" s="2"/>
      <c r="H1171" s="2"/>
    </row>
    <row r="1172" spans="1:8">
      <c r="A1172" t="s">
        <v>486</v>
      </c>
      <c r="B1172" s="1">
        <v>43160</v>
      </c>
      <c r="C1172" s="2">
        <v>0</v>
      </c>
      <c r="D1172" s="2">
        <v>13584</v>
      </c>
      <c r="E1172" t="s">
        <v>25</v>
      </c>
      <c r="F1172" s="2">
        <v>13584</v>
      </c>
      <c r="G1172" s="2"/>
      <c r="H1172" s="2"/>
    </row>
    <row r="1173" spans="1:8">
      <c r="A1173" t="s">
        <v>487</v>
      </c>
      <c r="B1173" s="1">
        <v>43160</v>
      </c>
      <c r="C1173" s="2">
        <v>0</v>
      </c>
      <c r="D1173" s="2">
        <v>14340</v>
      </c>
      <c r="E1173" t="s">
        <v>25</v>
      </c>
      <c r="F1173" s="2">
        <v>14340</v>
      </c>
      <c r="G1173" s="2"/>
      <c r="H1173" s="2"/>
    </row>
    <row r="1174" spans="1:8">
      <c r="A1174" t="s">
        <v>488</v>
      </c>
      <c r="B1174" s="1">
        <v>43160</v>
      </c>
      <c r="C1174" s="2">
        <v>0</v>
      </c>
      <c r="D1174" s="2">
        <v>15420</v>
      </c>
      <c r="E1174" t="s">
        <v>25</v>
      </c>
      <c r="F1174" s="2">
        <v>15420</v>
      </c>
      <c r="G1174" s="2"/>
      <c r="H1174" s="2"/>
    </row>
    <row r="1175" spans="1:8">
      <c r="A1175" t="s">
        <v>489</v>
      </c>
      <c r="B1175" s="1">
        <v>43160</v>
      </c>
      <c r="C1175" s="2">
        <v>0</v>
      </c>
      <c r="D1175" s="2">
        <v>15540</v>
      </c>
      <c r="E1175" t="s">
        <v>25</v>
      </c>
      <c r="F1175" s="2">
        <v>15540</v>
      </c>
      <c r="G1175" s="2"/>
      <c r="H1175" s="2"/>
    </row>
    <row r="1176" spans="1:8">
      <c r="A1176" t="s">
        <v>196</v>
      </c>
      <c r="B1176" s="1">
        <v>43160</v>
      </c>
      <c r="C1176" s="2">
        <v>11916</v>
      </c>
      <c r="D1176" s="2">
        <v>15660</v>
      </c>
      <c r="E1176" t="s">
        <v>12</v>
      </c>
      <c r="F1176" s="2">
        <v>3744</v>
      </c>
      <c r="G1176" s="2"/>
      <c r="H1176" s="2"/>
    </row>
    <row r="1177" spans="1:8">
      <c r="A1177" t="s">
        <v>366</v>
      </c>
      <c r="B1177" s="1">
        <v>43160</v>
      </c>
      <c r="C1177" s="2">
        <v>4524</v>
      </c>
      <c r="D1177" s="2">
        <v>8616</v>
      </c>
      <c r="E1177" t="s">
        <v>12</v>
      </c>
      <c r="F1177" s="2">
        <v>4092</v>
      </c>
      <c r="G1177" s="2"/>
      <c r="H1177" s="2"/>
    </row>
    <row r="1178" spans="1:8">
      <c r="A1178" t="s">
        <v>210</v>
      </c>
      <c r="B1178" s="1">
        <v>43160</v>
      </c>
      <c r="C1178" s="2">
        <v>8880</v>
      </c>
      <c r="D1178" s="2">
        <v>14580</v>
      </c>
      <c r="E1178" t="s">
        <v>12</v>
      </c>
      <c r="F1178" s="2">
        <v>5700</v>
      </c>
      <c r="G1178" s="2"/>
      <c r="H1178" s="2"/>
    </row>
    <row r="1179" spans="1:8">
      <c r="A1179" t="s">
        <v>227</v>
      </c>
      <c r="B1179" s="1">
        <v>43160</v>
      </c>
      <c r="C1179" s="2">
        <v>6636</v>
      </c>
      <c r="D1179" s="2">
        <v>29100</v>
      </c>
      <c r="E1179" t="s">
        <v>12</v>
      </c>
      <c r="F1179" s="2">
        <v>22464</v>
      </c>
      <c r="G1179" s="2"/>
      <c r="H1179" s="2"/>
    </row>
    <row r="1180" spans="1:8">
      <c r="A1180" t="s">
        <v>486</v>
      </c>
      <c r="B1180" s="1">
        <v>43191</v>
      </c>
      <c r="C1180" s="2">
        <v>13584</v>
      </c>
      <c r="D1180" s="2">
        <v>0</v>
      </c>
      <c r="E1180" t="s">
        <v>76</v>
      </c>
      <c r="F1180" s="2">
        <v>-13584</v>
      </c>
      <c r="G1180" s="2"/>
      <c r="H1180" s="2"/>
    </row>
    <row r="1181" spans="1:8">
      <c r="A1181" t="s">
        <v>304</v>
      </c>
      <c r="B1181" s="1">
        <v>43191</v>
      </c>
      <c r="C1181" s="2">
        <v>9408</v>
      </c>
      <c r="D1181" s="2">
        <v>0</v>
      </c>
      <c r="E1181" t="s">
        <v>77</v>
      </c>
      <c r="F1181" s="2">
        <v>-9408</v>
      </c>
      <c r="G1181" s="2"/>
      <c r="H1181" s="2"/>
    </row>
    <row r="1182" spans="1:8">
      <c r="A1182" t="s">
        <v>210</v>
      </c>
      <c r="B1182" s="1">
        <v>43191</v>
      </c>
      <c r="C1182" s="2">
        <v>14580</v>
      </c>
      <c r="D1182" s="2">
        <v>6636</v>
      </c>
      <c r="E1182" t="s">
        <v>14</v>
      </c>
      <c r="F1182" s="2">
        <v>-7944</v>
      </c>
      <c r="G1182" s="2"/>
      <c r="H1182" s="2"/>
    </row>
    <row r="1183" spans="1:8">
      <c r="A1183" t="s">
        <v>202</v>
      </c>
      <c r="B1183" s="1">
        <v>43191</v>
      </c>
      <c r="C1183" s="2">
        <v>6900</v>
      </c>
      <c r="D1183" s="2">
        <v>0</v>
      </c>
      <c r="E1183" t="s">
        <v>77</v>
      </c>
      <c r="F1183" s="2">
        <v>-6900</v>
      </c>
      <c r="G1183" s="2"/>
      <c r="H1183" s="2"/>
    </row>
    <row r="1184" spans="1:8">
      <c r="A1184" t="s">
        <v>215</v>
      </c>
      <c r="B1184" s="1">
        <v>43191</v>
      </c>
      <c r="C1184" s="2">
        <v>16380</v>
      </c>
      <c r="D1184" s="2">
        <v>9936</v>
      </c>
      <c r="E1184" t="s">
        <v>14</v>
      </c>
      <c r="F1184" s="2">
        <v>-6444</v>
      </c>
      <c r="G1184" s="2"/>
      <c r="H1184" s="2"/>
    </row>
    <row r="1185" spans="1:8">
      <c r="A1185" t="s">
        <v>276</v>
      </c>
      <c r="B1185" s="1">
        <v>43191</v>
      </c>
      <c r="C1185" s="2">
        <v>4788</v>
      </c>
      <c r="D1185" s="2">
        <v>0</v>
      </c>
      <c r="E1185" t="s">
        <v>77</v>
      </c>
      <c r="F1185" s="2">
        <v>-4788</v>
      </c>
      <c r="G1185" s="2"/>
      <c r="H1185" s="2"/>
    </row>
    <row r="1186" spans="1:8">
      <c r="A1186" t="s">
        <v>366</v>
      </c>
      <c r="B1186" s="1">
        <v>43191</v>
      </c>
      <c r="C1186" s="2">
        <v>8616</v>
      </c>
      <c r="D1186" s="2">
        <v>4392</v>
      </c>
      <c r="E1186" t="s">
        <v>14</v>
      </c>
      <c r="F1186" s="2">
        <v>-4224</v>
      </c>
      <c r="G1186" s="2"/>
      <c r="H1186" s="2"/>
    </row>
    <row r="1187" spans="1:8">
      <c r="A1187" t="s">
        <v>203</v>
      </c>
      <c r="B1187" s="1">
        <v>43191</v>
      </c>
      <c r="C1187" s="2">
        <v>3732</v>
      </c>
      <c r="D1187" s="2">
        <v>0</v>
      </c>
      <c r="E1187" t="s">
        <v>77</v>
      </c>
      <c r="F1187" s="2">
        <v>-3732</v>
      </c>
      <c r="G1187" s="2"/>
      <c r="H1187" s="2"/>
    </row>
    <row r="1188" spans="1:8">
      <c r="A1188" t="s">
        <v>487</v>
      </c>
      <c r="B1188" s="1">
        <v>43191</v>
      </c>
      <c r="C1188" s="2">
        <v>14340</v>
      </c>
      <c r="D1188" s="2">
        <v>10860</v>
      </c>
      <c r="E1188" t="s">
        <v>14</v>
      </c>
      <c r="F1188" s="2">
        <v>-3480</v>
      </c>
      <c r="G1188" s="2"/>
      <c r="H1188" s="2"/>
    </row>
    <row r="1189" spans="1:8">
      <c r="A1189" t="s">
        <v>146</v>
      </c>
      <c r="B1189" s="1">
        <v>43191</v>
      </c>
      <c r="C1189" s="2">
        <v>5316</v>
      </c>
      <c r="D1189" s="2">
        <v>2880</v>
      </c>
      <c r="E1189" t="s">
        <v>14</v>
      </c>
      <c r="F1189" s="2">
        <v>-2436</v>
      </c>
      <c r="G1189" s="2"/>
      <c r="H1189" s="2"/>
    </row>
    <row r="1190" spans="1:8">
      <c r="A1190" t="s">
        <v>189</v>
      </c>
      <c r="B1190" s="1">
        <v>43191</v>
      </c>
      <c r="C1190" s="2">
        <v>3732</v>
      </c>
      <c r="D1190" s="2">
        <v>1440</v>
      </c>
      <c r="E1190" t="s">
        <v>14</v>
      </c>
      <c r="F1190" s="2">
        <v>-2292</v>
      </c>
      <c r="G1190" s="2"/>
      <c r="H1190" s="2"/>
    </row>
    <row r="1191" spans="1:8">
      <c r="A1191" t="s">
        <v>291</v>
      </c>
      <c r="B1191" s="1">
        <v>43191</v>
      </c>
      <c r="C1191" s="2">
        <v>3072</v>
      </c>
      <c r="D1191" s="2">
        <v>1200</v>
      </c>
      <c r="E1191" t="s">
        <v>14</v>
      </c>
      <c r="F1191" s="2">
        <v>-1872</v>
      </c>
      <c r="G1191" s="2"/>
      <c r="H1191" s="2"/>
    </row>
    <row r="1192" spans="1:8">
      <c r="A1192" t="s">
        <v>288</v>
      </c>
      <c r="B1192" s="1">
        <v>43191</v>
      </c>
      <c r="C1192" s="2">
        <v>1728</v>
      </c>
      <c r="D1192" s="2">
        <v>0</v>
      </c>
      <c r="E1192" t="s">
        <v>77</v>
      </c>
      <c r="F1192" s="2">
        <v>-1728</v>
      </c>
      <c r="G1192" s="2"/>
      <c r="H1192" s="2"/>
    </row>
    <row r="1193" spans="1:8">
      <c r="A1193" t="s">
        <v>205</v>
      </c>
      <c r="B1193" s="1">
        <v>43191</v>
      </c>
      <c r="C1193" s="2">
        <v>8880</v>
      </c>
      <c r="D1193" s="2">
        <v>7164</v>
      </c>
      <c r="E1193" t="s">
        <v>14</v>
      </c>
      <c r="F1193" s="2">
        <v>-1716</v>
      </c>
      <c r="G1193" s="2"/>
      <c r="H1193" s="2"/>
    </row>
    <row r="1194" spans="1:8">
      <c r="A1194" t="s">
        <v>212</v>
      </c>
      <c r="B1194" s="1">
        <v>43191</v>
      </c>
      <c r="C1194" s="2">
        <v>3600</v>
      </c>
      <c r="D1194" s="2">
        <v>2016</v>
      </c>
      <c r="E1194" t="s">
        <v>14</v>
      </c>
      <c r="F1194" s="2">
        <v>-1584</v>
      </c>
      <c r="G1194" s="2"/>
      <c r="H1194" s="2"/>
    </row>
    <row r="1195" spans="1:8">
      <c r="A1195" t="s">
        <v>281</v>
      </c>
      <c r="B1195" s="1">
        <v>43191</v>
      </c>
      <c r="C1195" s="2">
        <v>1440</v>
      </c>
      <c r="D1195" s="2">
        <v>0</v>
      </c>
      <c r="E1195" t="s">
        <v>77</v>
      </c>
      <c r="F1195" s="2">
        <v>-1440</v>
      </c>
      <c r="G1195" s="2"/>
      <c r="H1195" s="2"/>
    </row>
    <row r="1196" spans="1:8">
      <c r="A1196" t="s">
        <v>323</v>
      </c>
      <c r="B1196" s="1">
        <v>43191</v>
      </c>
      <c r="C1196" s="2">
        <v>2640</v>
      </c>
      <c r="D1196" s="2">
        <v>1200</v>
      </c>
      <c r="E1196" t="s">
        <v>14</v>
      </c>
      <c r="F1196" s="2">
        <v>-1440</v>
      </c>
      <c r="G1196" s="2"/>
      <c r="H1196" s="2"/>
    </row>
    <row r="1197" spans="1:8">
      <c r="A1197" t="s">
        <v>254</v>
      </c>
      <c r="B1197" s="1">
        <v>43191</v>
      </c>
      <c r="C1197" s="2">
        <v>2640</v>
      </c>
      <c r="D1197" s="2">
        <v>1200</v>
      </c>
      <c r="E1197" t="s">
        <v>14</v>
      </c>
      <c r="F1197" s="2">
        <v>-1440</v>
      </c>
      <c r="G1197" s="2"/>
      <c r="H1197" s="2"/>
    </row>
    <row r="1198" spans="1:8">
      <c r="A1198" t="s">
        <v>213</v>
      </c>
      <c r="B1198" s="1">
        <v>43191</v>
      </c>
      <c r="C1198" s="2">
        <v>2736</v>
      </c>
      <c r="D1198" s="2">
        <v>1440</v>
      </c>
      <c r="E1198" t="s">
        <v>14</v>
      </c>
      <c r="F1198" s="2">
        <v>-1296</v>
      </c>
      <c r="G1198" s="2"/>
      <c r="H1198" s="2"/>
    </row>
    <row r="1199" spans="1:8">
      <c r="A1199" t="s">
        <v>196</v>
      </c>
      <c r="B1199" s="1">
        <v>43191</v>
      </c>
      <c r="C1199" s="2">
        <v>15660</v>
      </c>
      <c r="D1199" s="2">
        <v>14580</v>
      </c>
      <c r="E1199" t="s">
        <v>14</v>
      </c>
      <c r="F1199" s="2">
        <v>-1080</v>
      </c>
      <c r="G1199" s="2"/>
      <c r="H1199" s="2"/>
    </row>
    <row r="1200" spans="1:8">
      <c r="A1200" t="s">
        <v>489</v>
      </c>
      <c r="B1200" s="1">
        <v>43191</v>
      </c>
      <c r="C1200" s="2">
        <v>15540</v>
      </c>
      <c r="D1200" s="2">
        <v>14460</v>
      </c>
      <c r="E1200" t="s">
        <v>14</v>
      </c>
      <c r="F1200" s="2">
        <v>-1080</v>
      </c>
      <c r="G1200" s="2"/>
      <c r="H1200" s="2"/>
    </row>
    <row r="1201" spans="1:8">
      <c r="A1201" t="s">
        <v>479</v>
      </c>
      <c r="B1201" s="1">
        <v>43191</v>
      </c>
      <c r="C1201" s="2">
        <v>2736</v>
      </c>
      <c r="D1201" s="2">
        <v>1728</v>
      </c>
      <c r="E1201" t="s">
        <v>14</v>
      </c>
      <c r="F1201" s="2">
        <v>-1008</v>
      </c>
      <c r="G1201" s="2"/>
      <c r="H1201" s="2"/>
    </row>
    <row r="1202" spans="1:8">
      <c r="A1202" t="s">
        <v>354</v>
      </c>
      <c r="B1202" s="1">
        <v>43191</v>
      </c>
      <c r="C1202" s="2">
        <v>2448</v>
      </c>
      <c r="D1202" s="2">
        <v>1440</v>
      </c>
      <c r="E1202" t="s">
        <v>14</v>
      </c>
      <c r="F1202" s="2">
        <v>-1008</v>
      </c>
      <c r="G1202" s="2"/>
      <c r="H1202" s="2"/>
    </row>
    <row r="1203" spans="1:8">
      <c r="A1203" t="s">
        <v>404</v>
      </c>
      <c r="B1203" s="1">
        <v>43191</v>
      </c>
      <c r="C1203" s="2">
        <v>2304</v>
      </c>
      <c r="D1203" s="2">
        <v>1440</v>
      </c>
      <c r="E1203" t="s">
        <v>14</v>
      </c>
      <c r="F1203" s="2">
        <v>-864</v>
      </c>
      <c r="G1203" s="2"/>
      <c r="H1203" s="2"/>
    </row>
    <row r="1204" spans="1:8">
      <c r="A1204" t="s">
        <v>477</v>
      </c>
      <c r="B1204" s="1">
        <v>43191</v>
      </c>
      <c r="C1204" s="2">
        <v>2736</v>
      </c>
      <c r="D1204" s="2">
        <v>2016</v>
      </c>
      <c r="E1204" t="s">
        <v>14</v>
      </c>
      <c r="F1204" s="2">
        <v>-720</v>
      </c>
      <c r="G1204" s="2"/>
      <c r="H1204" s="2"/>
    </row>
    <row r="1205" spans="1:8">
      <c r="A1205" t="s">
        <v>476</v>
      </c>
      <c r="B1205" s="1">
        <v>43191</v>
      </c>
      <c r="C1205" s="2">
        <v>2016</v>
      </c>
      <c r="D1205" s="2">
        <v>1440</v>
      </c>
      <c r="E1205" t="s">
        <v>14</v>
      </c>
      <c r="F1205" s="2">
        <v>-576</v>
      </c>
      <c r="G1205" s="2"/>
      <c r="H1205" s="2"/>
    </row>
    <row r="1206" spans="1:8">
      <c r="A1206" t="s">
        <v>481</v>
      </c>
      <c r="B1206" s="1">
        <v>43191</v>
      </c>
      <c r="C1206" s="2">
        <v>4260</v>
      </c>
      <c r="D1206" s="2">
        <v>3732</v>
      </c>
      <c r="E1206" t="s">
        <v>14</v>
      </c>
      <c r="F1206" s="2">
        <v>-528</v>
      </c>
      <c r="G1206" s="2"/>
      <c r="H1206" s="2"/>
    </row>
    <row r="1207" spans="1:8">
      <c r="A1207" t="s">
        <v>170</v>
      </c>
      <c r="B1207" s="1">
        <v>43191</v>
      </c>
      <c r="C1207" s="2">
        <v>2592</v>
      </c>
      <c r="D1207" s="2">
        <v>2160</v>
      </c>
      <c r="E1207" t="s">
        <v>14</v>
      </c>
      <c r="F1207" s="2">
        <v>-432</v>
      </c>
      <c r="G1207" s="2"/>
      <c r="H1207" s="2"/>
    </row>
    <row r="1208" spans="1:8">
      <c r="A1208" t="s">
        <v>358</v>
      </c>
      <c r="B1208" s="1">
        <v>43191</v>
      </c>
      <c r="C1208" s="2">
        <v>2592</v>
      </c>
      <c r="D1208" s="2">
        <v>2160</v>
      </c>
      <c r="E1208" t="s">
        <v>14</v>
      </c>
      <c r="F1208" s="2">
        <v>-432</v>
      </c>
      <c r="G1208" s="2"/>
      <c r="H1208" s="2"/>
    </row>
    <row r="1209" spans="1:8">
      <c r="A1209" t="s">
        <v>347</v>
      </c>
      <c r="B1209" s="1">
        <v>43191</v>
      </c>
      <c r="C1209" s="2">
        <v>2448</v>
      </c>
      <c r="D1209" s="2">
        <v>2160</v>
      </c>
      <c r="E1209" t="s">
        <v>14</v>
      </c>
      <c r="F1209" s="2">
        <v>-288</v>
      </c>
      <c r="G1209" s="2"/>
      <c r="H1209" s="2"/>
    </row>
    <row r="1210" spans="1:8">
      <c r="A1210" t="s">
        <v>294</v>
      </c>
      <c r="B1210" s="1">
        <v>43191</v>
      </c>
      <c r="C1210" s="2">
        <v>8748</v>
      </c>
      <c r="D1210" s="2">
        <v>8484</v>
      </c>
      <c r="E1210" t="s">
        <v>14</v>
      </c>
      <c r="F1210" s="2">
        <v>-264</v>
      </c>
      <c r="G1210" s="2"/>
      <c r="H1210" s="2"/>
    </row>
    <row r="1211" spans="1:8">
      <c r="A1211" t="s">
        <v>362</v>
      </c>
      <c r="B1211" s="1">
        <v>43191</v>
      </c>
      <c r="C1211" s="2">
        <v>3312</v>
      </c>
      <c r="D1211" s="2">
        <v>3168</v>
      </c>
      <c r="E1211" t="s">
        <v>14</v>
      </c>
      <c r="F1211" s="2">
        <v>-144</v>
      </c>
      <c r="G1211" s="2"/>
      <c r="H1211" s="2"/>
    </row>
    <row r="1212" spans="1:8">
      <c r="A1212" t="s">
        <v>307</v>
      </c>
      <c r="B1212" s="1">
        <v>43191</v>
      </c>
      <c r="C1212" s="2">
        <v>3168</v>
      </c>
      <c r="D1212" s="2">
        <v>3024</v>
      </c>
      <c r="E1212" t="s">
        <v>14</v>
      </c>
      <c r="F1212" s="2">
        <v>-144</v>
      </c>
      <c r="G1212" s="2"/>
      <c r="H1212" s="2"/>
    </row>
    <row r="1213" spans="1:8">
      <c r="A1213" t="s">
        <v>473</v>
      </c>
      <c r="B1213" s="1">
        <v>43191</v>
      </c>
      <c r="C1213" s="2">
        <v>1728</v>
      </c>
      <c r="D1213" s="2">
        <v>1584</v>
      </c>
      <c r="E1213" t="s">
        <v>14</v>
      </c>
      <c r="F1213" s="2">
        <v>-144</v>
      </c>
      <c r="G1213" s="2"/>
      <c r="H1213" s="2"/>
    </row>
    <row r="1214" spans="1:8">
      <c r="A1214" t="s">
        <v>234</v>
      </c>
      <c r="B1214" s="1">
        <v>43191</v>
      </c>
      <c r="C1214" s="2">
        <v>1584</v>
      </c>
      <c r="D1214" s="2">
        <v>1440</v>
      </c>
      <c r="E1214" t="s">
        <v>14</v>
      </c>
      <c r="F1214" s="2">
        <v>-144</v>
      </c>
      <c r="G1214" s="2"/>
      <c r="H1214" s="2"/>
    </row>
    <row r="1215" spans="1:8">
      <c r="A1215" t="s">
        <v>241</v>
      </c>
      <c r="B1215" s="1">
        <v>43191</v>
      </c>
      <c r="C1215" s="2">
        <v>1584</v>
      </c>
      <c r="D1215" s="2">
        <v>1440</v>
      </c>
      <c r="E1215" t="s">
        <v>14</v>
      </c>
      <c r="F1215" s="2">
        <v>-144</v>
      </c>
      <c r="G1215" s="2"/>
      <c r="H1215" s="2"/>
    </row>
    <row r="1216" spans="1:8">
      <c r="A1216" t="s">
        <v>472</v>
      </c>
      <c r="B1216" s="1">
        <v>43191</v>
      </c>
      <c r="C1216" s="2">
        <v>1584</v>
      </c>
      <c r="D1216" s="2">
        <v>1440</v>
      </c>
      <c r="E1216" t="s">
        <v>14</v>
      </c>
      <c r="F1216" s="2">
        <v>-144</v>
      </c>
      <c r="G1216" s="2"/>
      <c r="H1216" s="2"/>
    </row>
    <row r="1217" spans="1:8">
      <c r="A1217" t="s">
        <v>422</v>
      </c>
      <c r="B1217" s="1">
        <v>43191</v>
      </c>
      <c r="C1217" s="2">
        <v>4260</v>
      </c>
      <c r="D1217" s="2">
        <v>4128</v>
      </c>
      <c r="E1217" t="s">
        <v>14</v>
      </c>
      <c r="F1217" s="2">
        <v>-132</v>
      </c>
      <c r="G1217" s="2"/>
      <c r="H1217" s="2"/>
    </row>
    <row r="1218" spans="1:8">
      <c r="A1218" t="s">
        <v>423</v>
      </c>
      <c r="B1218" s="1">
        <v>43191</v>
      </c>
      <c r="C1218" s="2">
        <v>8484</v>
      </c>
      <c r="D1218" s="2">
        <v>8484</v>
      </c>
      <c r="E1218" t="s">
        <v>73</v>
      </c>
      <c r="F1218" s="2">
        <v>0</v>
      </c>
      <c r="G1218" s="2"/>
      <c r="H1218" s="2"/>
    </row>
    <row r="1219" spans="1:8">
      <c r="A1219" t="s">
        <v>421</v>
      </c>
      <c r="B1219" s="1">
        <v>43191</v>
      </c>
      <c r="C1219" s="2">
        <v>4128</v>
      </c>
      <c r="D1219" s="2">
        <v>4128</v>
      </c>
      <c r="E1219" t="s">
        <v>73</v>
      </c>
      <c r="F1219" s="2">
        <v>0</v>
      </c>
      <c r="G1219" s="2"/>
      <c r="H1219" s="2"/>
    </row>
    <row r="1220" spans="1:8">
      <c r="A1220" t="s">
        <v>355</v>
      </c>
      <c r="B1220" s="1">
        <v>43191</v>
      </c>
      <c r="C1220" s="2">
        <v>3600</v>
      </c>
      <c r="D1220" s="2">
        <v>3600</v>
      </c>
      <c r="E1220" t="s">
        <v>73</v>
      </c>
      <c r="F1220" s="2">
        <v>0</v>
      </c>
      <c r="G1220" s="2"/>
      <c r="H1220" s="2"/>
    </row>
    <row r="1221" spans="1:8">
      <c r="A1221" t="s">
        <v>365</v>
      </c>
      <c r="B1221" s="1">
        <v>43191</v>
      </c>
      <c r="C1221" s="2">
        <v>3000</v>
      </c>
      <c r="D1221" s="2">
        <v>3000</v>
      </c>
      <c r="E1221" t="s">
        <v>73</v>
      </c>
      <c r="F1221" s="2">
        <v>0</v>
      </c>
      <c r="G1221" s="2"/>
      <c r="H1221" s="2"/>
    </row>
    <row r="1222" spans="1:8">
      <c r="A1222" t="s">
        <v>363</v>
      </c>
      <c r="B1222" s="1">
        <v>43191</v>
      </c>
      <c r="C1222" s="2">
        <v>3000</v>
      </c>
      <c r="D1222" s="2">
        <v>3000</v>
      </c>
      <c r="E1222" t="s">
        <v>73</v>
      </c>
      <c r="F1222" s="2">
        <v>0</v>
      </c>
      <c r="G1222" s="2"/>
      <c r="H1222" s="2"/>
    </row>
    <row r="1223" spans="1:8">
      <c r="A1223" t="s">
        <v>418</v>
      </c>
      <c r="B1223" s="1">
        <v>43191</v>
      </c>
      <c r="C1223" s="2">
        <v>2880</v>
      </c>
      <c r="D1223" s="2">
        <v>2880</v>
      </c>
      <c r="E1223" t="s">
        <v>73</v>
      </c>
      <c r="F1223" s="2">
        <v>0</v>
      </c>
      <c r="G1223" s="2"/>
      <c r="H1223" s="2"/>
    </row>
    <row r="1224" spans="1:8">
      <c r="A1224" t="s">
        <v>318</v>
      </c>
      <c r="B1224" s="1">
        <v>43191</v>
      </c>
      <c r="C1224" s="2">
        <v>2736</v>
      </c>
      <c r="D1224" s="2">
        <v>2736</v>
      </c>
      <c r="E1224" t="s">
        <v>73</v>
      </c>
      <c r="F1224" s="2">
        <v>0</v>
      </c>
      <c r="G1224" s="2"/>
      <c r="H1224" s="2"/>
    </row>
    <row r="1225" spans="1:8">
      <c r="A1225" t="s">
        <v>419</v>
      </c>
      <c r="B1225" s="1">
        <v>43191</v>
      </c>
      <c r="C1225" s="2">
        <v>2448</v>
      </c>
      <c r="D1225" s="2">
        <v>2448</v>
      </c>
      <c r="E1225" t="s">
        <v>73</v>
      </c>
      <c r="F1225" s="2">
        <v>0</v>
      </c>
      <c r="G1225" s="2"/>
      <c r="H1225" s="2"/>
    </row>
    <row r="1226" spans="1:8">
      <c r="A1226" t="s">
        <v>350</v>
      </c>
      <c r="B1226" s="1">
        <v>43191</v>
      </c>
      <c r="C1226" s="2">
        <v>2304</v>
      </c>
      <c r="D1226" s="2">
        <v>2304</v>
      </c>
      <c r="E1226" t="s">
        <v>73</v>
      </c>
      <c r="F1226" s="2">
        <v>0</v>
      </c>
      <c r="G1226" s="2"/>
      <c r="H1226" s="2"/>
    </row>
    <row r="1227" spans="1:8">
      <c r="A1227" t="s">
        <v>378</v>
      </c>
      <c r="B1227" s="1">
        <v>43191</v>
      </c>
      <c r="C1227" s="2">
        <v>1440</v>
      </c>
      <c r="D1227" s="2">
        <v>1440</v>
      </c>
      <c r="E1227" t="s">
        <v>73</v>
      </c>
      <c r="F1227" s="2">
        <v>0</v>
      </c>
      <c r="G1227" s="2"/>
      <c r="H1227" s="2"/>
    </row>
    <row r="1228" spans="1:8">
      <c r="A1228" t="s">
        <v>155</v>
      </c>
      <c r="B1228" s="1">
        <v>43191</v>
      </c>
      <c r="C1228" s="2">
        <v>1440</v>
      </c>
      <c r="D1228" s="2">
        <v>1440</v>
      </c>
      <c r="E1228" t="s">
        <v>73</v>
      </c>
      <c r="F1228" s="2">
        <v>0</v>
      </c>
      <c r="G1228" s="2"/>
      <c r="H1228" s="2"/>
    </row>
    <row r="1229" spans="1:8">
      <c r="A1229" t="s">
        <v>156</v>
      </c>
      <c r="B1229" s="1">
        <v>43191</v>
      </c>
      <c r="C1229" s="2">
        <v>1440</v>
      </c>
      <c r="D1229" s="2">
        <v>1440</v>
      </c>
      <c r="E1229" t="s">
        <v>73</v>
      </c>
      <c r="F1229" s="2">
        <v>0</v>
      </c>
      <c r="G1229" s="2"/>
      <c r="H1229" s="2"/>
    </row>
    <row r="1230" spans="1:8">
      <c r="A1230" t="s">
        <v>158</v>
      </c>
      <c r="B1230" s="1">
        <v>43191</v>
      </c>
      <c r="C1230" s="2">
        <v>1440</v>
      </c>
      <c r="D1230" s="2">
        <v>1440</v>
      </c>
      <c r="E1230" t="s">
        <v>73</v>
      </c>
      <c r="F1230" s="2">
        <v>0</v>
      </c>
      <c r="G1230" s="2"/>
      <c r="H1230" s="2"/>
    </row>
    <row r="1231" spans="1:8">
      <c r="A1231" t="s">
        <v>379</v>
      </c>
      <c r="B1231" s="1">
        <v>43191</v>
      </c>
      <c r="C1231" s="2">
        <v>1440</v>
      </c>
      <c r="D1231" s="2">
        <v>1440</v>
      </c>
      <c r="E1231" t="s">
        <v>73</v>
      </c>
      <c r="F1231" s="2">
        <v>0</v>
      </c>
      <c r="G1231" s="2"/>
      <c r="H1231" s="2"/>
    </row>
    <row r="1232" spans="1:8">
      <c r="A1232" t="s">
        <v>123</v>
      </c>
      <c r="B1232" s="1">
        <v>43191</v>
      </c>
      <c r="C1232" s="2">
        <v>1440</v>
      </c>
      <c r="D1232" s="2">
        <v>1440</v>
      </c>
      <c r="E1232" t="s">
        <v>73</v>
      </c>
      <c r="F1232" s="2">
        <v>0</v>
      </c>
      <c r="G1232" s="2"/>
      <c r="H1232" s="2"/>
    </row>
    <row r="1233" spans="1:8">
      <c r="A1233" t="s">
        <v>159</v>
      </c>
      <c r="B1233" s="1">
        <v>43191</v>
      </c>
      <c r="C1233" s="2">
        <v>1440</v>
      </c>
      <c r="D1233" s="2">
        <v>1440</v>
      </c>
      <c r="E1233" t="s">
        <v>73</v>
      </c>
      <c r="F1233" s="2">
        <v>0</v>
      </c>
      <c r="G1233" s="2"/>
      <c r="H1233" s="2"/>
    </row>
    <row r="1234" spans="1:8">
      <c r="A1234" t="s">
        <v>228</v>
      </c>
      <c r="B1234" s="1">
        <v>43191</v>
      </c>
      <c r="C1234" s="2">
        <v>1440</v>
      </c>
      <c r="D1234" s="2">
        <v>1440</v>
      </c>
      <c r="E1234" t="s">
        <v>73</v>
      </c>
      <c r="F1234" s="2">
        <v>0</v>
      </c>
      <c r="G1234" s="2"/>
      <c r="H1234" s="2"/>
    </row>
    <row r="1235" spans="1:8">
      <c r="A1235" t="s">
        <v>229</v>
      </c>
      <c r="B1235" s="1">
        <v>43191</v>
      </c>
      <c r="C1235" s="2">
        <v>1440</v>
      </c>
      <c r="D1235" s="2">
        <v>1440</v>
      </c>
      <c r="E1235" t="s">
        <v>73</v>
      </c>
      <c r="F1235" s="2">
        <v>0</v>
      </c>
      <c r="G1235" s="2"/>
      <c r="H1235" s="2"/>
    </row>
    <row r="1236" spans="1:8">
      <c r="A1236" t="s">
        <v>320</v>
      </c>
      <c r="B1236" s="1">
        <v>43191</v>
      </c>
      <c r="C1236" s="2">
        <v>1440</v>
      </c>
      <c r="D1236" s="2">
        <v>1440</v>
      </c>
      <c r="E1236" t="s">
        <v>73</v>
      </c>
      <c r="F1236" s="2">
        <v>0</v>
      </c>
      <c r="G1236" s="2"/>
      <c r="H1236" s="2"/>
    </row>
    <row r="1237" spans="1:8">
      <c r="A1237" t="s">
        <v>160</v>
      </c>
      <c r="B1237" s="1">
        <v>43191</v>
      </c>
      <c r="C1237" s="2">
        <v>1440</v>
      </c>
      <c r="D1237" s="2">
        <v>1440</v>
      </c>
      <c r="E1237" t="s">
        <v>73</v>
      </c>
      <c r="F1237" s="2">
        <v>0</v>
      </c>
      <c r="G1237" s="2"/>
      <c r="H1237" s="2"/>
    </row>
    <row r="1238" spans="1:8">
      <c r="A1238" t="s">
        <v>321</v>
      </c>
      <c r="B1238" s="1">
        <v>43191</v>
      </c>
      <c r="C1238" s="2">
        <v>1440</v>
      </c>
      <c r="D1238" s="2">
        <v>1440</v>
      </c>
      <c r="E1238" t="s">
        <v>73</v>
      </c>
      <c r="F1238" s="2">
        <v>0</v>
      </c>
      <c r="G1238" s="2"/>
      <c r="H1238" s="2"/>
    </row>
    <row r="1239" spans="1:8">
      <c r="A1239" t="s">
        <v>431</v>
      </c>
      <c r="B1239" s="1">
        <v>43191</v>
      </c>
      <c r="C1239" s="2">
        <v>1440</v>
      </c>
      <c r="D1239" s="2">
        <v>1440</v>
      </c>
      <c r="E1239" t="s">
        <v>73</v>
      </c>
      <c r="F1239" s="2">
        <v>0</v>
      </c>
      <c r="G1239" s="2"/>
      <c r="H1239" s="2"/>
    </row>
    <row r="1240" spans="1:8">
      <c r="A1240" t="s">
        <v>322</v>
      </c>
      <c r="B1240" s="1">
        <v>43191</v>
      </c>
      <c r="C1240" s="2">
        <v>1440</v>
      </c>
      <c r="D1240" s="2">
        <v>1440</v>
      </c>
      <c r="E1240" t="s">
        <v>73</v>
      </c>
      <c r="F1240" s="2">
        <v>0</v>
      </c>
      <c r="G1240" s="2"/>
      <c r="H1240" s="2"/>
    </row>
    <row r="1241" spans="1:8">
      <c r="A1241" t="s">
        <v>432</v>
      </c>
      <c r="B1241" s="1">
        <v>43191</v>
      </c>
      <c r="C1241" s="2">
        <v>1440</v>
      </c>
      <c r="D1241" s="2">
        <v>1440</v>
      </c>
      <c r="E1241" t="s">
        <v>73</v>
      </c>
      <c r="F1241" s="2">
        <v>0</v>
      </c>
      <c r="G1241" s="2"/>
      <c r="H1241" s="2"/>
    </row>
    <row r="1242" spans="1:8">
      <c r="A1242" t="s">
        <v>433</v>
      </c>
      <c r="B1242" s="1">
        <v>43191</v>
      </c>
      <c r="C1242" s="2">
        <v>1440</v>
      </c>
      <c r="D1242" s="2">
        <v>1440</v>
      </c>
      <c r="E1242" t="s">
        <v>73</v>
      </c>
      <c r="F1242" s="2">
        <v>0</v>
      </c>
      <c r="G1242" s="2"/>
      <c r="H1242" s="2"/>
    </row>
    <row r="1243" spans="1:8">
      <c r="A1243" t="s">
        <v>231</v>
      </c>
      <c r="B1243" s="1">
        <v>43191</v>
      </c>
      <c r="C1243" s="2">
        <v>1440</v>
      </c>
      <c r="D1243" s="2">
        <v>1440</v>
      </c>
      <c r="E1243" t="s">
        <v>73</v>
      </c>
      <c r="F1243" s="2">
        <v>0</v>
      </c>
      <c r="G1243" s="2"/>
      <c r="H1243" s="2"/>
    </row>
    <row r="1244" spans="1:8">
      <c r="A1244" t="s">
        <v>381</v>
      </c>
      <c r="B1244" s="1">
        <v>43191</v>
      </c>
      <c r="C1244" s="2">
        <v>1440</v>
      </c>
      <c r="D1244" s="2">
        <v>1440</v>
      </c>
      <c r="E1244" t="s">
        <v>73</v>
      </c>
      <c r="F1244" s="2">
        <v>0</v>
      </c>
      <c r="G1244" s="2"/>
      <c r="H1244" s="2"/>
    </row>
    <row r="1245" spans="1:8">
      <c r="A1245" t="s">
        <v>199</v>
      </c>
      <c r="B1245" s="1">
        <v>43191</v>
      </c>
      <c r="C1245" s="2">
        <v>1440</v>
      </c>
      <c r="D1245" s="2">
        <v>1440</v>
      </c>
      <c r="E1245" t="s">
        <v>73</v>
      </c>
      <c r="F1245" s="2">
        <v>0</v>
      </c>
      <c r="G1245" s="2"/>
      <c r="H1245" s="2"/>
    </row>
    <row r="1246" spans="1:8">
      <c r="A1246" t="s">
        <v>325</v>
      </c>
      <c r="B1246" s="1">
        <v>43191</v>
      </c>
      <c r="C1246" s="2">
        <v>1440</v>
      </c>
      <c r="D1246" s="2">
        <v>1440</v>
      </c>
      <c r="E1246" t="s">
        <v>73</v>
      </c>
      <c r="F1246" s="2">
        <v>0</v>
      </c>
      <c r="G1246" s="2"/>
      <c r="H1246" s="2"/>
    </row>
    <row r="1247" spans="1:8">
      <c r="A1247" t="s">
        <v>326</v>
      </c>
      <c r="B1247" s="1">
        <v>43191</v>
      </c>
      <c r="C1247" s="2">
        <v>1440</v>
      </c>
      <c r="D1247" s="2">
        <v>1440</v>
      </c>
      <c r="E1247" t="s">
        <v>73</v>
      </c>
      <c r="F1247" s="2">
        <v>0</v>
      </c>
      <c r="G1247" s="2"/>
      <c r="H1247" s="2"/>
    </row>
    <row r="1248" spans="1:8">
      <c r="A1248" t="s">
        <v>434</v>
      </c>
      <c r="B1248" s="1">
        <v>43191</v>
      </c>
      <c r="C1248" s="2">
        <v>1440</v>
      </c>
      <c r="D1248" s="2">
        <v>1440</v>
      </c>
      <c r="E1248" t="s">
        <v>73</v>
      </c>
      <c r="F1248" s="2">
        <v>0</v>
      </c>
      <c r="G1248" s="2"/>
      <c r="H1248" s="2"/>
    </row>
    <row r="1249" spans="1:8">
      <c r="A1249" t="s">
        <v>327</v>
      </c>
      <c r="B1249" s="1">
        <v>43191</v>
      </c>
      <c r="C1249" s="2">
        <v>1440</v>
      </c>
      <c r="D1249" s="2">
        <v>1440</v>
      </c>
      <c r="E1249" t="s">
        <v>73</v>
      </c>
      <c r="F1249" s="2">
        <v>0</v>
      </c>
      <c r="G1249" s="2"/>
      <c r="H1249" s="2"/>
    </row>
    <row r="1250" spans="1:8">
      <c r="A1250" t="s">
        <v>161</v>
      </c>
      <c r="B1250" s="1">
        <v>43191</v>
      </c>
      <c r="C1250" s="2">
        <v>1440</v>
      </c>
      <c r="D1250" s="2">
        <v>1440</v>
      </c>
      <c r="E1250" t="s">
        <v>73</v>
      </c>
      <c r="F1250" s="2">
        <v>0</v>
      </c>
      <c r="G1250" s="2"/>
      <c r="H1250" s="2"/>
    </row>
    <row r="1251" spans="1:8">
      <c r="A1251" t="s">
        <v>162</v>
      </c>
      <c r="B1251" s="1">
        <v>43191</v>
      </c>
      <c r="C1251" s="2">
        <v>1440</v>
      </c>
      <c r="D1251" s="2">
        <v>1440</v>
      </c>
      <c r="E1251" t="s">
        <v>73</v>
      </c>
      <c r="F1251" s="2">
        <v>0</v>
      </c>
      <c r="G1251" s="2"/>
      <c r="H1251" s="2"/>
    </row>
    <row r="1252" spans="1:8">
      <c r="A1252" t="s">
        <v>382</v>
      </c>
      <c r="B1252" s="1">
        <v>43191</v>
      </c>
      <c r="C1252" s="2">
        <v>1440</v>
      </c>
      <c r="D1252" s="2">
        <v>1440</v>
      </c>
      <c r="E1252" t="s">
        <v>73</v>
      </c>
      <c r="F1252" s="2">
        <v>0</v>
      </c>
      <c r="G1252" s="2"/>
      <c r="H1252" s="2"/>
    </row>
    <row r="1253" spans="1:8">
      <c r="A1253" t="s">
        <v>436</v>
      </c>
      <c r="B1253" s="1">
        <v>43191</v>
      </c>
      <c r="C1253" s="2">
        <v>1440</v>
      </c>
      <c r="D1253" s="2">
        <v>1440</v>
      </c>
      <c r="E1253" t="s">
        <v>73</v>
      </c>
      <c r="F1253" s="2">
        <v>0</v>
      </c>
      <c r="G1253" s="2"/>
      <c r="H1253" s="2"/>
    </row>
    <row r="1254" spans="1:8">
      <c r="A1254" t="s">
        <v>437</v>
      </c>
      <c r="B1254" s="1">
        <v>43191</v>
      </c>
      <c r="C1254" s="2">
        <v>1440</v>
      </c>
      <c r="D1254" s="2">
        <v>1440</v>
      </c>
      <c r="E1254" t="s">
        <v>73</v>
      </c>
      <c r="F1254" s="2">
        <v>0</v>
      </c>
      <c r="G1254" s="2"/>
      <c r="H1254" s="2"/>
    </row>
    <row r="1255" spans="1:8">
      <c r="A1255" t="s">
        <v>330</v>
      </c>
      <c r="B1255" s="1">
        <v>43191</v>
      </c>
      <c r="C1255" s="2">
        <v>1440</v>
      </c>
      <c r="D1255" s="2">
        <v>1440</v>
      </c>
      <c r="E1255" t="s">
        <v>73</v>
      </c>
      <c r="F1255" s="2">
        <v>0</v>
      </c>
      <c r="G1255" s="2"/>
      <c r="H1255" s="2"/>
    </row>
    <row r="1256" spans="1:8">
      <c r="A1256" t="s">
        <v>163</v>
      </c>
      <c r="B1256" s="1">
        <v>43191</v>
      </c>
      <c r="C1256" s="2">
        <v>1440</v>
      </c>
      <c r="D1256" s="2">
        <v>1440</v>
      </c>
      <c r="E1256" t="s">
        <v>73</v>
      </c>
      <c r="F1256" s="2">
        <v>0</v>
      </c>
      <c r="G1256" s="2"/>
      <c r="H1256" s="2"/>
    </row>
    <row r="1257" spans="1:8">
      <c r="A1257" t="s">
        <v>331</v>
      </c>
      <c r="B1257" s="1">
        <v>43191</v>
      </c>
      <c r="C1257" s="2">
        <v>1440</v>
      </c>
      <c r="D1257" s="2">
        <v>1440</v>
      </c>
      <c r="E1257" t="s">
        <v>73</v>
      </c>
      <c r="F1257" s="2">
        <v>0</v>
      </c>
      <c r="G1257" s="2"/>
      <c r="H1257" s="2"/>
    </row>
    <row r="1258" spans="1:8">
      <c r="A1258" t="s">
        <v>438</v>
      </c>
      <c r="B1258" s="1">
        <v>43191</v>
      </c>
      <c r="C1258" s="2">
        <v>1440</v>
      </c>
      <c r="D1258" s="2">
        <v>1440</v>
      </c>
      <c r="E1258" t="s">
        <v>73</v>
      </c>
      <c r="F1258" s="2">
        <v>0</v>
      </c>
      <c r="G1258" s="2"/>
      <c r="H1258" s="2"/>
    </row>
    <row r="1259" spans="1:8">
      <c r="A1259" t="s">
        <v>233</v>
      </c>
      <c r="B1259" s="1">
        <v>43191</v>
      </c>
      <c r="C1259" s="2">
        <v>1440</v>
      </c>
      <c r="D1259" s="2">
        <v>1440</v>
      </c>
      <c r="E1259" t="s">
        <v>73</v>
      </c>
      <c r="F1259" s="2">
        <v>0</v>
      </c>
      <c r="G1259" s="2"/>
      <c r="H1259" s="2"/>
    </row>
    <row r="1260" spans="1:8">
      <c r="A1260" t="s">
        <v>383</v>
      </c>
      <c r="B1260" s="1">
        <v>43191</v>
      </c>
      <c r="C1260" s="2">
        <v>1440</v>
      </c>
      <c r="D1260" s="2">
        <v>1440</v>
      </c>
      <c r="E1260" t="s">
        <v>73</v>
      </c>
      <c r="F1260" s="2">
        <v>0</v>
      </c>
      <c r="G1260" s="2"/>
      <c r="H1260" s="2"/>
    </row>
    <row r="1261" spans="1:8">
      <c r="A1261" t="s">
        <v>235</v>
      </c>
      <c r="B1261" s="1">
        <v>43191</v>
      </c>
      <c r="C1261" s="2">
        <v>1440</v>
      </c>
      <c r="D1261" s="2">
        <v>1440</v>
      </c>
      <c r="E1261" t="s">
        <v>73</v>
      </c>
      <c r="F1261" s="2">
        <v>0</v>
      </c>
      <c r="G1261" s="2"/>
      <c r="H1261" s="2"/>
    </row>
    <row r="1262" spans="1:8">
      <c r="A1262" t="s">
        <v>428</v>
      </c>
      <c r="B1262" s="1">
        <v>43191</v>
      </c>
      <c r="C1262" s="2">
        <v>1440</v>
      </c>
      <c r="D1262" s="2">
        <v>1440</v>
      </c>
      <c r="E1262" t="s">
        <v>73</v>
      </c>
      <c r="F1262" s="2">
        <v>0</v>
      </c>
      <c r="G1262" s="2"/>
      <c r="H1262" s="2"/>
    </row>
    <row r="1263" spans="1:8">
      <c r="A1263" t="s">
        <v>332</v>
      </c>
      <c r="B1263" s="1">
        <v>43191</v>
      </c>
      <c r="C1263" s="2">
        <v>1440</v>
      </c>
      <c r="D1263" s="2">
        <v>1440</v>
      </c>
      <c r="E1263" t="s">
        <v>73</v>
      </c>
      <c r="F1263" s="2">
        <v>0</v>
      </c>
      <c r="G1263" s="2"/>
      <c r="H1263" s="2"/>
    </row>
    <row r="1264" spans="1:8">
      <c r="A1264" t="s">
        <v>165</v>
      </c>
      <c r="B1264" s="1">
        <v>43191</v>
      </c>
      <c r="C1264" s="2">
        <v>1440</v>
      </c>
      <c r="D1264" s="2">
        <v>1440</v>
      </c>
      <c r="E1264" t="s">
        <v>73</v>
      </c>
      <c r="F1264" s="2">
        <v>0</v>
      </c>
      <c r="G1264" s="2"/>
      <c r="H1264" s="2"/>
    </row>
    <row r="1265" spans="1:8">
      <c r="A1265" t="s">
        <v>166</v>
      </c>
      <c r="B1265" s="1">
        <v>43191</v>
      </c>
      <c r="C1265" s="2">
        <v>1440</v>
      </c>
      <c r="D1265" s="2">
        <v>1440</v>
      </c>
      <c r="E1265" t="s">
        <v>73</v>
      </c>
      <c r="F1265" s="2">
        <v>0</v>
      </c>
      <c r="G1265" s="2"/>
      <c r="H1265" s="2"/>
    </row>
    <row r="1266" spans="1:8">
      <c r="A1266" t="s">
        <v>237</v>
      </c>
      <c r="B1266" s="1">
        <v>43191</v>
      </c>
      <c r="C1266" s="2">
        <v>1440</v>
      </c>
      <c r="D1266" s="2">
        <v>1440</v>
      </c>
      <c r="E1266" t="s">
        <v>73</v>
      </c>
      <c r="F1266" s="2">
        <v>0</v>
      </c>
      <c r="G1266" s="2"/>
      <c r="H1266" s="2"/>
    </row>
    <row r="1267" spans="1:8">
      <c r="A1267" t="s">
        <v>385</v>
      </c>
      <c r="B1267" s="1">
        <v>43191</v>
      </c>
      <c r="C1267" s="2">
        <v>1440</v>
      </c>
      <c r="D1267" s="2">
        <v>1440</v>
      </c>
      <c r="E1267" t="s">
        <v>73</v>
      </c>
      <c r="F1267" s="2">
        <v>0</v>
      </c>
      <c r="G1267" s="2"/>
      <c r="H1267" s="2"/>
    </row>
    <row r="1268" spans="1:8">
      <c r="A1268" t="s">
        <v>386</v>
      </c>
      <c r="B1268" s="1">
        <v>43191</v>
      </c>
      <c r="C1268" s="2">
        <v>1440</v>
      </c>
      <c r="D1268" s="2">
        <v>1440</v>
      </c>
      <c r="E1268" t="s">
        <v>73</v>
      </c>
      <c r="F1268" s="2">
        <v>0</v>
      </c>
      <c r="G1268" s="2"/>
      <c r="H1268" s="2"/>
    </row>
    <row r="1269" spans="1:8">
      <c r="A1269" t="s">
        <v>238</v>
      </c>
      <c r="B1269" s="1">
        <v>43191</v>
      </c>
      <c r="C1269" s="2">
        <v>1440</v>
      </c>
      <c r="D1269" s="2">
        <v>1440</v>
      </c>
      <c r="E1269" t="s">
        <v>73</v>
      </c>
      <c r="F1269" s="2">
        <v>0</v>
      </c>
      <c r="G1269" s="2"/>
      <c r="H1269" s="2"/>
    </row>
    <row r="1270" spans="1:8">
      <c r="A1270" t="s">
        <v>439</v>
      </c>
      <c r="B1270" s="1">
        <v>43191</v>
      </c>
      <c r="C1270" s="2">
        <v>1440</v>
      </c>
      <c r="D1270" s="2">
        <v>1440</v>
      </c>
      <c r="E1270" t="s">
        <v>73</v>
      </c>
      <c r="F1270" s="2">
        <v>0</v>
      </c>
      <c r="G1270" s="2"/>
      <c r="H1270" s="2"/>
    </row>
    <row r="1271" spans="1:8">
      <c r="A1271" t="s">
        <v>239</v>
      </c>
      <c r="B1271" s="1">
        <v>43191</v>
      </c>
      <c r="C1271" s="2">
        <v>1440</v>
      </c>
      <c r="D1271" s="2">
        <v>1440</v>
      </c>
      <c r="E1271" t="s">
        <v>73</v>
      </c>
      <c r="F1271" s="2">
        <v>0</v>
      </c>
      <c r="G1271" s="2"/>
      <c r="H1271" s="2"/>
    </row>
    <row r="1272" spans="1:8">
      <c r="A1272" t="s">
        <v>167</v>
      </c>
      <c r="B1272" s="1">
        <v>43191</v>
      </c>
      <c r="C1272" s="2">
        <v>1440</v>
      </c>
      <c r="D1272" s="2">
        <v>1440</v>
      </c>
      <c r="E1272" t="s">
        <v>73</v>
      </c>
      <c r="F1272" s="2">
        <v>0</v>
      </c>
      <c r="G1272" s="2"/>
      <c r="H1272" s="2"/>
    </row>
    <row r="1273" spans="1:8">
      <c r="A1273" t="s">
        <v>440</v>
      </c>
      <c r="B1273" s="1">
        <v>43191</v>
      </c>
      <c r="C1273" s="2">
        <v>1440</v>
      </c>
      <c r="D1273" s="2">
        <v>1440</v>
      </c>
      <c r="E1273" t="s">
        <v>73</v>
      </c>
      <c r="F1273" s="2">
        <v>0</v>
      </c>
      <c r="G1273" s="2"/>
      <c r="H1273" s="2"/>
    </row>
    <row r="1274" spans="1:8">
      <c r="A1274" t="s">
        <v>334</v>
      </c>
      <c r="B1274" s="1">
        <v>43191</v>
      </c>
      <c r="C1274" s="2">
        <v>1440</v>
      </c>
      <c r="D1274" s="2">
        <v>1440</v>
      </c>
      <c r="E1274" t="s">
        <v>73</v>
      </c>
      <c r="F1274" s="2">
        <v>0</v>
      </c>
      <c r="G1274" s="2"/>
      <c r="H1274" s="2"/>
    </row>
    <row r="1275" spans="1:8">
      <c r="A1275" t="s">
        <v>168</v>
      </c>
      <c r="B1275" s="1">
        <v>43191</v>
      </c>
      <c r="C1275" s="2">
        <v>1440</v>
      </c>
      <c r="D1275" s="2">
        <v>1440</v>
      </c>
      <c r="E1275" t="s">
        <v>73</v>
      </c>
      <c r="F1275" s="2">
        <v>0</v>
      </c>
      <c r="G1275" s="2"/>
      <c r="H1275" s="2"/>
    </row>
    <row r="1276" spans="1:8">
      <c r="A1276" t="s">
        <v>441</v>
      </c>
      <c r="B1276" s="1">
        <v>43191</v>
      </c>
      <c r="C1276" s="2">
        <v>1440</v>
      </c>
      <c r="D1276" s="2">
        <v>1440</v>
      </c>
      <c r="E1276" t="s">
        <v>73</v>
      </c>
      <c r="F1276" s="2">
        <v>0</v>
      </c>
      <c r="G1276" s="2"/>
      <c r="H1276" s="2"/>
    </row>
    <row r="1277" spans="1:8">
      <c r="A1277" t="s">
        <v>442</v>
      </c>
      <c r="B1277" s="1">
        <v>43191</v>
      </c>
      <c r="C1277" s="2">
        <v>1440</v>
      </c>
      <c r="D1277" s="2">
        <v>1440</v>
      </c>
      <c r="E1277" t="s">
        <v>73</v>
      </c>
      <c r="F1277" s="2">
        <v>0</v>
      </c>
      <c r="G1277" s="2"/>
      <c r="H1277" s="2"/>
    </row>
    <row r="1278" spans="1:8">
      <c r="A1278" t="s">
        <v>129</v>
      </c>
      <c r="B1278" s="1">
        <v>43191</v>
      </c>
      <c r="C1278" s="2">
        <v>1440</v>
      </c>
      <c r="D1278" s="2">
        <v>1440</v>
      </c>
      <c r="E1278" t="s">
        <v>73</v>
      </c>
      <c r="F1278" s="2">
        <v>0</v>
      </c>
      <c r="G1278" s="2"/>
      <c r="H1278" s="2"/>
    </row>
    <row r="1279" spans="1:8">
      <c r="A1279" t="s">
        <v>388</v>
      </c>
      <c r="B1279" s="1">
        <v>43191</v>
      </c>
      <c r="C1279" s="2">
        <v>1440</v>
      </c>
      <c r="D1279" s="2">
        <v>1440</v>
      </c>
      <c r="E1279" t="s">
        <v>73</v>
      </c>
      <c r="F1279" s="2">
        <v>0</v>
      </c>
      <c r="G1279" s="2"/>
      <c r="H1279" s="2"/>
    </row>
    <row r="1280" spans="1:8">
      <c r="A1280" t="s">
        <v>240</v>
      </c>
      <c r="B1280" s="1">
        <v>43191</v>
      </c>
      <c r="C1280" s="2">
        <v>1440</v>
      </c>
      <c r="D1280" s="2">
        <v>1440</v>
      </c>
      <c r="E1280" t="s">
        <v>73</v>
      </c>
      <c r="F1280" s="2">
        <v>0</v>
      </c>
      <c r="G1280" s="2"/>
      <c r="H1280" s="2"/>
    </row>
    <row r="1281" spans="1:8">
      <c r="A1281" t="s">
        <v>443</v>
      </c>
      <c r="B1281" s="1">
        <v>43191</v>
      </c>
      <c r="C1281" s="2">
        <v>1440</v>
      </c>
      <c r="D1281" s="2">
        <v>1440</v>
      </c>
      <c r="E1281" t="s">
        <v>73</v>
      </c>
      <c r="F1281" s="2">
        <v>0</v>
      </c>
      <c r="G1281" s="2"/>
      <c r="H1281" s="2"/>
    </row>
    <row r="1282" spans="1:8">
      <c r="A1282" t="s">
        <v>335</v>
      </c>
      <c r="B1282" s="1">
        <v>43191</v>
      </c>
      <c r="C1282" s="2">
        <v>1440</v>
      </c>
      <c r="D1282" s="2">
        <v>1440</v>
      </c>
      <c r="E1282" t="s">
        <v>73</v>
      </c>
      <c r="F1282" s="2">
        <v>0</v>
      </c>
      <c r="G1282" s="2"/>
      <c r="H1282" s="2"/>
    </row>
    <row r="1283" spans="1:8">
      <c r="A1283" t="s">
        <v>171</v>
      </c>
      <c r="B1283" s="1">
        <v>43191</v>
      </c>
      <c r="C1283" s="2">
        <v>1440</v>
      </c>
      <c r="D1283" s="2">
        <v>1440</v>
      </c>
      <c r="E1283" t="s">
        <v>73</v>
      </c>
      <c r="F1283" s="2">
        <v>0</v>
      </c>
      <c r="G1283" s="2"/>
      <c r="H1283" s="2"/>
    </row>
    <row r="1284" spans="1:8">
      <c r="A1284" t="s">
        <v>336</v>
      </c>
      <c r="B1284" s="1">
        <v>43191</v>
      </c>
      <c r="C1284" s="2">
        <v>1440</v>
      </c>
      <c r="D1284" s="2">
        <v>1440</v>
      </c>
      <c r="E1284" t="s">
        <v>73</v>
      </c>
      <c r="F1284" s="2">
        <v>0</v>
      </c>
      <c r="G1284" s="2"/>
      <c r="H1284" s="2"/>
    </row>
    <row r="1285" spans="1:8">
      <c r="A1285" t="s">
        <v>223</v>
      </c>
      <c r="B1285" s="1">
        <v>43191</v>
      </c>
      <c r="C1285" s="2">
        <v>1440</v>
      </c>
      <c r="D1285" s="2">
        <v>1440</v>
      </c>
      <c r="E1285" t="s">
        <v>73</v>
      </c>
      <c r="F1285" s="2">
        <v>0</v>
      </c>
      <c r="G1285" s="2"/>
      <c r="H1285" s="2"/>
    </row>
    <row r="1286" spans="1:8">
      <c r="A1286" t="s">
        <v>337</v>
      </c>
      <c r="B1286" s="1">
        <v>43191</v>
      </c>
      <c r="C1286" s="2">
        <v>1440</v>
      </c>
      <c r="D1286" s="2">
        <v>1440</v>
      </c>
      <c r="E1286" t="s">
        <v>73</v>
      </c>
      <c r="F1286" s="2">
        <v>0</v>
      </c>
      <c r="G1286" s="2"/>
      <c r="H1286" s="2"/>
    </row>
    <row r="1287" spans="1:8">
      <c r="A1287" t="s">
        <v>172</v>
      </c>
      <c r="B1287" s="1">
        <v>43191</v>
      </c>
      <c r="C1287" s="2">
        <v>1440</v>
      </c>
      <c r="D1287" s="2">
        <v>1440</v>
      </c>
      <c r="E1287" t="s">
        <v>73</v>
      </c>
      <c r="F1287" s="2">
        <v>0</v>
      </c>
      <c r="G1287" s="2"/>
      <c r="H1287" s="2"/>
    </row>
    <row r="1288" spans="1:8">
      <c r="A1288" t="s">
        <v>130</v>
      </c>
      <c r="B1288" s="1">
        <v>43191</v>
      </c>
      <c r="C1288" s="2">
        <v>1440</v>
      </c>
      <c r="D1288" s="2">
        <v>1440</v>
      </c>
      <c r="E1288" t="s">
        <v>73</v>
      </c>
      <c r="F1288" s="2">
        <v>0</v>
      </c>
      <c r="G1288" s="2"/>
      <c r="H1288" s="2"/>
    </row>
    <row r="1289" spans="1:8">
      <c r="A1289" t="s">
        <v>444</v>
      </c>
      <c r="B1289" s="1">
        <v>43191</v>
      </c>
      <c r="C1289" s="2">
        <v>1440</v>
      </c>
      <c r="D1289" s="2">
        <v>1440</v>
      </c>
      <c r="E1289" t="s">
        <v>73</v>
      </c>
      <c r="F1289" s="2">
        <v>0</v>
      </c>
      <c r="G1289" s="2"/>
      <c r="H1289" s="2"/>
    </row>
    <row r="1290" spans="1:8">
      <c r="A1290" t="s">
        <v>242</v>
      </c>
      <c r="B1290" s="1">
        <v>43191</v>
      </c>
      <c r="C1290" s="2">
        <v>1440</v>
      </c>
      <c r="D1290" s="2">
        <v>1440</v>
      </c>
      <c r="E1290" t="s">
        <v>73</v>
      </c>
      <c r="F1290" s="2">
        <v>0</v>
      </c>
      <c r="G1290" s="2"/>
      <c r="H1290" s="2"/>
    </row>
    <row r="1291" spans="1:8">
      <c r="A1291" t="s">
        <v>243</v>
      </c>
      <c r="B1291" s="1">
        <v>43191</v>
      </c>
      <c r="C1291" s="2">
        <v>1440</v>
      </c>
      <c r="D1291" s="2">
        <v>1440</v>
      </c>
      <c r="E1291" t="s">
        <v>73</v>
      </c>
      <c r="F1291" s="2">
        <v>0</v>
      </c>
      <c r="G1291" s="2"/>
      <c r="H1291" s="2"/>
    </row>
    <row r="1292" spans="1:8">
      <c r="A1292" t="s">
        <v>174</v>
      </c>
      <c r="B1292" s="1">
        <v>43191</v>
      </c>
      <c r="C1292" s="2">
        <v>1440</v>
      </c>
      <c r="D1292" s="2">
        <v>1440</v>
      </c>
      <c r="E1292" t="s">
        <v>73</v>
      </c>
      <c r="F1292" s="2">
        <v>0</v>
      </c>
      <c r="G1292" s="2"/>
      <c r="H1292" s="2"/>
    </row>
    <row r="1293" spans="1:8">
      <c r="A1293" t="s">
        <v>175</v>
      </c>
      <c r="B1293" s="1">
        <v>43191</v>
      </c>
      <c r="C1293" s="2">
        <v>1440</v>
      </c>
      <c r="D1293" s="2">
        <v>1440</v>
      </c>
      <c r="E1293" t="s">
        <v>73</v>
      </c>
      <c r="F1293" s="2">
        <v>0</v>
      </c>
      <c r="G1293" s="2"/>
      <c r="H1293" s="2"/>
    </row>
    <row r="1294" spans="1:8">
      <c r="A1294" t="s">
        <v>176</v>
      </c>
      <c r="B1294" s="1">
        <v>43191</v>
      </c>
      <c r="C1294" s="2">
        <v>1440</v>
      </c>
      <c r="D1294" s="2">
        <v>1440</v>
      </c>
      <c r="E1294" t="s">
        <v>73</v>
      </c>
      <c r="F1294" s="2">
        <v>0</v>
      </c>
      <c r="G1294" s="2"/>
      <c r="H1294" s="2"/>
    </row>
    <row r="1295" spans="1:8">
      <c r="A1295" t="s">
        <v>244</v>
      </c>
      <c r="B1295" s="1">
        <v>43191</v>
      </c>
      <c r="C1295" s="2">
        <v>1440</v>
      </c>
      <c r="D1295" s="2">
        <v>1440</v>
      </c>
      <c r="E1295" t="s">
        <v>73</v>
      </c>
      <c r="F1295" s="2">
        <v>0</v>
      </c>
      <c r="G1295" s="2"/>
      <c r="H1295" s="2"/>
    </row>
    <row r="1296" spans="1:8">
      <c r="A1296" t="s">
        <v>245</v>
      </c>
      <c r="B1296" s="1">
        <v>43191</v>
      </c>
      <c r="C1296" s="2">
        <v>1440</v>
      </c>
      <c r="D1296" s="2">
        <v>1440</v>
      </c>
      <c r="E1296" t="s">
        <v>73</v>
      </c>
      <c r="F1296" s="2">
        <v>0</v>
      </c>
      <c r="G1296" s="2"/>
      <c r="H1296" s="2"/>
    </row>
    <row r="1297" spans="1:8">
      <c r="A1297" t="s">
        <v>177</v>
      </c>
      <c r="B1297" s="1">
        <v>43191</v>
      </c>
      <c r="C1297" s="2">
        <v>1440</v>
      </c>
      <c r="D1297" s="2">
        <v>1440</v>
      </c>
      <c r="E1297" t="s">
        <v>73</v>
      </c>
      <c r="F1297" s="2">
        <v>0</v>
      </c>
      <c r="G1297" s="2"/>
      <c r="H1297" s="2"/>
    </row>
    <row r="1298" spans="1:8">
      <c r="A1298" t="s">
        <v>132</v>
      </c>
      <c r="B1298" s="1">
        <v>43191</v>
      </c>
      <c r="C1298" s="2">
        <v>1440</v>
      </c>
      <c r="D1298" s="2">
        <v>1440</v>
      </c>
      <c r="E1298" t="s">
        <v>73</v>
      </c>
      <c r="F1298" s="2">
        <v>0</v>
      </c>
      <c r="G1298" s="2"/>
      <c r="H1298" s="2"/>
    </row>
    <row r="1299" spans="1:8">
      <c r="A1299" t="s">
        <v>338</v>
      </c>
      <c r="B1299" s="1">
        <v>43191</v>
      </c>
      <c r="C1299" s="2">
        <v>1440</v>
      </c>
      <c r="D1299" s="2">
        <v>1440</v>
      </c>
      <c r="E1299" t="s">
        <v>73</v>
      </c>
      <c r="F1299" s="2">
        <v>0</v>
      </c>
      <c r="G1299" s="2"/>
      <c r="H1299" s="2"/>
    </row>
    <row r="1300" spans="1:8">
      <c r="A1300" t="s">
        <v>339</v>
      </c>
      <c r="B1300" s="1">
        <v>43191</v>
      </c>
      <c r="C1300" s="2">
        <v>1440</v>
      </c>
      <c r="D1300" s="2">
        <v>1440</v>
      </c>
      <c r="E1300" t="s">
        <v>73</v>
      </c>
      <c r="F1300" s="2">
        <v>0</v>
      </c>
      <c r="G1300" s="2"/>
      <c r="H1300" s="2"/>
    </row>
    <row r="1301" spans="1:8">
      <c r="A1301" t="s">
        <v>289</v>
      </c>
      <c r="B1301" s="1">
        <v>43191</v>
      </c>
      <c r="C1301" s="2">
        <v>1440</v>
      </c>
      <c r="D1301" s="2">
        <v>1440</v>
      </c>
      <c r="E1301" t="s">
        <v>73</v>
      </c>
      <c r="F1301" s="2">
        <v>0</v>
      </c>
      <c r="G1301" s="2"/>
      <c r="H1301" s="2"/>
    </row>
    <row r="1302" spans="1:8">
      <c r="A1302" t="s">
        <v>178</v>
      </c>
      <c r="B1302" s="1">
        <v>43191</v>
      </c>
      <c r="C1302" s="2">
        <v>1440</v>
      </c>
      <c r="D1302" s="2">
        <v>1440</v>
      </c>
      <c r="E1302" t="s">
        <v>73</v>
      </c>
      <c r="F1302" s="2">
        <v>0</v>
      </c>
      <c r="G1302" s="2"/>
      <c r="H1302" s="2"/>
    </row>
    <row r="1303" spans="1:8">
      <c r="A1303" t="s">
        <v>389</v>
      </c>
      <c r="B1303" s="1">
        <v>43191</v>
      </c>
      <c r="C1303" s="2">
        <v>1440</v>
      </c>
      <c r="D1303" s="2">
        <v>1440</v>
      </c>
      <c r="E1303" t="s">
        <v>73</v>
      </c>
      <c r="F1303" s="2">
        <v>0</v>
      </c>
      <c r="G1303" s="2"/>
      <c r="H1303" s="2"/>
    </row>
    <row r="1304" spans="1:8">
      <c r="A1304" t="s">
        <v>249</v>
      </c>
      <c r="B1304" s="1">
        <v>43191</v>
      </c>
      <c r="C1304" s="2">
        <v>1440</v>
      </c>
      <c r="D1304" s="2">
        <v>1440</v>
      </c>
      <c r="E1304" t="s">
        <v>73</v>
      </c>
      <c r="F1304" s="2">
        <v>0</v>
      </c>
      <c r="G1304" s="2"/>
      <c r="H1304" s="2"/>
    </row>
    <row r="1305" spans="1:8">
      <c r="A1305" t="s">
        <v>390</v>
      </c>
      <c r="B1305" s="1">
        <v>43191</v>
      </c>
      <c r="C1305" s="2">
        <v>1440</v>
      </c>
      <c r="D1305" s="2">
        <v>1440</v>
      </c>
      <c r="E1305" t="s">
        <v>73</v>
      </c>
      <c r="F1305" s="2">
        <v>0</v>
      </c>
      <c r="G1305" s="2"/>
      <c r="H1305" s="2"/>
    </row>
    <row r="1306" spans="1:8">
      <c r="A1306" t="s">
        <v>391</v>
      </c>
      <c r="B1306" s="1">
        <v>43191</v>
      </c>
      <c r="C1306" s="2">
        <v>1440</v>
      </c>
      <c r="D1306" s="2">
        <v>1440</v>
      </c>
      <c r="E1306" t="s">
        <v>73</v>
      </c>
      <c r="F1306" s="2">
        <v>0</v>
      </c>
      <c r="G1306" s="2"/>
      <c r="H1306" s="2"/>
    </row>
    <row r="1307" spans="1:8">
      <c r="A1307" t="s">
        <v>251</v>
      </c>
      <c r="B1307" s="1">
        <v>43191</v>
      </c>
      <c r="C1307" s="2">
        <v>1440</v>
      </c>
      <c r="D1307" s="2">
        <v>1440</v>
      </c>
      <c r="E1307" t="s">
        <v>73</v>
      </c>
      <c r="F1307" s="2">
        <v>0</v>
      </c>
      <c r="G1307" s="2"/>
      <c r="H1307" s="2"/>
    </row>
    <row r="1308" spans="1:8">
      <c r="A1308" t="s">
        <v>252</v>
      </c>
      <c r="B1308" s="1">
        <v>43191</v>
      </c>
      <c r="C1308" s="2">
        <v>1440</v>
      </c>
      <c r="D1308" s="2">
        <v>1440</v>
      </c>
      <c r="E1308" t="s">
        <v>73</v>
      </c>
      <c r="F1308" s="2">
        <v>0</v>
      </c>
      <c r="G1308" s="2"/>
      <c r="H1308" s="2"/>
    </row>
    <row r="1309" spans="1:8">
      <c r="A1309" t="s">
        <v>340</v>
      </c>
      <c r="B1309" s="1">
        <v>43191</v>
      </c>
      <c r="C1309" s="2">
        <v>1440</v>
      </c>
      <c r="D1309" s="2">
        <v>1440</v>
      </c>
      <c r="E1309" t="s">
        <v>73</v>
      </c>
      <c r="F1309" s="2">
        <v>0</v>
      </c>
      <c r="G1309" s="2"/>
      <c r="H1309" s="2"/>
    </row>
    <row r="1310" spans="1:8">
      <c r="A1310" t="s">
        <v>445</v>
      </c>
      <c r="B1310" s="1">
        <v>43191</v>
      </c>
      <c r="C1310" s="2">
        <v>1440</v>
      </c>
      <c r="D1310" s="2">
        <v>1440</v>
      </c>
      <c r="E1310" t="s">
        <v>73</v>
      </c>
      <c r="F1310" s="2">
        <v>0</v>
      </c>
      <c r="G1310" s="2"/>
      <c r="H1310" s="2"/>
    </row>
    <row r="1311" spans="1:8">
      <c r="A1311" t="s">
        <v>341</v>
      </c>
      <c r="B1311" s="1">
        <v>43191</v>
      </c>
      <c r="C1311" s="2">
        <v>1440</v>
      </c>
      <c r="D1311" s="2">
        <v>1440</v>
      </c>
      <c r="E1311" t="s">
        <v>73</v>
      </c>
      <c r="F1311" s="2">
        <v>0</v>
      </c>
      <c r="G1311" s="2"/>
      <c r="H1311" s="2"/>
    </row>
    <row r="1312" spans="1:8">
      <c r="A1312" t="s">
        <v>253</v>
      </c>
      <c r="B1312" s="1">
        <v>43191</v>
      </c>
      <c r="C1312" s="2">
        <v>1440</v>
      </c>
      <c r="D1312" s="2">
        <v>1440</v>
      </c>
      <c r="E1312" t="s">
        <v>73</v>
      </c>
      <c r="F1312" s="2">
        <v>0</v>
      </c>
      <c r="G1312" s="2"/>
      <c r="H1312" s="2"/>
    </row>
    <row r="1313" spans="1:8">
      <c r="A1313" t="s">
        <v>133</v>
      </c>
      <c r="B1313" s="1">
        <v>43191</v>
      </c>
      <c r="C1313" s="2">
        <v>1440</v>
      </c>
      <c r="D1313" s="2">
        <v>1440</v>
      </c>
      <c r="E1313" t="s">
        <v>73</v>
      </c>
      <c r="F1313" s="2">
        <v>0</v>
      </c>
      <c r="G1313" s="2"/>
      <c r="H1313" s="2"/>
    </row>
    <row r="1314" spans="1:8">
      <c r="A1314" t="s">
        <v>179</v>
      </c>
      <c r="B1314" s="1">
        <v>43191</v>
      </c>
      <c r="C1314" s="2">
        <v>1440</v>
      </c>
      <c r="D1314" s="2">
        <v>1440</v>
      </c>
      <c r="E1314" t="s">
        <v>73</v>
      </c>
      <c r="F1314" s="2">
        <v>0</v>
      </c>
      <c r="G1314" s="2"/>
      <c r="H1314" s="2"/>
    </row>
    <row r="1315" spans="1:8">
      <c r="A1315" t="s">
        <v>343</v>
      </c>
      <c r="B1315" s="1">
        <v>43191</v>
      </c>
      <c r="C1315" s="2">
        <v>1440</v>
      </c>
      <c r="D1315" s="2">
        <v>1440</v>
      </c>
      <c r="E1315" t="s">
        <v>73</v>
      </c>
      <c r="F1315" s="2">
        <v>0</v>
      </c>
      <c r="G1315" s="2"/>
      <c r="H1315" s="2"/>
    </row>
    <row r="1316" spans="1:8">
      <c r="A1316" t="s">
        <v>392</v>
      </c>
      <c r="B1316" s="1">
        <v>43191</v>
      </c>
      <c r="C1316" s="2">
        <v>1440</v>
      </c>
      <c r="D1316" s="2">
        <v>1440</v>
      </c>
      <c r="E1316" t="s">
        <v>73</v>
      </c>
      <c r="F1316" s="2">
        <v>0</v>
      </c>
      <c r="G1316" s="2"/>
      <c r="H1316" s="2"/>
    </row>
    <row r="1317" spans="1:8">
      <c r="A1317" t="s">
        <v>446</v>
      </c>
      <c r="B1317" s="1">
        <v>43191</v>
      </c>
      <c r="C1317" s="2">
        <v>1440</v>
      </c>
      <c r="D1317" s="2">
        <v>1440</v>
      </c>
      <c r="E1317" t="s">
        <v>73</v>
      </c>
      <c r="F1317" s="2">
        <v>0</v>
      </c>
      <c r="G1317" s="2"/>
      <c r="H1317" s="2"/>
    </row>
    <row r="1318" spans="1:8">
      <c r="A1318" t="s">
        <v>447</v>
      </c>
      <c r="B1318" s="1">
        <v>43191</v>
      </c>
      <c r="C1318" s="2">
        <v>1440</v>
      </c>
      <c r="D1318" s="2">
        <v>1440</v>
      </c>
      <c r="E1318" t="s">
        <v>73</v>
      </c>
      <c r="F1318" s="2">
        <v>0</v>
      </c>
      <c r="G1318" s="2"/>
      <c r="H1318" s="2"/>
    </row>
    <row r="1319" spans="1:8">
      <c r="A1319" t="s">
        <v>344</v>
      </c>
      <c r="B1319" s="1">
        <v>43191</v>
      </c>
      <c r="C1319" s="2">
        <v>1440</v>
      </c>
      <c r="D1319" s="2">
        <v>1440</v>
      </c>
      <c r="E1319" t="s">
        <v>73</v>
      </c>
      <c r="F1319" s="2">
        <v>0</v>
      </c>
      <c r="G1319" s="2"/>
      <c r="H1319" s="2"/>
    </row>
    <row r="1320" spans="1:8">
      <c r="A1320" t="s">
        <v>448</v>
      </c>
      <c r="B1320" s="1">
        <v>43191</v>
      </c>
      <c r="C1320" s="2">
        <v>1440</v>
      </c>
      <c r="D1320" s="2">
        <v>1440</v>
      </c>
      <c r="E1320" t="s">
        <v>73</v>
      </c>
      <c r="F1320" s="2">
        <v>0</v>
      </c>
      <c r="G1320" s="2"/>
      <c r="H1320" s="2"/>
    </row>
    <row r="1321" spans="1:8">
      <c r="A1321" t="s">
        <v>394</v>
      </c>
      <c r="B1321" s="1">
        <v>43191</v>
      </c>
      <c r="C1321" s="2">
        <v>1440</v>
      </c>
      <c r="D1321" s="2">
        <v>1440</v>
      </c>
      <c r="E1321" t="s">
        <v>73</v>
      </c>
      <c r="F1321" s="2">
        <v>0</v>
      </c>
      <c r="G1321" s="2"/>
      <c r="H1321" s="2"/>
    </row>
    <row r="1322" spans="1:8">
      <c r="A1322" t="s">
        <v>255</v>
      </c>
      <c r="B1322" s="1">
        <v>43191</v>
      </c>
      <c r="C1322" s="2">
        <v>1440</v>
      </c>
      <c r="D1322" s="2">
        <v>1440</v>
      </c>
      <c r="E1322" t="s">
        <v>73</v>
      </c>
      <c r="F1322" s="2">
        <v>0</v>
      </c>
      <c r="G1322" s="2"/>
      <c r="H1322" s="2"/>
    </row>
    <row r="1323" spans="1:8">
      <c r="A1323" t="s">
        <v>345</v>
      </c>
      <c r="B1323" s="1">
        <v>43191</v>
      </c>
      <c r="C1323" s="2">
        <v>1440</v>
      </c>
      <c r="D1323" s="2">
        <v>1440</v>
      </c>
      <c r="E1323" t="s">
        <v>73</v>
      </c>
      <c r="F1323" s="2">
        <v>0</v>
      </c>
      <c r="G1323" s="2"/>
      <c r="H1323" s="2"/>
    </row>
    <row r="1324" spans="1:8">
      <c r="A1324" t="s">
        <v>256</v>
      </c>
      <c r="B1324" s="1">
        <v>43191</v>
      </c>
      <c r="C1324" s="2">
        <v>1440</v>
      </c>
      <c r="D1324" s="2">
        <v>1440</v>
      </c>
      <c r="E1324" t="s">
        <v>73</v>
      </c>
      <c r="F1324" s="2">
        <v>0</v>
      </c>
      <c r="G1324" s="2"/>
      <c r="H1324" s="2"/>
    </row>
    <row r="1325" spans="1:8">
      <c r="A1325" t="s">
        <v>395</v>
      </c>
      <c r="B1325" s="1">
        <v>43191</v>
      </c>
      <c r="C1325" s="2">
        <v>1440</v>
      </c>
      <c r="D1325" s="2">
        <v>1440</v>
      </c>
      <c r="E1325" t="s">
        <v>73</v>
      </c>
      <c r="F1325" s="2">
        <v>0</v>
      </c>
      <c r="G1325" s="2"/>
      <c r="H1325" s="2"/>
    </row>
    <row r="1326" spans="1:8">
      <c r="A1326" t="s">
        <v>415</v>
      </c>
      <c r="B1326" s="1">
        <v>43191</v>
      </c>
      <c r="C1326" s="2">
        <v>1440</v>
      </c>
      <c r="D1326" s="2">
        <v>1440</v>
      </c>
      <c r="E1326" t="s">
        <v>73</v>
      </c>
      <c r="F1326" s="2">
        <v>0</v>
      </c>
      <c r="G1326" s="2"/>
      <c r="H1326" s="2"/>
    </row>
    <row r="1327" spans="1:8">
      <c r="A1327" t="s">
        <v>257</v>
      </c>
      <c r="B1327" s="1">
        <v>43191</v>
      </c>
      <c r="C1327" s="2">
        <v>1440</v>
      </c>
      <c r="D1327" s="2">
        <v>1440</v>
      </c>
      <c r="E1327" t="s">
        <v>73</v>
      </c>
      <c r="F1327" s="2">
        <v>0</v>
      </c>
      <c r="G1327" s="2"/>
      <c r="H1327" s="2"/>
    </row>
    <row r="1328" spans="1:8">
      <c r="A1328" t="s">
        <v>396</v>
      </c>
      <c r="B1328" s="1">
        <v>43191</v>
      </c>
      <c r="C1328" s="2">
        <v>1440</v>
      </c>
      <c r="D1328" s="2">
        <v>1440</v>
      </c>
      <c r="E1328" t="s">
        <v>73</v>
      </c>
      <c r="F1328" s="2">
        <v>0</v>
      </c>
      <c r="G1328" s="2"/>
      <c r="H1328" s="2"/>
    </row>
    <row r="1329" spans="1:8">
      <c r="A1329" t="s">
        <v>258</v>
      </c>
      <c r="B1329" s="1">
        <v>43191</v>
      </c>
      <c r="C1329" s="2">
        <v>1440</v>
      </c>
      <c r="D1329" s="2">
        <v>1440</v>
      </c>
      <c r="E1329" t="s">
        <v>73</v>
      </c>
      <c r="F1329" s="2">
        <v>0</v>
      </c>
      <c r="G1329" s="2"/>
      <c r="H1329" s="2"/>
    </row>
    <row r="1330" spans="1:8">
      <c r="A1330" t="s">
        <v>259</v>
      </c>
      <c r="B1330" s="1">
        <v>43191</v>
      </c>
      <c r="C1330" s="2">
        <v>1440</v>
      </c>
      <c r="D1330" s="2">
        <v>1440</v>
      </c>
      <c r="E1330" t="s">
        <v>73</v>
      </c>
      <c r="F1330" s="2">
        <v>0</v>
      </c>
      <c r="G1330" s="2"/>
      <c r="H1330" s="2"/>
    </row>
    <row r="1331" spans="1:8">
      <c r="A1331" t="s">
        <v>449</v>
      </c>
      <c r="B1331" s="1">
        <v>43191</v>
      </c>
      <c r="C1331" s="2">
        <v>1440</v>
      </c>
      <c r="D1331" s="2">
        <v>1440</v>
      </c>
      <c r="E1331" t="s">
        <v>73</v>
      </c>
      <c r="F1331" s="2">
        <v>0</v>
      </c>
      <c r="G1331" s="2"/>
      <c r="H1331" s="2"/>
    </row>
    <row r="1332" spans="1:8">
      <c r="A1332" t="s">
        <v>374</v>
      </c>
      <c r="B1332" s="1">
        <v>43191</v>
      </c>
      <c r="C1332" s="2">
        <v>1440</v>
      </c>
      <c r="D1332" s="2">
        <v>1440</v>
      </c>
      <c r="E1332" t="s">
        <v>73</v>
      </c>
      <c r="F1332" s="2">
        <v>0</v>
      </c>
      <c r="G1332" s="2"/>
      <c r="H1332" s="2"/>
    </row>
    <row r="1333" spans="1:8">
      <c r="A1333" t="s">
        <v>260</v>
      </c>
      <c r="B1333" s="1">
        <v>43191</v>
      </c>
      <c r="C1333" s="2">
        <v>1440</v>
      </c>
      <c r="D1333" s="2">
        <v>1440</v>
      </c>
      <c r="E1333" t="s">
        <v>73</v>
      </c>
      <c r="F1333" s="2">
        <v>0</v>
      </c>
      <c r="G1333" s="2"/>
      <c r="H1333" s="2"/>
    </row>
    <row r="1334" spans="1:8">
      <c r="A1334" t="s">
        <v>183</v>
      </c>
      <c r="B1334" s="1">
        <v>43191</v>
      </c>
      <c r="C1334" s="2">
        <v>1440</v>
      </c>
      <c r="D1334" s="2">
        <v>1440</v>
      </c>
      <c r="E1334" t="s">
        <v>73</v>
      </c>
      <c r="F1334" s="2">
        <v>0</v>
      </c>
      <c r="G1334" s="2"/>
      <c r="H1334" s="2"/>
    </row>
    <row r="1335" spans="1:8">
      <c r="A1335" t="s">
        <v>262</v>
      </c>
      <c r="B1335" s="1">
        <v>43191</v>
      </c>
      <c r="C1335" s="2">
        <v>1440</v>
      </c>
      <c r="D1335" s="2">
        <v>1440</v>
      </c>
      <c r="E1335" t="s">
        <v>73</v>
      </c>
      <c r="F1335" s="2">
        <v>0</v>
      </c>
      <c r="G1335" s="2"/>
      <c r="H1335" s="2"/>
    </row>
    <row r="1336" spans="1:8">
      <c r="A1336" t="s">
        <v>184</v>
      </c>
      <c r="B1336" s="1">
        <v>43191</v>
      </c>
      <c r="C1336" s="2">
        <v>1440</v>
      </c>
      <c r="D1336" s="2">
        <v>1440</v>
      </c>
      <c r="E1336" t="s">
        <v>73</v>
      </c>
      <c r="F1336" s="2">
        <v>0</v>
      </c>
      <c r="G1336" s="2"/>
      <c r="H1336" s="2"/>
    </row>
    <row r="1337" spans="1:8">
      <c r="A1337" t="s">
        <v>263</v>
      </c>
      <c r="B1337" s="1">
        <v>43191</v>
      </c>
      <c r="C1337" s="2">
        <v>1440</v>
      </c>
      <c r="D1337" s="2">
        <v>1440</v>
      </c>
      <c r="E1337" t="s">
        <v>73</v>
      </c>
      <c r="F1337" s="2">
        <v>0</v>
      </c>
      <c r="G1337" s="2"/>
      <c r="H1337" s="2"/>
    </row>
    <row r="1338" spans="1:8">
      <c r="A1338" t="s">
        <v>264</v>
      </c>
      <c r="B1338" s="1">
        <v>43191</v>
      </c>
      <c r="C1338" s="2">
        <v>1440</v>
      </c>
      <c r="D1338" s="2">
        <v>1440</v>
      </c>
      <c r="E1338" t="s">
        <v>73</v>
      </c>
      <c r="F1338" s="2">
        <v>0</v>
      </c>
      <c r="G1338" s="2"/>
      <c r="H1338" s="2"/>
    </row>
    <row r="1339" spans="1:8">
      <c r="A1339" t="s">
        <v>265</v>
      </c>
      <c r="B1339" s="1">
        <v>43191</v>
      </c>
      <c r="C1339" s="2">
        <v>1440</v>
      </c>
      <c r="D1339" s="2">
        <v>1440</v>
      </c>
      <c r="E1339" t="s">
        <v>73</v>
      </c>
      <c r="F1339" s="2">
        <v>0</v>
      </c>
      <c r="G1339" s="2"/>
      <c r="H1339" s="2"/>
    </row>
    <row r="1340" spans="1:8">
      <c r="A1340" t="s">
        <v>266</v>
      </c>
      <c r="B1340" s="1">
        <v>43191</v>
      </c>
      <c r="C1340" s="2">
        <v>1440</v>
      </c>
      <c r="D1340" s="2">
        <v>1440</v>
      </c>
      <c r="E1340" t="s">
        <v>73</v>
      </c>
      <c r="F1340" s="2">
        <v>0</v>
      </c>
      <c r="G1340" s="2"/>
      <c r="H1340" s="2"/>
    </row>
    <row r="1341" spans="1:8">
      <c r="A1341" t="s">
        <v>186</v>
      </c>
      <c r="B1341" s="1">
        <v>43191</v>
      </c>
      <c r="C1341" s="2">
        <v>1440</v>
      </c>
      <c r="D1341" s="2">
        <v>1440</v>
      </c>
      <c r="E1341" t="s">
        <v>73</v>
      </c>
      <c r="F1341" s="2">
        <v>0</v>
      </c>
      <c r="G1341" s="2"/>
      <c r="H1341" s="2"/>
    </row>
    <row r="1342" spans="1:8">
      <c r="A1342" t="s">
        <v>452</v>
      </c>
      <c r="B1342" s="1">
        <v>43191</v>
      </c>
      <c r="C1342" s="2">
        <v>1440</v>
      </c>
      <c r="D1342" s="2">
        <v>1440</v>
      </c>
      <c r="E1342" t="s">
        <v>73</v>
      </c>
      <c r="F1342" s="2">
        <v>0</v>
      </c>
      <c r="G1342" s="2"/>
      <c r="H1342" s="2"/>
    </row>
    <row r="1343" spans="1:8">
      <c r="A1343" t="s">
        <v>290</v>
      </c>
      <c r="B1343" s="1">
        <v>43191</v>
      </c>
      <c r="C1343" s="2">
        <v>1440</v>
      </c>
      <c r="D1343" s="2">
        <v>1440</v>
      </c>
      <c r="E1343" t="s">
        <v>73</v>
      </c>
      <c r="F1343" s="2">
        <v>0</v>
      </c>
      <c r="G1343" s="2"/>
      <c r="H1343" s="2"/>
    </row>
    <row r="1344" spans="1:8">
      <c r="A1344" t="s">
        <v>453</v>
      </c>
      <c r="B1344" s="1">
        <v>43191</v>
      </c>
      <c r="C1344" s="2">
        <v>1440</v>
      </c>
      <c r="D1344" s="2">
        <v>1440</v>
      </c>
      <c r="E1344" t="s">
        <v>73</v>
      </c>
      <c r="F1344" s="2">
        <v>0</v>
      </c>
      <c r="G1344" s="2"/>
      <c r="H1344" s="2"/>
    </row>
    <row r="1345" spans="1:8">
      <c r="A1345" t="s">
        <v>134</v>
      </c>
      <c r="B1345" s="1">
        <v>43191</v>
      </c>
      <c r="C1345" s="2">
        <v>1440</v>
      </c>
      <c r="D1345" s="2">
        <v>1440</v>
      </c>
      <c r="E1345" t="s">
        <v>73</v>
      </c>
      <c r="F1345" s="2">
        <v>0</v>
      </c>
      <c r="G1345" s="2"/>
      <c r="H1345" s="2"/>
    </row>
    <row r="1346" spans="1:8">
      <c r="A1346" t="s">
        <v>313</v>
      </c>
      <c r="B1346" s="1">
        <v>43191</v>
      </c>
      <c r="C1346" s="2">
        <v>1440</v>
      </c>
      <c r="D1346" s="2">
        <v>1440</v>
      </c>
      <c r="E1346" t="s">
        <v>73</v>
      </c>
      <c r="F1346" s="2">
        <v>0</v>
      </c>
      <c r="G1346" s="2"/>
      <c r="H1346" s="2"/>
    </row>
    <row r="1347" spans="1:8">
      <c r="A1347" t="s">
        <v>454</v>
      </c>
      <c r="B1347" s="1">
        <v>43191</v>
      </c>
      <c r="C1347" s="2">
        <v>1440</v>
      </c>
      <c r="D1347" s="2">
        <v>1440</v>
      </c>
      <c r="E1347" t="s">
        <v>73</v>
      </c>
      <c r="F1347" s="2">
        <v>0</v>
      </c>
      <c r="G1347" s="2"/>
      <c r="H1347" s="2"/>
    </row>
    <row r="1348" spans="1:8">
      <c r="A1348" t="s">
        <v>187</v>
      </c>
      <c r="B1348" s="1">
        <v>43191</v>
      </c>
      <c r="C1348" s="2">
        <v>1440</v>
      </c>
      <c r="D1348" s="2">
        <v>1440</v>
      </c>
      <c r="E1348" t="s">
        <v>73</v>
      </c>
      <c r="F1348" s="2">
        <v>0</v>
      </c>
      <c r="G1348" s="2"/>
      <c r="H1348" s="2"/>
    </row>
    <row r="1349" spans="1:8">
      <c r="A1349" t="s">
        <v>398</v>
      </c>
      <c r="B1349" s="1">
        <v>43191</v>
      </c>
      <c r="C1349" s="2">
        <v>1440</v>
      </c>
      <c r="D1349" s="2">
        <v>1440</v>
      </c>
      <c r="E1349" t="s">
        <v>73</v>
      </c>
      <c r="F1349" s="2">
        <v>0</v>
      </c>
      <c r="G1349" s="2"/>
      <c r="H1349" s="2"/>
    </row>
    <row r="1350" spans="1:8">
      <c r="A1350" t="s">
        <v>267</v>
      </c>
      <c r="B1350" s="1">
        <v>43191</v>
      </c>
      <c r="C1350" s="2">
        <v>1440</v>
      </c>
      <c r="D1350" s="2">
        <v>1440</v>
      </c>
      <c r="E1350" t="s">
        <v>73</v>
      </c>
      <c r="F1350" s="2">
        <v>0</v>
      </c>
      <c r="G1350" s="2"/>
      <c r="H1350" s="2"/>
    </row>
    <row r="1351" spans="1:8">
      <c r="A1351" t="s">
        <v>188</v>
      </c>
      <c r="B1351" s="1">
        <v>43191</v>
      </c>
      <c r="C1351" s="2">
        <v>1440</v>
      </c>
      <c r="D1351" s="2">
        <v>1440</v>
      </c>
      <c r="E1351" t="s">
        <v>73</v>
      </c>
      <c r="F1351" s="2">
        <v>0</v>
      </c>
      <c r="G1351" s="2"/>
      <c r="H1351" s="2"/>
    </row>
    <row r="1352" spans="1:8">
      <c r="A1352" t="s">
        <v>399</v>
      </c>
      <c r="B1352" s="1">
        <v>43191</v>
      </c>
      <c r="C1352" s="2">
        <v>1440</v>
      </c>
      <c r="D1352" s="2">
        <v>1440</v>
      </c>
      <c r="E1352" t="s">
        <v>73</v>
      </c>
      <c r="F1352" s="2">
        <v>0</v>
      </c>
      <c r="G1352" s="2"/>
      <c r="H1352" s="2"/>
    </row>
    <row r="1353" spans="1:8">
      <c r="A1353" t="s">
        <v>455</v>
      </c>
      <c r="B1353" s="1">
        <v>43191</v>
      </c>
      <c r="C1353" s="2">
        <v>1440</v>
      </c>
      <c r="D1353" s="2">
        <v>1440</v>
      </c>
      <c r="E1353" t="s">
        <v>73</v>
      </c>
      <c r="F1353" s="2">
        <v>0</v>
      </c>
      <c r="G1353" s="2"/>
      <c r="H1353" s="2"/>
    </row>
    <row r="1354" spans="1:8">
      <c r="A1354" t="s">
        <v>400</v>
      </c>
      <c r="B1354" s="1">
        <v>43191</v>
      </c>
      <c r="C1354" s="2">
        <v>1440</v>
      </c>
      <c r="D1354" s="2">
        <v>1440</v>
      </c>
      <c r="E1354" t="s">
        <v>73</v>
      </c>
      <c r="F1354" s="2">
        <v>0</v>
      </c>
      <c r="G1354" s="2"/>
      <c r="H1354" s="2"/>
    </row>
    <row r="1355" spans="1:8">
      <c r="A1355" t="s">
        <v>401</v>
      </c>
      <c r="B1355" s="1">
        <v>43191</v>
      </c>
      <c r="C1355" s="2">
        <v>1440</v>
      </c>
      <c r="D1355" s="2">
        <v>1440</v>
      </c>
      <c r="E1355" t="s">
        <v>73</v>
      </c>
      <c r="F1355" s="2">
        <v>0</v>
      </c>
      <c r="G1355" s="2"/>
      <c r="H1355" s="2"/>
    </row>
    <row r="1356" spans="1:8">
      <c r="A1356" t="s">
        <v>456</v>
      </c>
      <c r="B1356" s="1">
        <v>43191</v>
      </c>
      <c r="C1356" s="2">
        <v>1440</v>
      </c>
      <c r="D1356" s="2">
        <v>1440</v>
      </c>
      <c r="E1356" t="s">
        <v>73</v>
      </c>
      <c r="F1356" s="2">
        <v>0</v>
      </c>
      <c r="G1356" s="2"/>
      <c r="H1356" s="2"/>
    </row>
    <row r="1357" spans="1:8">
      <c r="A1357" t="s">
        <v>348</v>
      </c>
      <c r="B1357" s="1">
        <v>43191</v>
      </c>
      <c r="C1357" s="2">
        <v>1440</v>
      </c>
      <c r="D1357" s="2">
        <v>1440</v>
      </c>
      <c r="E1357" t="s">
        <v>73</v>
      </c>
      <c r="F1357" s="2">
        <v>0</v>
      </c>
      <c r="G1357" s="2"/>
      <c r="H1357" s="2"/>
    </row>
    <row r="1358" spans="1:8">
      <c r="A1358" t="s">
        <v>136</v>
      </c>
      <c r="B1358" s="1">
        <v>43191</v>
      </c>
      <c r="C1358" s="2">
        <v>1440</v>
      </c>
      <c r="D1358" s="2">
        <v>1440</v>
      </c>
      <c r="E1358" t="s">
        <v>73</v>
      </c>
      <c r="F1358" s="2">
        <v>0</v>
      </c>
      <c r="G1358" s="2"/>
      <c r="H1358" s="2"/>
    </row>
    <row r="1359" spans="1:8">
      <c r="A1359" t="s">
        <v>402</v>
      </c>
      <c r="B1359" s="1">
        <v>43191</v>
      </c>
      <c r="C1359" s="2">
        <v>1440</v>
      </c>
      <c r="D1359" s="2">
        <v>1440</v>
      </c>
      <c r="E1359" t="s">
        <v>73</v>
      </c>
      <c r="F1359" s="2">
        <v>0</v>
      </c>
      <c r="G1359" s="2"/>
      <c r="H1359" s="2"/>
    </row>
    <row r="1360" spans="1:8">
      <c r="A1360" t="s">
        <v>140</v>
      </c>
      <c r="B1360" s="1">
        <v>43191</v>
      </c>
      <c r="C1360" s="2">
        <v>1440</v>
      </c>
      <c r="D1360" s="2">
        <v>1440</v>
      </c>
      <c r="E1360" t="s">
        <v>73</v>
      </c>
      <c r="F1360" s="2">
        <v>0</v>
      </c>
      <c r="G1360" s="2"/>
      <c r="H1360" s="2"/>
    </row>
    <row r="1361" spans="1:8">
      <c r="A1361" t="s">
        <v>457</v>
      </c>
      <c r="B1361" s="1">
        <v>43191</v>
      </c>
      <c r="C1361" s="2">
        <v>1440</v>
      </c>
      <c r="D1361" s="2">
        <v>1440</v>
      </c>
      <c r="E1361" t="s">
        <v>73</v>
      </c>
      <c r="F1361" s="2">
        <v>0</v>
      </c>
      <c r="G1361" s="2"/>
      <c r="H1361" s="2"/>
    </row>
    <row r="1362" spans="1:8">
      <c r="A1362" t="s">
        <v>269</v>
      </c>
      <c r="B1362" s="1">
        <v>43191</v>
      </c>
      <c r="C1362" s="2">
        <v>1440</v>
      </c>
      <c r="D1362" s="2">
        <v>1440</v>
      </c>
      <c r="E1362" t="s">
        <v>73</v>
      </c>
      <c r="F1362" s="2">
        <v>0</v>
      </c>
      <c r="G1362" s="2"/>
      <c r="H1362" s="2"/>
    </row>
    <row r="1363" spans="1:8">
      <c r="A1363" t="s">
        <v>459</v>
      </c>
      <c r="B1363" s="1">
        <v>43191</v>
      </c>
      <c r="C1363" s="2">
        <v>1440</v>
      </c>
      <c r="D1363" s="2">
        <v>1440</v>
      </c>
      <c r="E1363" t="s">
        <v>73</v>
      </c>
      <c r="F1363" s="2">
        <v>0</v>
      </c>
      <c r="G1363" s="2"/>
      <c r="H1363" s="2"/>
    </row>
    <row r="1364" spans="1:8">
      <c r="A1364" t="s">
        <v>270</v>
      </c>
      <c r="B1364" s="1">
        <v>43191</v>
      </c>
      <c r="C1364" s="2">
        <v>1440</v>
      </c>
      <c r="D1364" s="2">
        <v>1440</v>
      </c>
      <c r="E1364" t="s">
        <v>73</v>
      </c>
      <c r="F1364" s="2">
        <v>0</v>
      </c>
      <c r="G1364" s="2"/>
      <c r="H1364" s="2"/>
    </row>
    <row r="1365" spans="1:8">
      <c r="A1365" t="s">
        <v>405</v>
      </c>
      <c r="B1365" s="1">
        <v>43191</v>
      </c>
      <c r="C1365" s="2">
        <v>1440</v>
      </c>
      <c r="D1365" s="2">
        <v>1440</v>
      </c>
      <c r="E1365" t="s">
        <v>73</v>
      </c>
      <c r="F1365" s="2">
        <v>0</v>
      </c>
      <c r="G1365" s="2"/>
      <c r="H1365" s="2"/>
    </row>
    <row r="1366" spans="1:8">
      <c r="A1366" t="s">
        <v>460</v>
      </c>
      <c r="B1366" s="1">
        <v>43191</v>
      </c>
      <c r="C1366" s="2">
        <v>1440</v>
      </c>
      <c r="D1366" s="2">
        <v>1440</v>
      </c>
      <c r="E1366" t="s">
        <v>73</v>
      </c>
      <c r="F1366" s="2">
        <v>0</v>
      </c>
      <c r="G1366" s="2"/>
      <c r="H1366" s="2"/>
    </row>
    <row r="1367" spans="1:8">
      <c r="A1367" t="s">
        <v>406</v>
      </c>
      <c r="B1367" s="1">
        <v>43191</v>
      </c>
      <c r="C1367" s="2">
        <v>1440</v>
      </c>
      <c r="D1367" s="2">
        <v>1440</v>
      </c>
      <c r="E1367" t="s">
        <v>73</v>
      </c>
      <c r="F1367" s="2">
        <v>0</v>
      </c>
      <c r="G1367" s="2"/>
      <c r="H1367" s="2"/>
    </row>
    <row r="1368" spans="1:8">
      <c r="A1368" t="s">
        <v>461</v>
      </c>
      <c r="B1368" s="1">
        <v>43191</v>
      </c>
      <c r="C1368" s="2">
        <v>1440</v>
      </c>
      <c r="D1368" s="2">
        <v>1440</v>
      </c>
      <c r="E1368" t="s">
        <v>73</v>
      </c>
      <c r="F1368" s="2">
        <v>0</v>
      </c>
      <c r="G1368" s="2"/>
      <c r="H1368" s="2"/>
    </row>
    <row r="1369" spans="1:8">
      <c r="A1369" t="s">
        <v>407</v>
      </c>
      <c r="B1369" s="1">
        <v>43191</v>
      </c>
      <c r="C1369" s="2">
        <v>1440</v>
      </c>
      <c r="D1369" s="2">
        <v>1440</v>
      </c>
      <c r="E1369" t="s">
        <v>73</v>
      </c>
      <c r="F1369" s="2">
        <v>0</v>
      </c>
      <c r="G1369" s="2"/>
      <c r="H1369" s="2"/>
    </row>
    <row r="1370" spans="1:8">
      <c r="A1370" t="s">
        <v>272</v>
      </c>
      <c r="B1370" s="1">
        <v>43191</v>
      </c>
      <c r="C1370" s="2">
        <v>1440</v>
      </c>
      <c r="D1370" s="2">
        <v>1440</v>
      </c>
      <c r="E1370" t="s">
        <v>73</v>
      </c>
      <c r="F1370" s="2">
        <v>0</v>
      </c>
      <c r="G1370" s="2"/>
      <c r="H1370" s="2"/>
    </row>
    <row r="1371" spans="1:8">
      <c r="A1371" t="s">
        <v>190</v>
      </c>
      <c r="B1371" s="1">
        <v>43191</v>
      </c>
      <c r="C1371" s="2">
        <v>1440</v>
      </c>
      <c r="D1371" s="2">
        <v>1440</v>
      </c>
      <c r="E1371" t="s">
        <v>73</v>
      </c>
      <c r="F1371" s="2">
        <v>0</v>
      </c>
      <c r="G1371" s="2"/>
      <c r="H1371" s="2"/>
    </row>
    <row r="1372" spans="1:8">
      <c r="A1372" t="s">
        <v>273</v>
      </c>
      <c r="B1372" s="1">
        <v>43191</v>
      </c>
      <c r="C1372" s="2">
        <v>1440</v>
      </c>
      <c r="D1372" s="2">
        <v>1440</v>
      </c>
      <c r="E1372" t="s">
        <v>73</v>
      </c>
      <c r="F1372" s="2">
        <v>0</v>
      </c>
      <c r="G1372" s="2"/>
      <c r="H1372" s="2"/>
    </row>
    <row r="1373" spans="1:8">
      <c r="A1373" t="s">
        <v>300</v>
      </c>
      <c r="B1373" s="1">
        <v>43191</v>
      </c>
      <c r="C1373" s="2">
        <v>1440</v>
      </c>
      <c r="D1373" s="2">
        <v>1440</v>
      </c>
      <c r="E1373" t="s">
        <v>73</v>
      </c>
      <c r="F1373" s="2">
        <v>0</v>
      </c>
      <c r="G1373" s="2"/>
      <c r="H1373" s="2"/>
    </row>
    <row r="1374" spans="1:8">
      <c r="A1374" t="s">
        <v>274</v>
      </c>
      <c r="B1374" s="1">
        <v>43191</v>
      </c>
      <c r="C1374" s="2">
        <v>1440</v>
      </c>
      <c r="D1374" s="2">
        <v>1440</v>
      </c>
      <c r="E1374" t="s">
        <v>73</v>
      </c>
      <c r="F1374" s="2">
        <v>0</v>
      </c>
      <c r="G1374" s="2"/>
      <c r="H1374" s="2"/>
    </row>
    <row r="1375" spans="1:8">
      <c r="A1375" t="s">
        <v>191</v>
      </c>
      <c r="B1375" s="1">
        <v>43191</v>
      </c>
      <c r="C1375" s="2">
        <v>1440</v>
      </c>
      <c r="D1375" s="2">
        <v>1440</v>
      </c>
      <c r="E1375" t="s">
        <v>73</v>
      </c>
      <c r="F1375" s="2">
        <v>0</v>
      </c>
      <c r="G1375" s="2"/>
      <c r="H1375" s="2"/>
    </row>
    <row r="1376" spans="1:8">
      <c r="A1376" t="s">
        <v>192</v>
      </c>
      <c r="B1376" s="1">
        <v>43191</v>
      </c>
      <c r="C1376" s="2">
        <v>1440</v>
      </c>
      <c r="D1376" s="2">
        <v>1440</v>
      </c>
      <c r="E1376" t="s">
        <v>73</v>
      </c>
      <c r="F1376" s="2">
        <v>0</v>
      </c>
      <c r="G1376" s="2"/>
      <c r="H1376" s="2"/>
    </row>
    <row r="1377" spans="1:8">
      <c r="A1377" t="s">
        <v>275</v>
      </c>
      <c r="B1377" s="1">
        <v>43191</v>
      </c>
      <c r="C1377" s="2">
        <v>1440</v>
      </c>
      <c r="D1377" s="2">
        <v>1440</v>
      </c>
      <c r="E1377" t="s">
        <v>73</v>
      </c>
      <c r="F1377" s="2">
        <v>0</v>
      </c>
      <c r="G1377" s="2"/>
      <c r="H1377" s="2"/>
    </row>
    <row r="1378" spans="1:8">
      <c r="A1378" t="s">
        <v>279</v>
      </c>
      <c r="B1378" s="1">
        <v>43191</v>
      </c>
      <c r="C1378" s="2">
        <v>1440</v>
      </c>
      <c r="D1378" s="2">
        <v>1440</v>
      </c>
      <c r="E1378" t="s">
        <v>73</v>
      </c>
      <c r="F1378" s="2">
        <v>0</v>
      </c>
      <c r="G1378" s="2"/>
      <c r="H1378" s="2"/>
    </row>
    <row r="1379" spans="1:8">
      <c r="A1379" t="s">
        <v>293</v>
      </c>
      <c r="B1379" s="1">
        <v>43191</v>
      </c>
      <c r="C1379" s="2">
        <v>1440</v>
      </c>
      <c r="D1379" s="2">
        <v>1440</v>
      </c>
      <c r="E1379" t="s">
        <v>73</v>
      </c>
      <c r="F1379" s="2">
        <v>0</v>
      </c>
      <c r="G1379" s="2"/>
      <c r="H1379" s="2"/>
    </row>
    <row r="1380" spans="1:8">
      <c r="A1380" t="s">
        <v>462</v>
      </c>
      <c r="B1380" s="1">
        <v>43191</v>
      </c>
      <c r="C1380" s="2">
        <v>1440</v>
      </c>
      <c r="D1380" s="2">
        <v>1440</v>
      </c>
      <c r="E1380" t="s">
        <v>73</v>
      </c>
      <c r="F1380" s="2">
        <v>0</v>
      </c>
      <c r="G1380" s="2"/>
      <c r="H1380" s="2"/>
    </row>
    <row r="1381" spans="1:8">
      <c r="A1381" t="s">
        <v>137</v>
      </c>
      <c r="B1381" s="1">
        <v>43191</v>
      </c>
      <c r="C1381" s="2">
        <v>1440</v>
      </c>
      <c r="D1381" s="2">
        <v>1440</v>
      </c>
      <c r="E1381" t="s">
        <v>73</v>
      </c>
      <c r="F1381" s="2">
        <v>0</v>
      </c>
      <c r="G1381" s="2"/>
      <c r="H1381" s="2"/>
    </row>
    <row r="1382" spans="1:8">
      <c r="A1382" t="s">
        <v>193</v>
      </c>
      <c r="B1382" s="1">
        <v>43191</v>
      </c>
      <c r="C1382" s="2">
        <v>1440</v>
      </c>
      <c r="D1382" s="2">
        <v>1440</v>
      </c>
      <c r="E1382" t="s">
        <v>73</v>
      </c>
      <c r="F1382" s="2">
        <v>0</v>
      </c>
      <c r="G1382" s="2"/>
      <c r="H1382" s="2"/>
    </row>
    <row r="1383" spans="1:8">
      <c r="A1383" t="s">
        <v>194</v>
      </c>
      <c r="B1383" s="1">
        <v>43191</v>
      </c>
      <c r="C1383" s="2">
        <v>1440</v>
      </c>
      <c r="D1383" s="2">
        <v>1440</v>
      </c>
      <c r="E1383" t="s">
        <v>73</v>
      </c>
      <c r="F1383" s="2">
        <v>0</v>
      </c>
      <c r="G1383" s="2"/>
      <c r="H1383" s="2"/>
    </row>
    <row r="1384" spans="1:8">
      <c r="A1384" t="s">
        <v>352</v>
      </c>
      <c r="B1384" s="1">
        <v>43191</v>
      </c>
      <c r="C1384" s="2">
        <v>1440</v>
      </c>
      <c r="D1384" s="2">
        <v>1440</v>
      </c>
      <c r="E1384" t="s">
        <v>73</v>
      </c>
      <c r="F1384" s="2">
        <v>0</v>
      </c>
      <c r="G1384" s="2"/>
      <c r="H1384" s="2"/>
    </row>
    <row r="1385" spans="1:8">
      <c r="A1385" t="s">
        <v>464</v>
      </c>
      <c r="B1385" s="1">
        <v>43191</v>
      </c>
      <c r="C1385" s="2">
        <v>1440</v>
      </c>
      <c r="D1385" s="2">
        <v>1440</v>
      </c>
      <c r="E1385" t="s">
        <v>73</v>
      </c>
      <c r="F1385" s="2">
        <v>0</v>
      </c>
      <c r="G1385" s="2"/>
      <c r="H1385" s="2"/>
    </row>
    <row r="1386" spans="1:8">
      <c r="A1386" t="s">
        <v>211</v>
      </c>
      <c r="B1386" s="1">
        <v>43191</v>
      </c>
      <c r="C1386" s="2">
        <v>1440</v>
      </c>
      <c r="D1386" s="2">
        <v>1440</v>
      </c>
      <c r="E1386" t="s">
        <v>73</v>
      </c>
      <c r="F1386" s="2">
        <v>0</v>
      </c>
      <c r="G1386" s="2"/>
      <c r="H1386" s="2"/>
    </row>
    <row r="1387" spans="1:8">
      <c r="A1387" t="s">
        <v>408</v>
      </c>
      <c r="B1387" s="1">
        <v>43191</v>
      </c>
      <c r="C1387" s="2">
        <v>1440</v>
      </c>
      <c r="D1387" s="2">
        <v>1440</v>
      </c>
      <c r="E1387" t="s">
        <v>73</v>
      </c>
      <c r="F1387" s="2">
        <v>0</v>
      </c>
      <c r="G1387" s="2"/>
      <c r="H1387" s="2"/>
    </row>
    <row r="1388" spans="1:8">
      <c r="A1388" t="s">
        <v>308</v>
      </c>
      <c r="B1388" s="1">
        <v>43191</v>
      </c>
      <c r="C1388" s="2">
        <v>1440</v>
      </c>
      <c r="D1388" s="2">
        <v>1440</v>
      </c>
      <c r="E1388" t="s">
        <v>73</v>
      </c>
      <c r="F1388" s="2">
        <v>0</v>
      </c>
      <c r="G1388" s="2"/>
      <c r="H1388" s="2"/>
    </row>
    <row r="1389" spans="1:8">
      <c r="A1389" t="s">
        <v>282</v>
      </c>
      <c r="B1389" s="1">
        <v>43191</v>
      </c>
      <c r="C1389" s="2">
        <v>1440</v>
      </c>
      <c r="D1389" s="2">
        <v>1440</v>
      </c>
      <c r="E1389" t="s">
        <v>73</v>
      </c>
      <c r="F1389" s="2">
        <v>0</v>
      </c>
      <c r="G1389" s="2"/>
      <c r="H1389" s="2"/>
    </row>
    <row r="1390" spans="1:8">
      <c r="A1390" t="s">
        <v>465</v>
      </c>
      <c r="B1390" s="1">
        <v>43191</v>
      </c>
      <c r="C1390" s="2">
        <v>1440</v>
      </c>
      <c r="D1390" s="2">
        <v>1440</v>
      </c>
      <c r="E1390" t="s">
        <v>73</v>
      </c>
      <c r="F1390" s="2">
        <v>0</v>
      </c>
      <c r="G1390" s="2"/>
      <c r="H1390" s="2"/>
    </row>
    <row r="1391" spans="1:8">
      <c r="A1391" t="s">
        <v>409</v>
      </c>
      <c r="B1391" s="1">
        <v>43191</v>
      </c>
      <c r="C1391" s="2">
        <v>1440</v>
      </c>
      <c r="D1391" s="2">
        <v>1440</v>
      </c>
      <c r="E1391" t="s">
        <v>73</v>
      </c>
      <c r="F1391" s="2">
        <v>0</v>
      </c>
      <c r="G1391" s="2"/>
      <c r="H1391" s="2"/>
    </row>
    <row r="1392" spans="1:8">
      <c r="A1392" t="s">
        <v>410</v>
      </c>
      <c r="B1392" s="1">
        <v>43191</v>
      </c>
      <c r="C1392" s="2">
        <v>1440</v>
      </c>
      <c r="D1392" s="2">
        <v>1440</v>
      </c>
      <c r="E1392" t="s">
        <v>73</v>
      </c>
      <c r="F1392" s="2">
        <v>0</v>
      </c>
      <c r="G1392" s="2"/>
      <c r="H1392" s="2"/>
    </row>
    <row r="1393" spans="1:8">
      <c r="A1393" t="s">
        <v>411</v>
      </c>
      <c r="B1393" s="1">
        <v>43191</v>
      </c>
      <c r="C1393" s="2">
        <v>1440</v>
      </c>
      <c r="D1393" s="2">
        <v>1440</v>
      </c>
      <c r="E1393" t="s">
        <v>73</v>
      </c>
      <c r="F1393" s="2">
        <v>0</v>
      </c>
      <c r="G1393" s="2"/>
      <c r="H1393" s="2"/>
    </row>
    <row r="1394" spans="1:8">
      <c r="A1394" t="s">
        <v>284</v>
      </c>
      <c r="B1394" s="1">
        <v>43191</v>
      </c>
      <c r="C1394" s="2">
        <v>1440</v>
      </c>
      <c r="D1394" s="2">
        <v>1440</v>
      </c>
      <c r="E1394" t="s">
        <v>73</v>
      </c>
      <c r="F1394" s="2">
        <v>0</v>
      </c>
      <c r="G1394" s="2"/>
      <c r="H1394" s="2"/>
    </row>
    <row r="1395" spans="1:8">
      <c r="A1395" t="s">
        <v>467</v>
      </c>
      <c r="B1395" s="1">
        <v>43191</v>
      </c>
      <c r="C1395" s="2">
        <v>1440</v>
      </c>
      <c r="D1395" s="2">
        <v>1440</v>
      </c>
      <c r="E1395" t="s">
        <v>73</v>
      </c>
      <c r="F1395" s="2">
        <v>0</v>
      </c>
      <c r="G1395" s="2"/>
      <c r="H1395" s="2"/>
    </row>
    <row r="1396" spans="1:8">
      <c r="A1396" t="s">
        <v>285</v>
      </c>
      <c r="B1396" s="1">
        <v>43191</v>
      </c>
      <c r="C1396" s="2">
        <v>1440</v>
      </c>
      <c r="D1396" s="2">
        <v>1440</v>
      </c>
      <c r="E1396" t="s">
        <v>73</v>
      </c>
      <c r="F1396" s="2">
        <v>0</v>
      </c>
      <c r="G1396" s="2"/>
      <c r="H1396" s="2"/>
    </row>
    <row r="1397" spans="1:8">
      <c r="A1397" t="s">
        <v>468</v>
      </c>
      <c r="B1397" s="1">
        <v>43191</v>
      </c>
      <c r="C1397" s="2">
        <v>1440</v>
      </c>
      <c r="D1397" s="2">
        <v>1440</v>
      </c>
      <c r="E1397" t="s">
        <v>73</v>
      </c>
      <c r="F1397" s="2">
        <v>0</v>
      </c>
      <c r="G1397" s="2"/>
      <c r="H1397" s="2"/>
    </row>
    <row r="1398" spans="1:8">
      <c r="A1398" t="s">
        <v>195</v>
      </c>
      <c r="B1398" s="1">
        <v>43191</v>
      </c>
      <c r="C1398" s="2">
        <v>1440</v>
      </c>
      <c r="D1398" s="2">
        <v>1440</v>
      </c>
      <c r="E1398" t="s">
        <v>73</v>
      </c>
      <c r="F1398" s="2">
        <v>0</v>
      </c>
      <c r="G1398" s="2"/>
      <c r="H1398" s="2"/>
    </row>
    <row r="1399" spans="1:8">
      <c r="A1399" t="s">
        <v>356</v>
      </c>
      <c r="B1399" s="1">
        <v>43191</v>
      </c>
      <c r="C1399" s="2">
        <v>1440</v>
      </c>
      <c r="D1399" s="2">
        <v>1440</v>
      </c>
      <c r="E1399" t="s">
        <v>73</v>
      </c>
      <c r="F1399" s="2">
        <v>0</v>
      </c>
      <c r="G1399" s="2"/>
      <c r="H1399" s="2"/>
    </row>
    <row r="1400" spans="1:8">
      <c r="A1400" t="s">
        <v>469</v>
      </c>
      <c r="B1400" s="1">
        <v>43191</v>
      </c>
      <c r="C1400" s="2">
        <v>1440</v>
      </c>
      <c r="D1400" s="2">
        <v>1440</v>
      </c>
      <c r="E1400" t="s">
        <v>73</v>
      </c>
      <c r="F1400" s="2">
        <v>0</v>
      </c>
      <c r="G1400" s="2"/>
      <c r="H1400" s="2"/>
    </row>
    <row r="1401" spans="1:8">
      <c r="A1401" t="s">
        <v>412</v>
      </c>
      <c r="B1401" s="1">
        <v>43191</v>
      </c>
      <c r="C1401" s="2">
        <v>1440</v>
      </c>
      <c r="D1401" s="2">
        <v>1440</v>
      </c>
      <c r="E1401" t="s">
        <v>73</v>
      </c>
      <c r="F1401" s="2">
        <v>0</v>
      </c>
      <c r="G1401" s="2"/>
      <c r="H1401" s="2"/>
    </row>
    <row r="1402" spans="1:8">
      <c r="A1402" t="s">
        <v>286</v>
      </c>
      <c r="B1402" s="1">
        <v>43191</v>
      </c>
      <c r="C1402" s="2">
        <v>1440</v>
      </c>
      <c r="D1402" s="2">
        <v>1440</v>
      </c>
      <c r="E1402" t="s">
        <v>73</v>
      </c>
      <c r="F1402" s="2">
        <v>0</v>
      </c>
      <c r="G1402" s="2"/>
      <c r="H1402" s="2"/>
    </row>
    <row r="1403" spans="1:8">
      <c r="A1403" t="s">
        <v>470</v>
      </c>
      <c r="B1403" s="1">
        <v>43191</v>
      </c>
      <c r="C1403" s="2">
        <v>1440</v>
      </c>
      <c r="D1403" s="2">
        <v>1440</v>
      </c>
      <c r="E1403" t="s">
        <v>73</v>
      </c>
      <c r="F1403" s="2">
        <v>0</v>
      </c>
      <c r="G1403" s="2"/>
      <c r="H1403" s="2"/>
    </row>
    <row r="1404" spans="1:8">
      <c r="A1404" t="s">
        <v>287</v>
      </c>
      <c r="B1404" s="1">
        <v>43191</v>
      </c>
      <c r="C1404" s="2">
        <v>1440</v>
      </c>
      <c r="D1404" s="2">
        <v>1440</v>
      </c>
      <c r="E1404" t="s">
        <v>73</v>
      </c>
      <c r="F1404" s="2">
        <v>0</v>
      </c>
      <c r="G1404" s="2"/>
      <c r="H1404" s="2"/>
    </row>
    <row r="1405" spans="1:8">
      <c r="A1405" t="s">
        <v>197</v>
      </c>
      <c r="B1405" s="1">
        <v>43191</v>
      </c>
      <c r="C1405" s="2">
        <v>1440</v>
      </c>
      <c r="D1405" s="2">
        <v>1440</v>
      </c>
      <c r="E1405" t="s">
        <v>73</v>
      </c>
      <c r="F1405" s="2">
        <v>0</v>
      </c>
      <c r="G1405" s="2"/>
      <c r="H1405" s="2"/>
    </row>
    <row r="1406" spans="1:8">
      <c r="A1406" t="s">
        <v>314</v>
      </c>
      <c r="B1406" s="1">
        <v>43191</v>
      </c>
      <c r="C1406" s="2">
        <v>1200</v>
      </c>
      <c r="D1406" s="2">
        <v>1200</v>
      </c>
      <c r="E1406" t="s">
        <v>73</v>
      </c>
      <c r="F1406" s="2">
        <v>0</v>
      </c>
      <c r="G1406" s="2"/>
      <c r="H1406" s="2"/>
    </row>
    <row r="1407" spans="1:8">
      <c r="A1407" t="s">
        <v>315</v>
      </c>
      <c r="B1407" s="1">
        <v>43191</v>
      </c>
      <c r="C1407" s="2">
        <v>1200</v>
      </c>
      <c r="D1407" s="2">
        <v>1200</v>
      </c>
      <c r="E1407" t="s">
        <v>73</v>
      </c>
      <c r="F1407" s="2">
        <v>0</v>
      </c>
      <c r="G1407" s="2"/>
      <c r="H1407" s="2"/>
    </row>
    <row r="1408" spans="1:8">
      <c r="A1408" t="s">
        <v>147</v>
      </c>
      <c r="B1408" s="1">
        <v>43191</v>
      </c>
      <c r="C1408" s="2">
        <v>1200</v>
      </c>
      <c r="D1408" s="2">
        <v>1200</v>
      </c>
      <c r="E1408" t="s">
        <v>73</v>
      </c>
      <c r="F1408" s="2">
        <v>0</v>
      </c>
      <c r="G1408" s="2"/>
      <c r="H1408" s="2"/>
    </row>
    <row r="1409" spans="1:8">
      <c r="A1409" t="s">
        <v>369</v>
      </c>
      <c r="B1409" s="1">
        <v>43191</v>
      </c>
      <c r="C1409" s="2">
        <v>1200</v>
      </c>
      <c r="D1409" s="2">
        <v>1200</v>
      </c>
      <c r="E1409" t="s">
        <v>73</v>
      </c>
      <c r="F1409" s="2">
        <v>0</v>
      </c>
      <c r="G1409" s="2"/>
      <c r="H1409" s="2"/>
    </row>
    <row r="1410" spans="1:8">
      <c r="A1410" t="s">
        <v>148</v>
      </c>
      <c r="B1410" s="1">
        <v>43191</v>
      </c>
      <c r="C1410" s="2">
        <v>1200</v>
      </c>
      <c r="D1410" s="2">
        <v>1200</v>
      </c>
      <c r="E1410" t="s">
        <v>73</v>
      </c>
      <c r="F1410" s="2">
        <v>0</v>
      </c>
      <c r="G1410" s="2"/>
      <c r="H1410" s="2"/>
    </row>
    <row r="1411" spans="1:8">
      <c r="A1411" t="s">
        <v>224</v>
      </c>
      <c r="B1411" s="1">
        <v>43191</v>
      </c>
      <c r="C1411" s="2">
        <v>1200</v>
      </c>
      <c r="D1411" s="2">
        <v>1200</v>
      </c>
      <c r="E1411" t="s">
        <v>73</v>
      </c>
      <c r="F1411" s="2">
        <v>0</v>
      </c>
      <c r="G1411" s="2"/>
      <c r="H1411" s="2"/>
    </row>
    <row r="1412" spans="1:8">
      <c r="A1412" t="s">
        <v>427</v>
      </c>
      <c r="B1412" s="1">
        <v>43191</v>
      </c>
      <c r="C1412" s="2">
        <v>1200</v>
      </c>
      <c r="D1412" s="2">
        <v>1200</v>
      </c>
      <c r="E1412" t="s">
        <v>73</v>
      </c>
      <c r="F1412" s="2">
        <v>0</v>
      </c>
      <c r="G1412" s="2"/>
      <c r="H1412" s="2"/>
    </row>
    <row r="1413" spans="1:8">
      <c r="A1413" t="s">
        <v>217</v>
      </c>
      <c r="B1413" s="1">
        <v>43191</v>
      </c>
      <c r="C1413" s="2">
        <v>1200</v>
      </c>
      <c r="D1413" s="2">
        <v>1200</v>
      </c>
      <c r="E1413" t="s">
        <v>73</v>
      </c>
      <c r="F1413" s="2">
        <v>0</v>
      </c>
      <c r="G1413" s="2"/>
      <c r="H1413" s="2"/>
    </row>
    <row r="1414" spans="1:8">
      <c r="A1414" t="s">
        <v>316</v>
      </c>
      <c r="B1414" s="1">
        <v>43191</v>
      </c>
      <c r="C1414" s="2">
        <v>1200</v>
      </c>
      <c r="D1414" s="2">
        <v>1200</v>
      </c>
      <c r="E1414" t="s">
        <v>73</v>
      </c>
      <c r="F1414" s="2">
        <v>0</v>
      </c>
      <c r="G1414" s="2"/>
      <c r="H1414" s="2"/>
    </row>
    <row r="1415" spans="1:8">
      <c r="A1415" t="s">
        <v>311</v>
      </c>
      <c r="B1415" s="1">
        <v>43191</v>
      </c>
      <c r="C1415" s="2">
        <v>1200</v>
      </c>
      <c r="D1415" s="2">
        <v>1200</v>
      </c>
      <c r="E1415" t="s">
        <v>73</v>
      </c>
      <c r="F1415" s="2">
        <v>0</v>
      </c>
      <c r="G1415" s="2"/>
      <c r="H1415" s="2"/>
    </row>
    <row r="1416" spans="1:8">
      <c r="A1416" t="s">
        <v>120</v>
      </c>
      <c r="B1416" s="1">
        <v>43191</v>
      </c>
      <c r="C1416" s="2">
        <v>1200</v>
      </c>
      <c r="D1416" s="2">
        <v>1200</v>
      </c>
      <c r="E1416" t="s">
        <v>73</v>
      </c>
      <c r="F1416" s="2">
        <v>0</v>
      </c>
      <c r="G1416" s="2"/>
      <c r="H1416" s="2"/>
    </row>
    <row r="1417" spans="1:8">
      <c r="A1417" t="s">
        <v>312</v>
      </c>
      <c r="B1417" s="1">
        <v>43191</v>
      </c>
      <c r="C1417" s="2">
        <v>1200</v>
      </c>
      <c r="D1417" s="2">
        <v>1200</v>
      </c>
      <c r="E1417" t="s">
        <v>73</v>
      </c>
      <c r="F1417" s="2">
        <v>0</v>
      </c>
      <c r="G1417" s="2"/>
      <c r="H1417" s="2"/>
    </row>
    <row r="1418" spans="1:8">
      <c r="A1418" t="s">
        <v>121</v>
      </c>
      <c r="B1418" s="1">
        <v>43191</v>
      </c>
      <c r="C1418" s="2">
        <v>1200</v>
      </c>
      <c r="D1418" s="2">
        <v>1200</v>
      </c>
      <c r="E1418" t="s">
        <v>73</v>
      </c>
      <c r="F1418" s="2">
        <v>0</v>
      </c>
      <c r="G1418" s="2"/>
      <c r="H1418" s="2"/>
    </row>
    <row r="1419" spans="1:8">
      <c r="A1419" t="s">
        <v>317</v>
      </c>
      <c r="B1419" s="1">
        <v>43191</v>
      </c>
      <c r="C1419" s="2">
        <v>1200</v>
      </c>
      <c r="D1419" s="2">
        <v>1200</v>
      </c>
      <c r="E1419" t="s">
        <v>73</v>
      </c>
      <c r="F1419" s="2">
        <v>0</v>
      </c>
      <c r="G1419" s="2"/>
      <c r="H1419" s="2"/>
    </row>
    <row r="1420" spans="1:8">
      <c r="A1420" t="s">
        <v>152</v>
      </c>
      <c r="B1420" s="1">
        <v>43191</v>
      </c>
      <c r="C1420" s="2">
        <v>1200</v>
      </c>
      <c r="D1420" s="2">
        <v>1200</v>
      </c>
      <c r="E1420" t="s">
        <v>73</v>
      </c>
      <c r="F1420" s="2">
        <v>0</v>
      </c>
      <c r="G1420" s="2"/>
      <c r="H1420" s="2"/>
    </row>
    <row r="1421" spans="1:8">
      <c r="A1421" t="s">
        <v>370</v>
      </c>
      <c r="B1421" s="1">
        <v>43191</v>
      </c>
      <c r="C1421" s="2">
        <v>1200</v>
      </c>
      <c r="D1421" s="2">
        <v>1200</v>
      </c>
      <c r="E1421" t="s">
        <v>73</v>
      </c>
      <c r="F1421" s="2">
        <v>0</v>
      </c>
      <c r="G1421" s="2"/>
      <c r="H1421" s="2"/>
    </row>
    <row r="1422" spans="1:8">
      <c r="A1422" t="s">
        <v>127</v>
      </c>
      <c r="B1422" s="1">
        <v>43191</v>
      </c>
      <c r="C1422" s="2">
        <v>1200</v>
      </c>
      <c r="D1422" s="2">
        <v>1200</v>
      </c>
      <c r="E1422" t="s">
        <v>73</v>
      </c>
      <c r="F1422" s="2">
        <v>0</v>
      </c>
      <c r="G1422" s="2"/>
      <c r="H1422" s="2"/>
    </row>
    <row r="1423" spans="1:8">
      <c r="A1423" t="s">
        <v>153</v>
      </c>
      <c r="B1423" s="1">
        <v>43191</v>
      </c>
      <c r="C1423" s="2">
        <v>1200</v>
      </c>
      <c r="D1423" s="2">
        <v>1200</v>
      </c>
      <c r="E1423" t="s">
        <v>73</v>
      </c>
      <c r="F1423" s="2">
        <v>0</v>
      </c>
      <c r="G1423" s="2"/>
      <c r="H1423" s="2"/>
    </row>
    <row r="1424" spans="1:8">
      <c r="A1424" t="s">
        <v>376</v>
      </c>
      <c r="B1424" s="1">
        <v>43191</v>
      </c>
      <c r="C1424" s="2">
        <v>1200</v>
      </c>
      <c r="D1424" s="2">
        <v>1200</v>
      </c>
      <c r="E1424" t="s">
        <v>73</v>
      </c>
      <c r="F1424" s="2">
        <v>0</v>
      </c>
      <c r="G1424" s="2"/>
      <c r="H1424" s="2"/>
    </row>
    <row r="1425" spans="1:8">
      <c r="A1425" t="s">
        <v>222</v>
      </c>
      <c r="B1425" s="1">
        <v>43191</v>
      </c>
      <c r="C1425" s="2">
        <v>1200</v>
      </c>
      <c r="D1425" s="2">
        <v>1200</v>
      </c>
      <c r="E1425" t="s">
        <v>73</v>
      </c>
      <c r="F1425" s="2">
        <v>0</v>
      </c>
      <c r="G1425" s="2"/>
      <c r="H1425" s="2"/>
    </row>
    <row r="1426" spans="1:8">
      <c r="A1426" t="s">
        <v>149</v>
      </c>
      <c r="B1426" s="1">
        <v>43191</v>
      </c>
      <c r="C1426" s="2">
        <v>1200</v>
      </c>
      <c r="D1426" s="2">
        <v>1200</v>
      </c>
      <c r="E1426" t="s">
        <v>73</v>
      </c>
      <c r="F1426" s="2">
        <v>0</v>
      </c>
      <c r="G1426" s="2"/>
      <c r="H1426" s="2"/>
    </row>
    <row r="1427" spans="1:8">
      <c r="A1427" t="s">
        <v>371</v>
      </c>
      <c r="B1427" s="1">
        <v>43191</v>
      </c>
      <c r="C1427" s="2">
        <v>1200</v>
      </c>
      <c r="D1427" s="2">
        <v>1200</v>
      </c>
      <c r="E1427" t="s">
        <v>73</v>
      </c>
      <c r="F1427" s="2">
        <v>0</v>
      </c>
      <c r="G1427" s="2"/>
      <c r="H1427" s="2"/>
    </row>
    <row r="1428" spans="1:8">
      <c r="A1428" t="s">
        <v>154</v>
      </c>
      <c r="B1428" s="1">
        <v>43191</v>
      </c>
      <c r="C1428" s="2">
        <v>1200</v>
      </c>
      <c r="D1428" s="2">
        <v>1200</v>
      </c>
      <c r="E1428" t="s">
        <v>73</v>
      </c>
      <c r="F1428" s="2">
        <v>0</v>
      </c>
      <c r="G1428" s="2"/>
      <c r="H1428" s="2"/>
    </row>
    <row r="1429" spans="1:8">
      <c r="A1429" t="s">
        <v>372</v>
      </c>
      <c r="B1429" s="1">
        <v>43191</v>
      </c>
      <c r="C1429" s="2">
        <v>1200</v>
      </c>
      <c r="D1429" s="2">
        <v>1200</v>
      </c>
      <c r="E1429" t="s">
        <v>73</v>
      </c>
      <c r="F1429" s="2">
        <v>0</v>
      </c>
      <c r="G1429" s="2"/>
      <c r="H1429" s="2"/>
    </row>
    <row r="1430" spans="1:8">
      <c r="A1430" t="s">
        <v>377</v>
      </c>
      <c r="B1430" s="1">
        <v>43191</v>
      </c>
      <c r="C1430" s="2">
        <v>1200</v>
      </c>
      <c r="D1430" s="2">
        <v>1200</v>
      </c>
      <c r="E1430" t="s">
        <v>73</v>
      </c>
      <c r="F1430" s="2">
        <v>0</v>
      </c>
      <c r="G1430" s="2"/>
      <c r="H1430" s="2"/>
    </row>
    <row r="1431" spans="1:8">
      <c r="A1431" t="s">
        <v>150</v>
      </c>
      <c r="B1431" s="1">
        <v>43191</v>
      </c>
      <c r="C1431" s="2">
        <v>1200</v>
      </c>
      <c r="D1431" s="2">
        <v>1200</v>
      </c>
      <c r="E1431" t="s">
        <v>73</v>
      </c>
      <c r="F1431" s="2">
        <v>0</v>
      </c>
      <c r="G1431" s="2"/>
      <c r="H1431" s="2"/>
    </row>
    <row r="1432" spans="1:8">
      <c r="A1432" t="s">
        <v>122</v>
      </c>
      <c r="B1432" s="1">
        <v>43191</v>
      </c>
      <c r="C1432" s="2">
        <v>1200</v>
      </c>
      <c r="D1432" s="2">
        <v>1200</v>
      </c>
      <c r="E1432" t="s">
        <v>73</v>
      </c>
      <c r="F1432" s="2">
        <v>0</v>
      </c>
      <c r="G1432" s="2"/>
      <c r="H1432" s="2"/>
    </row>
    <row r="1433" spans="1:8">
      <c r="A1433" t="s">
        <v>218</v>
      </c>
      <c r="B1433" s="1">
        <v>43191</v>
      </c>
      <c r="C1433" s="2">
        <v>1200</v>
      </c>
      <c r="D1433" s="2">
        <v>1200</v>
      </c>
      <c r="E1433" t="s">
        <v>73</v>
      </c>
      <c r="F1433" s="2">
        <v>0</v>
      </c>
      <c r="G1433" s="2"/>
      <c r="H1433" s="2"/>
    </row>
    <row r="1434" spans="1:8">
      <c r="A1434" t="s">
        <v>151</v>
      </c>
      <c r="B1434" s="1">
        <v>43191</v>
      </c>
      <c r="C1434" s="2">
        <v>1200</v>
      </c>
      <c r="D1434" s="2">
        <v>1200</v>
      </c>
      <c r="E1434" t="s">
        <v>73</v>
      </c>
      <c r="F1434" s="2">
        <v>0</v>
      </c>
      <c r="G1434" s="2"/>
      <c r="H1434" s="2"/>
    </row>
    <row r="1435" spans="1:8">
      <c r="A1435" t="s">
        <v>219</v>
      </c>
      <c r="B1435" s="1">
        <v>43191</v>
      </c>
      <c r="C1435" s="2">
        <v>1200</v>
      </c>
      <c r="D1435" s="2">
        <v>1200</v>
      </c>
      <c r="E1435" t="s">
        <v>73</v>
      </c>
      <c r="F1435" s="2">
        <v>0</v>
      </c>
      <c r="G1435" s="2"/>
      <c r="H1435" s="2"/>
    </row>
    <row r="1436" spans="1:8">
      <c r="A1436" t="s">
        <v>373</v>
      </c>
      <c r="B1436" s="1">
        <v>43191</v>
      </c>
      <c r="C1436" s="2">
        <v>1200</v>
      </c>
      <c r="D1436" s="2">
        <v>1200</v>
      </c>
      <c r="E1436" t="s">
        <v>73</v>
      </c>
      <c r="F1436" s="2">
        <v>0</v>
      </c>
      <c r="G1436" s="2"/>
      <c r="H1436" s="2"/>
    </row>
    <row r="1437" spans="1:8">
      <c r="A1437" t="s">
        <v>225</v>
      </c>
      <c r="B1437" s="1">
        <v>43191</v>
      </c>
      <c r="C1437" s="2">
        <v>1200</v>
      </c>
      <c r="D1437" s="2">
        <v>1200</v>
      </c>
      <c r="E1437" t="s">
        <v>73</v>
      </c>
      <c r="F1437" s="2">
        <v>0</v>
      </c>
      <c r="G1437" s="2"/>
      <c r="H1437" s="2"/>
    </row>
    <row r="1438" spans="1:8">
      <c r="A1438" t="s">
        <v>118</v>
      </c>
      <c r="B1438" s="1">
        <v>43191</v>
      </c>
      <c r="C1438" s="2">
        <v>1200</v>
      </c>
      <c r="D1438" s="2">
        <v>1200</v>
      </c>
      <c r="E1438" t="s">
        <v>73</v>
      </c>
      <c r="F1438" s="2">
        <v>0</v>
      </c>
      <c r="G1438" s="2"/>
      <c r="H1438" s="2"/>
    </row>
    <row r="1439" spans="1:8">
      <c r="A1439" t="s">
        <v>220</v>
      </c>
      <c r="B1439" s="1">
        <v>43191</v>
      </c>
      <c r="C1439" s="2">
        <v>1200</v>
      </c>
      <c r="D1439" s="2">
        <v>1200</v>
      </c>
      <c r="E1439" t="s">
        <v>73</v>
      </c>
      <c r="F1439" s="2">
        <v>0</v>
      </c>
      <c r="G1439" s="2"/>
      <c r="H1439" s="2"/>
    </row>
    <row r="1440" spans="1:8">
      <c r="A1440" t="s">
        <v>221</v>
      </c>
      <c r="B1440" s="1">
        <v>43191</v>
      </c>
      <c r="C1440" s="2">
        <v>1200</v>
      </c>
      <c r="D1440" s="2">
        <v>1200</v>
      </c>
      <c r="E1440" t="s">
        <v>73</v>
      </c>
      <c r="F1440" s="2">
        <v>0</v>
      </c>
      <c r="G1440" s="2"/>
      <c r="H1440" s="2"/>
    </row>
    <row r="1441" spans="1:8">
      <c r="A1441" t="s">
        <v>301</v>
      </c>
      <c r="B1441" s="1">
        <v>43191</v>
      </c>
      <c r="C1441" s="2">
        <v>3168</v>
      </c>
      <c r="D1441" s="2">
        <v>3312</v>
      </c>
      <c r="E1441" t="s">
        <v>12</v>
      </c>
      <c r="F1441" s="2">
        <v>144</v>
      </c>
      <c r="G1441" s="2"/>
      <c r="H1441" s="2"/>
    </row>
    <row r="1442" spans="1:8">
      <c r="A1442" t="s">
        <v>214</v>
      </c>
      <c r="B1442" s="1">
        <v>43191</v>
      </c>
      <c r="C1442" s="2">
        <v>2448</v>
      </c>
      <c r="D1442" s="2">
        <v>2592</v>
      </c>
      <c r="E1442" t="s">
        <v>12</v>
      </c>
      <c r="F1442" s="2">
        <v>144</v>
      </c>
      <c r="G1442" s="2"/>
      <c r="H1442" s="2"/>
    </row>
    <row r="1443" spans="1:8">
      <c r="A1443" t="s">
        <v>420</v>
      </c>
      <c r="B1443" s="1">
        <v>43191</v>
      </c>
      <c r="C1443" s="2">
        <v>1728</v>
      </c>
      <c r="D1443" s="2">
        <v>1872</v>
      </c>
      <c r="E1443" t="s">
        <v>12</v>
      </c>
      <c r="F1443" s="2">
        <v>144</v>
      </c>
      <c r="G1443" s="2"/>
      <c r="H1443" s="2"/>
    </row>
    <row r="1444" spans="1:8">
      <c r="A1444" t="s">
        <v>474</v>
      </c>
      <c r="B1444" s="1">
        <v>43191</v>
      </c>
      <c r="C1444" s="2">
        <v>1728</v>
      </c>
      <c r="D1444" s="2">
        <v>1872</v>
      </c>
      <c r="E1444" t="s">
        <v>12</v>
      </c>
      <c r="F1444" s="2">
        <v>144</v>
      </c>
      <c r="G1444" s="2"/>
      <c r="H1444" s="2"/>
    </row>
    <row r="1445" spans="1:8">
      <c r="A1445" t="s">
        <v>414</v>
      </c>
      <c r="B1445" s="1">
        <v>43191</v>
      </c>
      <c r="C1445" s="2">
        <v>1440</v>
      </c>
      <c r="D1445" s="2">
        <v>1584</v>
      </c>
      <c r="E1445" t="s">
        <v>12</v>
      </c>
      <c r="F1445" s="2">
        <v>144</v>
      </c>
      <c r="G1445" s="2"/>
      <c r="H1445" s="2"/>
    </row>
    <row r="1446" spans="1:8">
      <c r="A1446" t="s">
        <v>271</v>
      </c>
      <c r="B1446" s="1">
        <v>43191</v>
      </c>
      <c r="C1446" s="2">
        <v>1440</v>
      </c>
      <c r="D1446" s="2">
        <v>1584</v>
      </c>
      <c r="E1446" t="s">
        <v>12</v>
      </c>
      <c r="F1446" s="2">
        <v>144</v>
      </c>
      <c r="G1446" s="2"/>
      <c r="H1446" s="2"/>
    </row>
    <row r="1447" spans="1:8">
      <c r="A1447" t="s">
        <v>283</v>
      </c>
      <c r="B1447" s="1">
        <v>43191</v>
      </c>
      <c r="C1447" s="2">
        <v>1440</v>
      </c>
      <c r="D1447" s="2">
        <v>1584</v>
      </c>
      <c r="E1447" t="s">
        <v>12</v>
      </c>
      <c r="F1447" s="2">
        <v>144</v>
      </c>
      <c r="G1447" s="2"/>
      <c r="H1447" s="2"/>
    </row>
    <row r="1448" spans="1:8">
      <c r="A1448" t="s">
        <v>216</v>
      </c>
      <c r="B1448" s="1">
        <v>43191</v>
      </c>
      <c r="C1448" s="2">
        <v>8880</v>
      </c>
      <c r="D1448" s="2">
        <v>9144</v>
      </c>
      <c r="E1448" t="s">
        <v>12</v>
      </c>
      <c r="F1448" s="2">
        <v>264</v>
      </c>
      <c r="G1448" s="2"/>
      <c r="H1448" s="2"/>
    </row>
    <row r="1449" spans="1:8">
      <c r="A1449" t="s">
        <v>302</v>
      </c>
      <c r="B1449" s="1">
        <v>43191</v>
      </c>
      <c r="C1449" s="2">
        <v>6240</v>
      </c>
      <c r="D1449" s="2">
        <v>6504</v>
      </c>
      <c r="E1449" t="s">
        <v>12</v>
      </c>
      <c r="F1449" s="2">
        <v>264</v>
      </c>
      <c r="G1449" s="2"/>
      <c r="H1449" s="2"/>
    </row>
    <row r="1450" spans="1:8">
      <c r="A1450" t="s">
        <v>480</v>
      </c>
      <c r="B1450" s="1">
        <v>43191</v>
      </c>
      <c r="C1450" s="2">
        <v>3732</v>
      </c>
      <c r="D1450" s="2">
        <v>3996</v>
      </c>
      <c r="E1450" t="s">
        <v>12</v>
      </c>
      <c r="F1450" s="2">
        <v>264</v>
      </c>
      <c r="G1450" s="2"/>
      <c r="H1450" s="2"/>
    </row>
    <row r="1451" spans="1:8">
      <c r="A1451" t="s">
        <v>426</v>
      </c>
      <c r="B1451" s="1">
        <v>43191</v>
      </c>
      <c r="C1451" s="2">
        <v>2736</v>
      </c>
      <c r="D1451" s="2">
        <v>3024</v>
      </c>
      <c r="E1451" t="s">
        <v>12</v>
      </c>
      <c r="F1451" s="2">
        <v>288</v>
      </c>
      <c r="G1451" s="2"/>
      <c r="H1451" s="2"/>
    </row>
    <row r="1452" spans="1:8">
      <c r="A1452" t="s">
        <v>126</v>
      </c>
      <c r="B1452" s="1">
        <v>43191</v>
      </c>
      <c r="C1452" s="2">
        <v>1728</v>
      </c>
      <c r="D1452" s="2">
        <v>2016</v>
      </c>
      <c r="E1452" t="s">
        <v>12</v>
      </c>
      <c r="F1452" s="2">
        <v>288</v>
      </c>
      <c r="G1452" s="2"/>
      <c r="H1452" s="2"/>
    </row>
    <row r="1453" spans="1:8">
      <c r="A1453" t="s">
        <v>145</v>
      </c>
      <c r="B1453" s="1">
        <v>43191</v>
      </c>
      <c r="C1453" s="2">
        <v>19620</v>
      </c>
      <c r="D1453" s="2">
        <v>19980</v>
      </c>
      <c r="E1453" t="s">
        <v>12</v>
      </c>
      <c r="F1453" s="2">
        <v>360</v>
      </c>
      <c r="G1453" s="2"/>
      <c r="H1453" s="2"/>
    </row>
    <row r="1454" spans="1:8">
      <c r="A1454" t="s">
        <v>368</v>
      </c>
      <c r="B1454" s="1">
        <v>43191</v>
      </c>
      <c r="C1454" s="2">
        <v>11388</v>
      </c>
      <c r="D1454" s="2">
        <v>11784</v>
      </c>
      <c r="E1454" t="s">
        <v>12</v>
      </c>
      <c r="F1454" s="2">
        <v>396</v>
      </c>
      <c r="G1454" s="2"/>
      <c r="H1454" s="2"/>
    </row>
    <row r="1455" spans="1:8">
      <c r="A1455" t="s">
        <v>478</v>
      </c>
      <c r="B1455" s="1">
        <v>43191</v>
      </c>
      <c r="C1455" s="2">
        <v>2736</v>
      </c>
      <c r="D1455" s="2">
        <v>3168</v>
      </c>
      <c r="E1455" t="s">
        <v>12</v>
      </c>
      <c r="F1455" s="2">
        <v>432</v>
      </c>
      <c r="G1455" s="2"/>
      <c r="H1455" s="2"/>
    </row>
    <row r="1456" spans="1:8">
      <c r="A1456" t="s">
        <v>230</v>
      </c>
      <c r="B1456" s="1">
        <v>43191</v>
      </c>
      <c r="C1456" s="2">
        <v>2448</v>
      </c>
      <c r="D1456" s="2">
        <v>2880</v>
      </c>
      <c r="E1456" t="s">
        <v>12</v>
      </c>
      <c r="F1456" s="2">
        <v>432</v>
      </c>
      <c r="G1456" s="2"/>
      <c r="H1456" s="2"/>
    </row>
    <row r="1457" spans="1:8">
      <c r="A1457" t="s">
        <v>180</v>
      </c>
      <c r="B1457" s="1">
        <v>43191</v>
      </c>
      <c r="C1457" s="2">
        <v>2448</v>
      </c>
      <c r="D1457" s="2">
        <v>2880</v>
      </c>
      <c r="E1457" t="s">
        <v>12</v>
      </c>
      <c r="F1457" s="2">
        <v>432</v>
      </c>
      <c r="G1457" s="2"/>
      <c r="H1457" s="2"/>
    </row>
    <row r="1458" spans="1:8">
      <c r="A1458" t="s">
        <v>403</v>
      </c>
      <c r="B1458" s="1">
        <v>43191</v>
      </c>
      <c r="C1458" s="2">
        <v>2016</v>
      </c>
      <c r="D1458" s="2">
        <v>2448</v>
      </c>
      <c r="E1458" t="s">
        <v>12</v>
      </c>
      <c r="F1458" s="2">
        <v>432</v>
      </c>
      <c r="G1458" s="2"/>
      <c r="H1458" s="2"/>
    </row>
    <row r="1459" spans="1:8">
      <c r="A1459" t="s">
        <v>451</v>
      </c>
      <c r="B1459" s="1">
        <v>43191</v>
      </c>
      <c r="C1459" s="2">
        <v>1440</v>
      </c>
      <c r="D1459" s="2">
        <v>1872</v>
      </c>
      <c r="E1459" t="s">
        <v>12</v>
      </c>
      <c r="F1459" s="2">
        <v>432</v>
      </c>
      <c r="G1459" s="2"/>
      <c r="H1459" s="2"/>
    </row>
    <row r="1460" spans="1:8">
      <c r="A1460" t="s">
        <v>297</v>
      </c>
      <c r="B1460" s="1">
        <v>43191</v>
      </c>
      <c r="C1460" s="2">
        <v>4128</v>
      </c>
      <c r="D1460" s="2">
        <v>4656</v>
      </c>
      <c r="E1460" t="s">
        <v>12</v>
      </c>
      <c r="F1460" s="2">
        <v>528</v>
      </c>
      <c r="G1460" s="2"/>
      <c r="H1460" s="2"/>
    </row>
    <row r="1461" spans="1:8">
      <c r="A1461" t="s">
        <v>292</v>
      </c>
      <c r="B1461" s="1">
        <v>43191</v>
      </c>
      <c r="C1461" s="2">
        <v>2448</v>
      </c>
      <c r="D1461" s="2">
        <v>3024</v>
      </c>
      <c r="E1461" t="s">
        <v>12</v>
      </c>
      <c r="F1461" s="2">
        <v>576</v>
      </c>
      <c r="G1461" s="2"/>
      <c r="H1461" s="2"/>
    </row>
    <row r="1462" spans="1:8">
      <c r="A1462" t="s">
        <v>430</v>
      </c>
      <c r="B1462" s="1">
        <v>43191</v>
      </c>
      <c r="C1462" s="2">
        <v>1440</v>
      </c>
      <c r="D1462" s="2">
        <v>2016</v>
      </c>
      <c r="E1462" t="s">
        <v>12</v>
      </c>
      <c r="F1462" s="2">
        <v>576</v>
      </c>
      <c r="G1462" s="2"/>
      <c r="H1462" s="2"/>
    </row>
    <row r="1463" spans="1:8">
      <c r="A1463" t="s">
        <v>466</v>
      </c>
      <c r="B1463" s="1">
        <v>43191</v>
      </c>
      <c r="C1463" s="2">
        <v>1440</v>
      </c>
      <c r="D1463" s="2">
        <v>2016</v>
      </c>
      <c r="E1463" t="s">
        <v>12</v>
      </c>
      <c r="F1463" s="2">
        <v>576</v>
      </c>
      <c r="G1463" s="2"/>
      <c r="H1463" s="2"/>
    </row>
    <row r="1464" spans="1:8">
      <c r="A1464" t="s">
        <v>298</v>
      </c>
      <c r="B1464" s="1">
        <v>43191</v>
      </c>
      <c r="C1464" s="2">
        <v>5976</v>
      </c>
      <c r="D1464" s="2">
        <v>6636</v>
      </c>
      <c r="E1464" t="s">
        <v>12</v>
      </c>
      <c r="F1464" s="2">
        <v>660</v>
      </c>
      <c r="G1464" s="2"/>
      <c r="H1464" s="2"/>
    </row>
    <row r="1465" spans="1:8">
      <c r="A1465" t="s">
        <v>157</v>
      </c>
      <c r="B1465" s="1">
        <v>43191</v>
      </c>
      <c r="C1465" s="2">
        <v>2160</v>
      </c>
      <c r="D1465" s="2">
        <v>2880</v>
      </c>
      <c r="E1465" t="s">
        <v>12</v>
      </c>
      <c r="F1465" s="2">
        <v>720</v>
      </c>
      <c r="G1465" s="2"/>
      <c r="H1465" s="2"/>
    </row>
    <row r="1466" spans="1:8">
      <c r="A1466" t="s">
        <v>141</v>
      </c>
      <c r="B1466" s="1">
        <v>43191</v>
      </c>
      <c r="C1466" s="2">
        <v>1584</v>
      </c>
      <c r="D1466" s="2">
        <v>2304</v>
      </c>
      <c r="E1466" t="s">
        <v>12</v>
      </c>
      <c r="F1466" s="2">
        <v>720</v>
      </c>
      <c r="G1466" s="2"/>
      <c r="H1466" s="2"/>
    </row>
    <row r="1467" spans="1:8">
      <c r="A1467" t="s">
        <v>364</v>
      </c>
      <c r="B1467" s="1">
        <v>43191</v>
      </c>
      <c r="C1467" s="2">
        <v>1584</v>
      </c>
      <c r="D1467" s="2">
        <v>2304</v>
      </c>
      <c r="E1467" t="s">
        <v>12</v>
      </c>
      <c r="F1467" s="2">
        <v>720</v>
      </c>
      <c r="G1467" s="2"/>
      <c r="H1467" s="2"/>
    </row>
    <row r="1468" spans="1:8">
      <c r="A1468" t="s">
        <v>429</v>
      </c>
      <c r="B1468" s="1">
        <v>43191</v>
      </c>
      <c r="C1468" s="2">
        <v>1440</v>
      </c>
      <c r="D1468" s="2">
        <v>2160</v>
      </c>
      <c r="E1468" t="s">
        <v>12</v>
      </c>
      <c r="F1468" s="2">
        <v>720</v>
      </c>
      <c r="G1468" s="2"/>
      <c r="H1468" s="2"/>
    </row>
    <row r="1469" spans="1:8">
      <c r="A1469" t="s">
        <v>310</v>
      </c>
      <c r="B1469" s="1">
        <v>43191</v>
      </c>
      <c r="C1469" s="2">
        <v>11388</v>
      </c>
      <c r="D1469" s="2">
        <v>12180</v>
      </c>
      <c r="E1469" t="s">
        <v>12</v>
      </c>
      <c r="F1469" s="2">
        <v>792</v>
      </c>
      <c r="G1469" s="2"/>
      <c r="H1469" s="2"/>
    </row>
    <row r="1470" spans="1:8">
      <c r="A1470" t="s">
        <v>360</v>
      </c>
      <c r="B1470" s="1">
        <v>43191</v>
      </c>
      <c r="C1470" s="2">
        <v>4920</v>
      </c>
      <c r="D1470" s="2">
        <v>5712</v>
      </c>
      <c r="E1470" t="s">
        <v>12</v>
      </c>
      <c r="F1470" s="2">
        <v>792</v>
      </c>
      <c r="G1470" s="2"/>
      <c r="H1470" s="2"/>
    </row>
    <row r="1471" spans="1:8">
      <c r="A1471" t="s">
        <v>303</v>
      </c>
      <c r="B1471" s="1">
        <v>43191</v>
      </c>
      <c r="C1471" s="2">
        <v>4392</v>
      </c>
      <c r="D1471" s="2">
        <v>5184</v>
      </c>
      <c r="E1471" t="s">
        <v>12</v>
      </c>
      <c r="F1471" s="2">
        <v>792</v>
      </c>
      <c r="G1471" s="2"/>
      <c r="H1471" s="2"/>
    </row>
    <row r="1472" spans="1:8">
      <c r="A1472" t="s">
        <v>268</v>
      </c>
      <c r="B1472" s="1">
        <v>43191</v>
      </c>
      <c r="C1472" s="2">
        <v>1440</v>
      </c>
      <c r="D1472" s="2">
        <v>2304</v>
      </c>
      <c r="E1472" t="s">
        <v>12</v>
      </c>
      <c r="F1472" s="2">
        <v>864</v>
      </c>
      <c r="G1472" s="2"/>
      <c r="H1472" s="2"/>
    </row>
    <row r="1473" spans="1:8">
      <c r="A1473" t="s">
        <v>143</v>
      </c>
      <c r="B1473" s="1">
        <v>43191</v>
      </c>
      <c r="C1473" s="2">
        <v>3168</v>
      </c>
      <c r="D1473" s="2">
        <v>4128</v>
      </c>
      <c r="E1473" t="s">
        <v>12</v>
      </c>
      <c r="F1473" s="2">
        <v>960</v>
      </c>
      <c r="G1473" s="2"/>
      <c r="H1473" s="2"/>
    </row>
    <row r="1474" spans="1:8">
      <c r="A1474" t="s">
        <v>295</v>
      </c>
      <c r="B1474" s="1">
        <v>43191</v>
      </c>
      <c r="C1474" s="2">
        <v>3168</v>
      </c>
      <c r="D1474" s="2">
        <v>4128</v>
      </c>
      <c r="E1474" t="s">
        <v>12</v>
      </c>
      <c r="F1474" s="2">
        <v>960</v>
      </c>
      <c r="G1474" s="2"/>
      <c r="H1474" s="2"/>
    </row>
    <row r="1475" spans="1:8">
      <c r="A1475" t="s">
        <v>208</v>
      </c>
      <c r="B1475" s="1">
        <v>43191</v>
      </c>
      <c r="C1475" s="2">
        <v>9144</v>
      </c>
      <c r="D1475" s="2">
        <v>10200</v>
      </c>
      <c r="E1475" t="s">
        <v>12</v>
      </c>
      <c r="F1475" s="2">
        <v>1056</v>
      </c>
      <c r="G1475" s="2"/>
      <c r="H1475" s="2"/>
    </row>
    <row r="1476" spans="1:8">
      <c r="A1476" t="s">
        <v>204</v>
      </c>
      <c r="B1476" s="1">
        <v>43191</v>
      </c>
      <c r="C1476" s="2">
        <v>3600</v>
      </c>
      <c r="D1476" s="2">
        <v>4656</v>
      </c>
      <c r="E1476" t="s">
        <v>12</v>
      </c>
      <c r="F1476" s="2">
        <v>1056</v>
      </c>
      <c r="G1476" s="2"/>
      <c r="H1476" s="2"/>
    </row>
    <row r="1477" spans="1:8">
      <c r="A1477" t="s">
        <v>450</v>
      </c>
      <c r="B1477" s="1">
        <v>43191</v>
      </c>
      <c r="C1477" s="2">
        <v>1440</v>
      </c>
      <c r="D1477" s="2">
        <v>2592</v>
      </c>
      <c r="E1477" t="s">
        <v>12</v>
      </c>
      <c r="F1477" s="2">
        <v>1152</v>
      </c>
      <c r="G1477" s="2"/>
      <c r="H1477" s="2"/>
    </row>
    <row r="1478" spans="1:8">
      <c r="A1478" t="s">
        <v>484</v>
      </c>
      <c r="B1478" s="1">
        <v>43191</v>
      </c>
      <c r="C1478" s="2">
        <v>6900</v>
      </c>
      <c r="D1478" s="2">
        <v>8088</v>
      </c>
      <c r="E1478" t="s">
        <v>12</v>
      </c>
      <c r="F1478" s="2">
        <v>1188</v>
      </c>
      <c r="G1478" s="2"/>
      <c r="H1478" s="2"/>
    </row>
    <row r="1479" spans="1:8">
      <c r="A1479" t="s">
        <v>483</v>
      </c>
      <c r="B1479" s="1">
        <v>43191</v>
      </c>
      <c r="C1479" s="2">
        <v>6504</v>
      </c>
      <c r="D1479" s="2">
        <v>7692</v>
      </c>
      <c r="E1479" t="s">
        <v>12</v>
      </c>
      <c r="F1479" s="2">
        <v>1188</v>
      </c>
      <c r="G1479" s="2"/>
      <c r="H1479" s="2"/>
    </row>
    <row r="1480" spans="1:8">
      <c r="A1480" t="s">
        <v>361</v>
      </c>
      <c r="B1480" s="1">
        <v>43191</v>
      </c>
      <c r="C1480" s="2">
        <v>2880</v>
      </c>
      <c r="D1480" s="2">
        <v>4128</v>
      </c>
      <c r="E1480" t="s">
        <v>12</v>
      </c>
      <c r="F1480" s="2">
        <v>1248</v>
      </c>
      <c r="G1480" s="2"/>
      <c r="H1480" s="2"/>
    </row>
    <row r="1481" spans="1:8">
      <c r="A1481" t="s">
        <v>490</v>
      </c>
      <c r="B1481" s="1">
        <v>43191</v>
      </c>
      <c r="C1481" s="2">
        <v>0</v>
      </c>
      <c r="D1481" s="2">
        <v>1440</v>
      </c>
      <c r="E1481" t="s">
        <v>16</v>
      </c>
      <c r="F1481" s="2">
        <v>1440</v>
      </c>
      <c r="G1481" s="2"/>
      <c r="H1481" s="2"/>
    </row>
    <row r="1482" spans="1:8">
      <c r="A1482" t="s">
        <v>309</v>
      </c>
      <c r="B1482" s="1">
        <v>43191</v>
      </c>
      <c r="C1482" s="2">
        <v>3456</v>
      </c>
      <c r="D1482" s="2">
        <v>4920</v>
      </c>
      <c r="E1482" t="s">
        <v>12</v>
      </c>
      <c r="F1482" s="2">
        <v>1464</v>
      </c>
      <c r="G1482" s="2"/>
      <c r="H1482" s="2"/>
    </row>
    <row r="1483" spans="1:8">
      <c r="A1483" t="s">
        <v>416</v>
      </c>
      <c r="B1483" s="1">
        <v>43191</v>
      </c>
      <c r="C1483" s="2">
        <v>2880</v>
      </c>
      <c r="D1483" s="2">
        <v>4524</v>
      </c>
      <c r="E1483" t="s">
        <v>12</v>
      </c>
      <c r="F1483" s="2">
        <v>1644</v>
      </c>
      <c r="G1483" s="2"/>
      <c r="H1483" s="2"/>
    </row>
    <row r="1484" spans="1:8">
      <c r="A1484" t="s">
        <v>384</v>
      </c>
      <c r="B1484" s="1">
        <v>43191</v>
      </c>
      <c r="C1484" s="2">
        <v>1440</v>
      </c>
      <c r="D1484" s="2">
        <v>3168</v>
      </c>
      <c r="E1484" t="s">
        <v>12</v>
      </c>
      <c r="F1484" s="2">
        <v>1728</v>
      </c>
      <c r="G1484" s="2"/>
      <c r="H1484" s="2"/>
    </row>
    <row r="1485" spans="1:8">
      <c r="A1485" t="s">
        <v>169</v>
      </c>
      <c r="B1485" s="1">
        <v>43191</v>
      </c>
      <c r="C1485" s="2">
        <v>16380</v>
      </c>
      <c r="D1485" s="2">
        <v>18300</v>
      </c>
      <c r="E1485" t="s">
        <v>12</v>
      </c>
      <c r="F1485" s="2">
        <v>1920</v>
      </c>
      <c r="G1485" s="2"/>
      <c r="H1485" s="2"/>
    </row>
    <row r="1486" spans="1:8">
      <c r="A1486" t="s">
        <v>135</v>
      </c>
      <c r="B1486" s="1">
        <v>43191</v>
      </c>
      <c r="C1486" s="2">
        <v>1728</v>
      </c>
      <c r="D1486" s="2">
        <v>3864</v>
      </c>
      <c r="E1486" t="s">
        <v>12</v>
      </c>
      <c r="F1486" s="2">
        <v>2136</v>
      </c>
      <c r="G1486" s="2"/>
      <c r="H1486" s="2"/>
    </row>
    <row r="1487" spans="1:8">
      <c r="A1487" t="s">
        <v>488</v>
      </c>
      <c r="B1487" s="1">
        <v>43191</v>
      </c>
      <c r="C1487" s="2">
        <v>15420</v>
      </c>
      <c r="D1487" s="2">
        <v>17580</v>
      </c>
      <c r="E1487" t="s">
        <v>12</v>
      </c>
      <c r="F1487" s="2">
        <v>2160</v>
      </c>
      <c r="G1487" s="2"/>
      <c r="H1487" s="2"/>
    </row>
    <row r="1488" spans="1:8">
      <c r="A1488" t="s">
        <v>181</v>
      </c>
      <c r="B1488" s="1">
        <v>43191</v>
      </c>
      <c r="C1488" s="2">
        <v>3168</v>
      </c>
      <c r="D1488" s="2">
        <v>5712</v>
      </c>
      <c r="E1488" t="s">
        <v>12</v>
      </c>
      <c r="F1488" s="2">
        <v>2544</v>
      </c>
      <c r="G1488" s="2"/>
      <c r="H1488" s="2"/>
    </row>
    <row r="1489" spans="1:8">
      <c r="A1489" t="s">
        <v>435</v>
      </c>
      <c r="B1489" s="1">
        <v>43191</v>
      </c>
      <c r="C1489" s="2">
        <v>1440</v>
      </c>
      <c r="D1489" s="2">
        <v>4128</v>
      </c>
      <c r="E1489" t="s">
        <v>12</v>
      </c>
      <c r="F1489" s="2">
        <v>2688</v>
      </c>
      <c r="G1489" s="2"/>
      <c r="H1489" s="2"/>
    </row>
    <row r="1490" spans="1:8">
      <c r="A1490" t="s">
        <v>491</v>
      </c>
      <c r="B1490" s="1">
        <v>43191</v>
      </c>
      <c r="C1490" s="2">
        <v>0</v>
      </c>
      <c r="D1490" s="2">
        <v>1200</v>
      </c>
      <c r="E1490" t="s">
        <v>25</v>
      </c>
      <c r="F1490" s="2">
        <v>1200</v>
      </c>
      <c r="G1490" s="2"/>
      <c r="H1490" s="2"/>
    </row>
    <row r="1491" spans="1:8">
      <c r="A1491" t="s">
        <v>492</v>
      </c>
      <c r="B1491" s="1">
        <v>43191</v>
      </c>
      <c r="C1491" s="2">
        <v>0</v>
      </c>
      <c r="D1491" s="2">
        <v>1200</v>
      </c>
      <c r="E1491" t="s">
        <v>25</v>
      </c>
      <c r="F1491" s="2">
        <v>1200</v>
      </c>
      <c r="G1491" s="2"/>
      <c r="H1491" s="2"/>
    </row>
    <row r="1492" spans="1:8">
      <c r="A1492" t="s">
        <v>493</v>
      </c>
      <c r="B1492" s="1">
        <v>43191</v>
      </c>
      <c r="C1492" s="2">
        <v>0</v>
      </c>
      <c r="D1492" s="2">
        <v>1200</v>
      </c>
      <c r="E1492" t="s">
        <v>25</v>
      </c>
      <c r="F1492" s="2">
        <v>1200</v>
      </c>
      <c r="G1492" s="2"/>
      <c r="H1492" s="2"/>
    </row>
    <row r="1493" spans="1:8">
      <c r="A1493" t="s">
        <v>494</v>
      </c>
      <c r="B1493" s="1">
        <v>43191</v>
      </c>
      <c r="C1493" s="2">
        <v>0</v>
      </c>
      <c r="D1493" s="2">
        <v>1440</v>
      </c>
      <c r="E1493" t="s">
        <v>25</v>
      </c>
      <c r="F1493" s="2">
        <v>1440</v>
      </c>
      <c r="G1493" s="2"/>
      <c r="H1493" s="2"/>
    </row>
    <row r="1494" spans="1:8">
      <c r="A1494" t="s">
        <v>351</v>
      </c>
      <c r="B1494" s="1">
        <v>43191</v>
      </c>
      <c r="C1494" s="2">
        <v>1440</v>
      </c>
      <c r="D1494" s="2">
        <v>4524</v>
      </c>
      <c r="E1494" t="s">
        <v>12</v>
      </c>
      <c r="F1494" s="2">
        <v>3084</v>
      </c>
      <c r="G1494" s="2"/>
      <c r="H1494" s="2"/>
    </row>
    <row r="1495" spans="1:8">
      <c r="A1495" t="s">
        <v>495</v>
      </c>
      <c r="B1495" s="1">
        <v>43191</v>
      </c>
      <c r="C1495" s="2">
        <v>0</v>
      </c>
      <c r="D1495" s="2">
        <v>1440</v>
      </c>
      <c r="E1495" t="s">
        <v>25</v>
      </c>
      <c r="F1495" s="2">
        <v>1440</v>
      </c>
      <c r="G1495" s="2"/>
      <c r="H1495" s="2"/>
    </row>
    <row r="1496" spans="1:8">
      <c r="A1496" t="s">
        <v>496</v>
      </c>
      <c r="B1496" s="1">
        <v>43191</v>
      </c>
      <c r="C1496" s="2">
        <v>0</v>
      </c>
      <c r="D1496" s="2">
        <v>1440</v>
      </c>
      <c r="E1496" t="s">
        <v>25</v>
      </c>
      <c r="F1496" s="2">
        <v>1440</v>
      </c>
      <c r="G1496" s="2"/>
      <c r="H1496" s="2"/>
    </row>
    <row r="1497" spans="1:8">
      <c r="A1497" t="s">
        <v>497</v>
      </c>
      <c r="B1497" s="1">
        <v>43191</v>
      </c>
      <c r="C1497" s="2">
        <v>0</v>
      </c>
      <c r="D1497" s="2">
        <v>1440</v>
      </c>
      <c r="E1497" t="s">
        <v>25</v>
      </c>
      <c r="F1497" s="2">
        <v>1440</v>
      </c>
      <c r="G1497" s="2"/>
      <c r="H1497" s="2"/>
    </row>
    <row r="1498" spans="1:8">
      <c r="A1498" t="s">
        <v>498</v>
      </c>
      <c r="B1498" s="1">
        <v>43191</v>
      </c>
      <c r="C1498" s="2">
        <v>0</v>
      </c>
      <c r="D1498" s="2">
        <v>1440</v>
      </c>
      <c r="E1498" t="s">
        <v>25</v>
      </c>
      <c r="F1498" s="2">
        <v>1440</v>
      </c>
      <c r="G1498" s="2"/>
      <c r="H1498" s="2"/>
    </row>
    <row r="1499" spans="1:8">
      <c r="A1499" t="s">
        <v>482</v>
      </c>
      <c r="B1499" s="1">
        <v>43191</v>
      </c>
      <c r="C1499" s="2">
        <v>4920</v>
      </c>
      <c r="D1499" s="2">
        <v>8616</v>
      </c>
      <c r="E1499" t="s">
        <v>12</v>
      </c>
      <c r="F1499" s="2">
        <v>3696</v>
      </c>
      <c r="G1499" s="2"/>
      <c r="H1499" s="2"/>
    </row>
    <row r="1500" spans="1:8">
      <c r="A1500" t="s">
        <v>227</v>
      </c>
      <c r="B1500" s="1">
        <v>43191</v>
      </c>
      <c r="C1500" s="2">
        <v>29100</v>
      </c>
      <c r="D1500" s="2">
        <v>32820</v>
      </c>
      <c r="E1500" t="s">
        <v>12</v>
      </c>
      <c r="F1500" s="2">
        <v>3720</v>
      </c>
      <c r="G1500" s="2"/>
      <c r="H1500" s="2"/>
    </row>
    <row r="1501" spans="1:8">
      <c r="A1501" t="s">
        <v>499</v>
      </c>
      <c r="B1501" s="1">
        <v>43191</v>
      </c>
      <c r="C1501" s="2">
        <v>0</v>
      </c>
      <c r="D1501" s="2">
        <v>1440</v>
      </c>
      <c r="E1501" t="s">
        <v>25</v>
      </c>
      <c r="F1501" s="2">
        <v>1440</v>
      </c>
      <c r="G1501" s="2"/>
      <c r="H1501" s="2"/>
    </row>
    <row r="1502" spans="1:8">
      <c r="A1502" t="s">
        <v>500</v>
      </c>
      <c r="B1502" s="1">
        <v>43191</v>
      </c>
      <c r="C1502" s="2">
        <v>0</v>
      </c>
      <c r="D1502" s="2">
        <v>1440</v>
      </c>
      <c r="E1502" t="s">
        <v>25</v>
      </c>
      <c r="F1502" s="2">
        <v>1440</v>
      </c>
      <c r="G1502" s="2"/>
      <c r="H1502" s="2"/>
    </row>
    <row r="1503" spans="1:8">
      <c r="A1503" t="s">
        <v>501</v>
      </c>
      <c r="B1503" s="1">
        <v>43191</v>
      </c>
      <c r="C1503" s="2">
        <v>0</v>
      </c>
      <c r="D1503" s="2">
        <v>1440</v>
      </c>
      <c r="E1503" t="s">
        <v>25</v>
      </c>
      <c r="F1503" s="2">
        <v>1440</v>
      </c>
      <c r="G1503" s="2"/>
      <c r="H1503" s="2"/>
    </row>
    <row r="1504" spans="1:8">
      <c r="A1504" t="s">
        <v>502</v>
      </c>
      <c r="B1504" s="1">
        <v>43191</v>
      </c>
      <c r="C1504" s="2">
        <v>0</v>
      </c>
      <c r="D1504" s="2">
        <v>1440</v>
      </c>
      <c r="E1504" t="s">
        <v>25</v>
      </c>
      <c r="F1504" s="2">
        <v>1440</v>
      </c>
      <c r="G1504" s="2"/>
      <c r="H1504" s="2"/>
    </row>
    <row r="1505" spans="1:8">
      <c r="A1505" t="s">
        <v>138</v>
      </c>
      <c r="B1505" s="1">
        <v>43191</v>
      </c>
      <c r="C1505" s="2">
        <v>5448</v>
      </c>
      <c r="D1505" s="2">
        <v>9672</v>
      </c>
      <c r="E1505" t="s">
        <v>12</v>
      </c>
      <c r="F1505" s="2">
        <v>4224</v>
      </c>
      <c r="G1505" s="2"/>
      <c r="H1505" s="2"/>
    </row>
    <row r="1506" spans="1:8">
      <c r="A1506" t="s">
        <v>503</v>
      </c>
      <c r="B1506" s="1">
        <v>43191</v>
      </c>
      <c r="C1506" s="2">
        <v>0</v>
      </c>
      <c r="D1506" s="2">
        <v>1440</v>
      </c>
      <c r="E1506" t="s">
        <v>25</v>
      </c>
      <c r="F1506" s="2">
        <v>1440</v>
      </c>
      <c r="G1506" s="2"/>
      <c r="H1506" s="2"/>
    </row>
    <row r="1507" spans="1:8">
      <c r="A1507" t="s">
        <v>504</v>
      </c>
      <c r="B1507" s="1">
        <v>43191</v>
      </c>
      <c r="C1507" s="2">
        <v>0</v>
      </c>
      <c r="D1507" s="2">
        <v>1440</v>
      </c>
      <c r="E1507" t="s">
        <v>25</v>
      </c>
      <c r="F1507" s="2">
        <v>1440</v>
      </c>
      <c r="G1507" s="2"/>
      <c r="H1507" s="2"/>
    </row>
    <row r="1508" spans="1:8">
      <c r="A1508" t="s">
        <v>505</v>
      </c>
      <c r="B1508" s="1">
        <v>43191</v>
      </c>
      <c r="C1508" s="2">
        <v>0</v>
      </c>
      <c r="D1508" s="2">
        <v>1440</v>
      </c>
      <c r="E1508" t="s">
        <v>25</v>
      </c>
      <c r="F1508" s="2">
        <v>1440</v>
      </c>
      <c r="G1508" s="2"/>
      <c r="H1508" s="2"/>
    </row>
    <row r="1509" spans="1:8">
      <c r="A1509" t="s">
        <v>200</v>
      </c>
      <c r="B1509" s="1">
        <v>43191</v>
      </c>
      <c r="C1509" s="2">
        <v>5052</v>
      </c>
      <c r="D1509" s="2">
        <v>9672</v>
      </c>
      <c r="E1509" t="s">
        <v>12</v>
      </c>
      <c r="F1509" s="2">
        <v>4620</v>
      </c>
      <c r="G1509" s="2"/>
      <c r="H1509" s="2"/>
    </row>
    <row r="1510" spans="1:8">
      <c r="A1510" t="s">
        <v>506</v>
      </c>
      <c r="B1510" s="1">
        <v>43191</v>
      </c>
      <c r="C1510" s="2">
        <v>0</v>
      </c>
      <c r="D1510" s="2">
        <v>1440</v>
      </c>
      <c r="E1510" t="s">
        <v>25</v>
      </c>
      <c r="F1510" s="2">
        <v>1440</v>
      </c>
      <c r="G1510" s="2"/>
      <c r="H1510" s="2"/>
    </row>
    <row r="1511" spans="1:8">
      <c r="A1511" t="s">
        <v>507</v>
      </c>
      <c r="B1511" s="1">
        <v>43191</v>
      </c>
      <c r="C1511" s="2">
        <v>0</v>
      </c>
      <c r="D1511" s="2">
        <v>1440</v>
      </c>
      <c r="E1511" t="s">
        <v>25</v>
      </c>
      <c r="F1511" s="2">
        <v>1440</v>
      </c>
      <c r="G1511" s="2"/>
      <c r="H1511" s="2"/>
    </row>
    <row r="1512" spans="1:8">
      <c r="A1512" t="s">
        <v>508</v>
      </c>
      <c r="B1512" s="1">
        <v>43191</v>
      </c>
      <c r="C1512" s="2">
        <v>0</v>
      </c>
      <c r="D1512" s="2">
        <v>1440</v>
      </c>
      <c r="E1512" t="s">
        <v>25</v>
      </c>
      <c r="F1512" s="2">
        <v>1440</v>
      </c>
      <c r="G1512" s="2"/>
      <c r="H1512" s="2"/>
    </row>
    <row r="1513" spans="1:8">
      <c r="A1513" t="s">
        <v>509</v>
      </c>
      <c r="B1513" s="1">
        <v>43191</v>
      </c>
      <c r="C1513" s="2">
        <v>0</v>
      </c>
      <c r="D1513" s="2">
        <v>1440</v>
      </c>
      <c r="E1513" t="s">
        <v>25</v>
      </c>
      <c r="F1513" s="2">
        <v>1440</v>
      </c>
      <c r="G1513" s="2"/>
      <c r="H1513" s="2"/>
    </row>
    <row r="1514" spans="1:8">
      <c r="A1514" t="s">
        <v>510</v>
      </c>
      <c r="B1514" s="1">
        <v>43191</v>
      </c>
      <c r="C1514" s="2">
        <v>0</v>
      </c>
      <c r="D1514" s="2">
        <v>1440</v>
      </c>
      <c r="E1514" t="s">
        <v>25</v>
      </c>
      <c r="F1514" s="2">
        <v>1440</v>
      </c>
      <c r="G1514" s="2"/>
      <c r="H1514" s="2"/>
    </row>
    <row r="1515" spans="1:8">
      <c r="A1515" t="s">
        <v>349</v>
      </c>
      <c r="B1515" s="1">
        <v>43191</v>
      </c>
      <c r="C1515" s="2">
        <v>5844</v>
      </c>
      <c r="D1515" s="2">
        <v>10728</v>
      </c>
      <c r="E1515" t="s">
        <v>12</v>
      </c>
      <c r="F1515" s="2">
        <v>4884</v>
      </c>
      <c r="G1515" s="2"/>
      <c r="H1515" s="2"/>
    </row>
    <row r="1516" spans="1:8">
      <c r="A1516" t="s">
        <v>305</v>
      </c>
      <c r="B1516" s="1">
        <v>43191</v>
      </c>
      <c r="C1516" s="2">
        <v>5052</v>
      </c>
      <c r="D1516" s="2">
        <v>9936</v>
      </c>
      <c r="E1516" t="s">
        <v>12</v>
      </c>
      <c r="F1516" s="2">
        <v>4884</v>
      </c>
      <c r="G1516" s="2"/>
      <c r="H1516" s="2"/>
    </row>
    <row r="1517" spans="1:8">
      <c r="A1517" t="s">
        <v>511</v>
      </c>
      <c r="B1517" s="1">
        <v>43191</v>
      </c>
      <c r="C1517" s="2">
        <v>0</v>
      </c>
      <c r="D1517" s="2">
        <v>1440</v>
      </c>
      <c r="E1517" t="s">
        <v>25</v>
      </c>
      <c r="F1517" s="2">
        <v>1440</v>
      </c>
      <c r="G1517" s="2"/>
      <c r="H1517" s="2"/>
    </row>
    <row r="1518" spans="1:8">
      <c r="A1518" t="s">
        <v>512</v>
      </c>
      <c r="B1518" s="1">
        <v>43191</v>
      </c>
      <c r="C1518" s="2">
        <v>0</v>
      </c>
      <c r="D1518" s="2">
        <v>1440</v>
      </c>
      <c r="E1518" t="s">
        <v>25</v>
      </c>
      <c r="F1518" s="2">
        <v>1440</v>
      </c>
      <c r="G1518" s="2"/>
      <c r="H1518" s="2"/>
    </row>
    <row r="1519" spans="1:8">
      <c r="A1519" t="s">
        <v>513</v>
      </c>
      <c r="B1519" s="1">
        <v>43191</v>
      </c>
      <c r="C1519" s="2">
        <v>0</v>
      </c>
      <c r="D1519" s="2">
        <v>1440</v>
      </c>
      <c r="E1519" t="s">
        <v>25</v>
      </c>
      <c r="F1519" s="2">
        <v>1440</v>
      </c>
      <c r="G1519" s="2"/>
      <c r="H1519" s="2"/>
    </row>
    <row r="1520" spans="1:8">
      <c r="A1520" t="s">
        <v>514</v>
      </c>
      <c r="B1520" s="1">
        <v>43191</v>
      </c>
      <c r="C1520" s="2">
        <v>0</v>
      </c>
      <c r="D1520" s="2">
        <v>1440</v>
      </c>
      <c r="E1520" t="s">
        <v>25</v>
      </c>
      <c r="F1520" s="2">
        <v>1440</v>
      </c>
      <c r="G1520" s="2"/>
      <c r="H1520" s="2"/>
    </row>
    <row r="1521" spans="1:8">
      <c r="A1521" t="s">
        <v>515</v>
      </c>
      <c r="B1521" s="1">
        <v>43191</v>
      </c>
      <c r="C1521" s="2">
        <v>0</v>
      </c>
      <c r="D1521" s="2">
        <v>1440</v>
      </c>
      <c r="E1521" t="s">
        <v>25</v>
      </c>
      <c r="F1521" s="2">
        <v>1440</v>
      </c>
      <c r="G1521" s="2"/>
      <c r="H1521" s="2"/>
    </row>
    <row r="1522" spans="1:8">
      <c r="A1522" t="s">
        <v>516</v>
      </c>
      <c r="B1522" s="1">
        <v>43191</v>
      </c>
      <c r="C1522" s="2">
        <v>0</v>
      </c>
      <c r="D1522" s="2">
        <v>1440</v>
      </c>
      <c r="E1522" t="s">
        <v>25</v>
      </c>
      <c r="F1522" s="2">
        <v>1440</v>
      </c>
      <c r="G1522" s="2"/>
      <c r="H1522" s="2"/>
    </row>
    <row r="1523" spans="1:8">
      <c r="A1523" t="s">
        <v>517</v>
      </c>
      <c r="B1523" s="1">
        <v>43191</v>
      </c>
      <c r="C1523" s="2">
        <v>0</v>
      </c>
      <c r="D1523" s="2">
        <v>1440</v>
      </c>
      <c r="E1523" t="s">
        <v>25</v>
      </c>
      <c r="F1523" s="2">
        <v>1440</v>
      </c>
      <c r="G1523" s="2"/>
      <c r="H1523" s="2"/>
    </row>
    <row r="1524" spans="1:8">
      <c r="A1524" t="s">
        <v>518</v>
      </c>
      <c r="B1524" s="1">
        <v>43191</v>
      </c>
      <c r="C1524" s="2">
        <v>0</v>
      </c>
      <c r="D1524" s="2">
        <v>1440</v>
      </c>
      <c r="E1524" t="s">
        <v>25</v>
      </c>
      <c r="F1524" s="2">
        <v>1440</v>
      </c>
      <c r="G1524" s="2"/>
      <c r="H1524" s="2"/>
    </row>
    <row r="1525" spans="1:8">
      <c r="A1525" t="s">
        <v>519</v>
      </c>
      <c r="B1525" s="1">
        <v>43191</v>
      </c>
      <c r="C1525" s="2">
        <v>0</v>
      </c>
      <c r="D1525" s="2">
        <v>1440</v>
      </c>
      <c r="E1525" t="s">
        <v>25</v>
      </c>
      <c r="F1525" s="2">
        <v>1440</v>
      </c>
      <c r="G1525" s="2"/>
      <c r="H1525" s="2"/>
    </row>
    <row r="1526" spans="1:8">
      <c r="A1526" t="s">
        <v>463</v>
      </c>
      <c r="B1526" s="1">
        <v>43191</v>
      </c>
      <c r="C1526" s="2">
        <v>1440</v>
      </c>
      <c r="D1526" s="2">
        <v>7692</v>
      </c>
      <c r="E1526" t="s">
        <v>12</v>
      </c>
      <c r="F1526" s="2">
        <v>6252</v>
      </c>
      <c r="G1526" s="2"/>
      <c r="H1526" s="2"/>
    </row>
    <row r="1527" spans="1:8">
      <c r="A1527" t="s">
        <v>520</v>
      </c>
      <c r="B1527" s="1">
        <v>43191</v>
      </c>
      <c r="C1527" s="2">
        <v>0</v>
      </c>
      <c r="D1527" s="2">
        <v>1440</v>
      </c>
      <c r="E1527" t="s">
        <v>25</v>
      </c>
      <c r="F1527" s="2">
        <v>1440</v>
      </c>
      <c r="G1527" s="2"/>
      <c r="H1527" s="2"/>
    </row>
    <row r="1528" spans="1:8">
      <c r="A1528" t="s">
        <v>521</v>
      </c>
      <c r="B1528" s="1">
        <v>43191</v>
      </c>
      <c r="C1528" s="2">
        <v>0</v>
      </c>
      <c r="D1528" s="2">
        <v>1440</v>
      </c>
      <c r="E1528" t="s">
        <v>25</v>
      </c>
      <c r="F1528" s="2">
        <v>1440</v>
      </c>
      <c r="G1528" s="2"/>
      <c r="H1528" s="2"/>
    </row>
    <row r="1529" spans="1:8">
      <c r="A1529" t="s">
        <v>458</v>
      </c>
      <c r="B1529" s="1">
        <v>43191</v>
      </c>
      <c r="C1529" s="2">
        <v>1440</v>
      </c>
      <c r="D1529" s="2">
        <v>7824</v>
      </c>
      <c r="E1529" t="s">
        <v>12</v>
      </c>
      <c r="F1529" s="2">
        <v>6384</v>
      </c>
      <c r="G1529" s="2"/>
      <c r="H1529" s="2"/>
    </row>
    <row r="1530" spans="1:8">
      <c r="A1530" t="s">
        <v>522</v>
      </c>
      <c r="B1530" s="1">
        <v>43191</v>
      </c>
      <c r="C1530" s="2">
        <v>0</v>
      </c>
      <c r="D1530" s="2">
        <v>1440</v>
      </c>
      <c r="E1530" t="s">
        <v>25</v>
      </c>
      <c r="F1530" s="2">
        <v>1440</v>
      </c>
      <c r="G1530" s="2"/>
      <c r="H1530" s="2"/>
    </row>
    <row r="1531" spans="1:8">
      <c r="A1531" t="s">
        <v>523</v>
      </c>
      <c r="B1531" s="1">
        <v>43191</v>
      </c>
      <c r="C1531" s="2">
        <v>0</v>
      </c>
      <c r="D1531" s="2">
        <v>1440</v>
      </c>
      <c r="E1531" t="s">
        <v>25</v>
      </c>
      <c r="F1531" s="2">
        <v>1440</v>
      </c>
      <c r="G1531" s="2"/>
      <c r="H1531" s="2"/>
    </row>
    <row r="1532" spans="1:8">
      <c r="A1532" t="s">
        <v>524</v>
      </c>
      <c r="B1532" s="1">
        <v>43191</v>
      </c>
      <c r="C1532" s="2">
        <v>0</v>
      </c>
      <c r="D1532" s="2">
        <v>1440</v>
      </c>
      <c r="E1532" t="s">
        <v>25</v>
      </c>
      <c r="F1532" s="2">
        <v>1440</v>
      </c>
      <c r="G1532" s="2"/>
      <c r="H1532" s="2"/>
    </row>
    <row r="1533" spans="1:8">
      <c r="A1533" t="s">
        <v>525</v>
      </c>
      <c r="B1533" s="1">
        <v>43191</v>
      </c>
      <c r="C1533" s="2">
        <v>0</v>
      </c>
      <c r="D1533" s="2">
        <v>1440</v>
      </c>
      <c r="E1533" t="s">
        <v>25</v>
      </c>
      <c r="F1533" s="2">
        <v>1440</v>
      </c>
      <c r="G1533" s="2"/>
      <c r="H1533" s="2"/>
    </row>
    <row r="1534" spans="1:8">
      <c r="A1534" t="s">
        <v>526</v>
      </c>
      <c r="B1534" s="1">
        <v>43191</v>
      </c>
      <c r="C1534" s="2">
        <v>0</v>
      </c>
      <c r="D1534" s="2">
        <v>1440</v>
      </c>
      <c r="E1534" t="s">
        <v>25</v>
      </c>
      <c r="F1534" s="2">
        <v>1440</v>
      </c>
      <c r="G1534" s="2"/>
      <c r="H1534" s="2"/>
    </row>
    <row r="1535" spans="1:8">
      <c r="A1535" t="s">
        <v>359</v>
      </c>
      <c r="B1535" s="1">
        <v>43191</v>
      </c>
      <c r="C1535" s="2">
        <v>6504</v>
      </c>
      <c r="D1535" s="2">
        <v>13980</v>
      </c>
      <c r="E1535" t="s">
        <v>12</v>
      </c>
      <c r="F1535" s="2">
        <v>7476</v>
      </c>
      <c r="G1535" s="2"/>
      <c r="H1535" s="2"/>
    </row>
    <row r="1536" spans="1:8">
      <c r="A1536" t="s">
        <v>527</v>
      </c>
      <c r="B1536" s="1">
        <v>43191</v>
      </c>
      <c r="C1536" s="2">
        <v>0</v>
      </c>
      <c r="D1536" s="2">
        <v>1440</v>
      </c>
      <c r="E1536" t="s">
        <v>25</v>
      </c>
      <c r="F1536" s="2">
        <v>1440</v>
      </c>
      <c r="G1536" s="2"/>
      <c r="H1536" s="2"/>
    </row>
    <row r="1537" spans="1:8">
      <c r="A1537" t="s">
        <v>528</v>
      </c>
      <c r="B1537" s="1">
        <v>43191</v>
      </c>
      <c r="C1537" s="2">
        <v>0</v>
      </c>
      <c r="D1537" s="2">
        <v>1440</v>
      </c>
      <c r="E1537" t="s">
        <v>25</v>
      </c>
      <c r="F1537" s="2">
        <v>1440</v>
      </c>
      <c r="G1537" s="2"/>
      <c r="H1537" s="2"/>
    </row>
    <row r="1538" spans="1:8">
      <c r="A1538" t="s">
        <v>529</v>
      </c>
      <c r="B1538" s="1">
        <v>43191</v>
      </c>
      <c r="C1538" s="2">
        <v>0</v>
      </c>
      <c r="D1538" s="2">
        <v>1440</v>
      </c>
      <c r="E1538" t="s">
        <v>25</v>
      </c>
      <c r="F1538" s="2">
        <v>1440</v>
      </c>
      <c r="G1538" s="2"/>
      <c r="H1538" s="2"/>
    </row>
    <row r="1539" spans="1:8">
      <c r="A1539" t="s">
        <v>530</v>
      </c>
      <c r="B1539" s="1">
        <v>43191</v>
      </c>
      <c r="C1539" s="2">
        <v>0</v>
      </c>
      <c r="D1539" s="2">
        <v>1440</v>
      </c>
      <c r="E1539" t="s">
        <v>25</v>
      </c>
      <c r="F1539" s="2">
        <v>1440</v>
      </c>
      <c r="G1539" s="2"/>
      <c r="H1539" s="2"/>
    </row>
    <row r="1540" spans="1:8">
      <c r="A1540" t="s">
        <v>531</v>
      </c>
      <c r="B1540" s="1">
        <v>43191</v>
      </c>
      <c r="C1540" s="2">
        <v>0</v>
      </c>
      <c r="D1540" s="2">
        <v>1440</v>
      </c>
      <c r="E1540" t="s">
        <v>25</v>
      </c>
      <c r="F1540" s="2">
        <v>1440</v>
      </c>
      <c r="G1540" s="2"/>
      <c r="H1540" s="2"/>
    </row>
    <row r="1541" spans="1:8">
      <c r="A1541" t="s">
        <v>532</v>
      </c>
      <c r="B1541" s="1">
        <v>43191</v>
      </c>
      <c r="C1541" s="2">
        <v>0</v>
      </c>
      <c r="D1541" s="2">
        <v>1440</v>
      </c>
      <c r="E1541" t="s">
        <v>25</v>
      </c>
      <c r="F1541" s="2">
        <v>1440</v>
      </c>
      <c r="G1541" s="2"/>
      <c r="H1541" s="2"/>
    </row>
    <row r="1542" spans="1:8">
      <c r="A1542" t="s">
        <v>533</v>
      </c>
      <c r="B1542" s="1">
        <v>43191</v>
      </c>
      <c r="C1542" s="2">
        <v>0</v>
      </c>
      <c r="D1542" s="2">
        <v>1440</v>
      </c>
      <c r="E1542" t="s">
        <v>25</v>
      </c>
      <c r="F1542" s="2">
        <v>1440</v>
      </c>
      <c r="G1542" s="2"/>
      <c r="H1542" s="2"/>
    </row>
    <row r="1543" spans="1:8">
      <c r="A1543" t="s">
        <v>534</v>
      </c>
      <c r="B1543" s="1">
        <v>43191</v>
      </c>
      <c r="C1543" s="2">
        <v>0</v>
      </c>
      <c r="D1543" s="2">
        <v>1440</v>
      </c>
      <c r="E1543" t="s">
        <v>25</v>
      </c>
      <c r="F1543" s="2">
        <v>1440</v>
      </c>
      <c r="G1543" s="2"/>
      <c r="H1543" s="2"/>
    </row>
    <row r="1544" spans="1:8">
      <c r="A1544" t="s">
        <v>475</v>
      </c>
      <c r="B1544" s="1">
        <v>43191</v>
      </c>
      <c r="C1544" s="2">
        <v>1847</v>
      </c>
      <c r="D1544" s="2">
        <v>11256</v>
      </c>
      <c r="E1544" t="s">
        <v>12</v>
      </c>
      <c r="F1544" s="2">
        <v>9409</v>
      </c>
      <c r="G1544" s="2"/>
      <c r="H1544" s="2"/>
    </row>
    <row r="1545" spans="1:8">
      <c r="A1545" t="s">
        <v>535</v>
      </c>
      <c r="B1545" s="1">
        <v>43191</v>
      </c>
      <c r="C1545" s="2">
        <v>0</v>
      </c>
      <c r="D1545" s="2">
        <v>1728</v>
      </c>
      <c r="E1545" t="s">
        <v>25</v>
      </c>
      <c r="F1545" s="2">
        <v>1728</v>
      </c>
      <c r="G1545" s="2"/>
      <c r="H1545" s="2"/>
    </row>
    <row r="1546" spans="1:8">
      <c r="A1546" t="s">
        <v>536</v>
      </c>
      <c r="B1546" s="1">
        <v>43191</v>
      </c>
      <c r="C1546" s="2">
        <v>0</v>
      </c>
      <c r="D1546" s="2">
        <v>1872</v>
      </c>
      <c r="E1546" t="s">
        <v>25</v>
      </c>
      <c r="F1546" s="2">
        <v>1872</v>
      </c>
      <c r="G1546" s="2"/>
      <c r="H1546" s="2"/>
    </row>
    <row r="1547" spans="1:8">
      <c r="A1547" t="s">
        <v>537</v>
      </c>
      <c r="B1547" s="1">
        <v>43191</v>
      </c>
      <c r="C1547" s="2">
        <v>0</v>
      </c>
      <c r="D1547" s="2">
        <v>2016</v>
      </c>
      <c r="E1547" t="s">
        <v>25</v>
      </c>
      <c r="F1547" s="2">
        <v>2016</v>
      </c>
      <c r="G1547" s="2"/>
      <c r="H1547" s="2"/>
    </row>
    <row r="1548" spans="1:8">
      <c r="A1548" t="s">
        <v>538</v>
      </c>
      <c r="B1548" s="1">
        <v>43191</v>
      </c>
      <c r="C1548" s="2">
        <v>0</v>
      </c>
      <c r="D1548" s="2">
        <v>2160</v>
      </c>
      <c r="E1548" t="s">
        <v>25</v>
      </c>
      <c r="F1548" s="2">
        <v>2160</v>
      </c>
      <c r="G1548" s="2"/>
      <c r="H1548" s="2"/>
    </row>
    <row r="1549" spans="1:8">
      <c r="A1549" t="s">
        <v>539</v>
      </c>
      <c r="B1549" s="1">
        <v>43191</v>
      </c>
      <c r="C1549" s="2">
        <v>0</v>
      </c>
      <c r="D1549" s="2">
        <v>2592</v>
      </c>
      <c r="E1549" t="s">
        <v>25</v>
      </c>
      <c r="F1549" s="2">
        <v>2592</v>
      </c>
      <c r="G1549" s="2"/>
      <c r="H1549" s="2"/>
    </row>
    <row r="1550" spans="1:8">
      <c r="A1550" t="s">
        <v>324</v>
      </c>
      <c r="B1550" s="1">
        <v>43191</v>
      </c>
      <c r="C1550" s="2">
        <v>0</v>
      </c>
      <c r="D1550" s="2">
        <v>3024</v>
      </c>
      <c r="E1550" t="s">
        <v>25</v>
      </c>
      <c r="F1550" s="2">
        <v>3024</v>
      </c>
      <c r="G1550" s="2"/>
      <c r="H1550" s="2"/>
    </row>
    <row r="1551" spans="1:8">
      <c r="A1551" t="s">
        <v>540</v>
      </c>
      <c r="B1551" s="1">
        <v>43191</v>
      </c>
      <c r="C1551" s="2">
        <v>0</v>
      </c>
      <c r="D1551" s="2">
        <v>3168</v>
      </c>
      <c r="E1551" t="s">
        <v>25</v>
      </c>
      <c r="F1551" s="2">
        <v>3168</v>
      </c>
      <c r="G1551" s="2"/>
      <c r="H1551" s="2"/>
    </row>
    <row r="1552" spans="1:8">
      <c r="A1552" t="s">
        <v>541</v>
      </c>
      <c r="B1552" s="1">
        <v>43191</v>
      </c>
      <c r="C1552" s="2">
        <v>0</v>
      </c>
      <c r="D1552" s="2">
        <v>4656</v>
      </c>
      <c r="E1552" t="s">
        <v>25</v>
      </c>
      <c r="F1552" s="2">
        <v>4656</v>
      </c>
      <c r="G1552" s="2"/>
      <c r="H1552" s="2"/>
    </row>
    <row r="1553" spans="1:8">
      <c r="A1553" t="s">
        <v>425</v>
      </c>
      <c r="B1553" s="1">
        <v>43191</v>
      </c>
      <c r="C1553" s="2">
        <v>27780</v>
      </c>
      <c r="D1553" s="2">
        <v>42060</v>
      </c>
      <c r="E1553" t="s">
        <v>12</v>
      </c>
      <c r="F1553" s="2">
        <v>14280</v>
      </c>
      <c r="G1553" s="2"/>
      <c r="H1553" s="2"/>
    </row>
    <row r="1554" spans="1:8">
      <c r="A1554" t="s">
        <v>542</v>
      </c>
      <c r="B1554" s="1">
        <v>43191</v>
      </c>
      <c r="C1554" s="2">
        <v>0</v>
      </c>
      <c r="D1554" s="2">
        <v>4656</v>
      </c>
      <c r="E1554" t="s">
        <v>25</v>
      </c>
      <c r="F1554" s="2">
        <v>4656</v>
      </c>
      <c r="G1554" s="2"/>
      <c r="H1554" s="2"/>
    </row>
    <row r="1555" spans="1:8">
      <c r="A1555" t="s">
        <v>543</v>
      </c>
      <c r="B1555" s="1">
        <v>43191</v>
      </c>
      <c r="C1555" s="2">
        <v>0</v>
      </c>
      <c r="D1555" s="2">
        <v>4788</v>
      </c>
      <c r="E1555" t="s">
        <v>25</v>
      </c>
      <c r="F1555" s="2">
        <v>4788</v>
      </c>
      <c r="G1555" s="2"/>
      <c r="H1555" s="2"/>
    </row>
    <row r="1556" spans="1:8">
      <c r="A1556" t="s">
        <v>544</v>
      </c>
      <c r="B1556" s="1">
        <v>43191</v>
      </c>
      <c r="C1556" s="2">
        <v>0</v>
      </c>
      <c r="D1556" s="2">
        <v>5844</v>
      </c>
      <c r="E1556" t="s">
        <v>25</v>
      </c>
      <c r="F1556" s="2">
        <v>5844</v>
      </c>
      <c r="G1556" s="2"/>
      <c r="H1556" s="2"/>
    </row>
    <row r="1557" spans="1:8">
      <c r="A1557" t="s">
        <v>545</v>
      </c>
      <c r="B1557" s="1">
        <v>43191</v>
      </c>
      <c r="C1557" s="2">
        <v>0</v>
      </c>
      <c r="D1557" s="2">
        <v>5844</v>
      </c>
      <c r="E1557" t="s">
        <v>25</v>
      </c>
      <c r="F1557" s="2">
        <v>5844</v>
      </c>
      <c r="G1557" s="2"/>
      <c r="H1557" s="2"/>
    </row>
    <row r="1558" spans="1:8">
      <c r="A1558" t="s">
        <v>546</v>
      </c>
      <c r="B1558" s="1">
        <v>43191</v>
      </c>
      <c r="C1558" s="2">
        <v>0</v>
      </c>
      <c r="D1558" s="2">
        <v>6372</v>
      </c>
      <c r="E1558" t="s">
        <v>25</v>
      </c>
      <c r="F1558" s="2">
        <v>6372</v>
      </c>
      <c r="G1558" s="2"/>
      <c r="H1558" s="2"/>
    </row>
    <row r="1559" spans="1:8">
      <c r="A1559" t="s">
        <v>547</v>
      </c>
      <c r="B1559" s="1">
        <v>43191</v>
      </c>
      <c r="C1559" s="2">
        <v>0</v>
      </c>
      <c r="D1559" s="2">
        <v>7032</v>
      </c>
      <c r="E1559" t="s">
        <v>25</v>
      </c>
      <c r="F1559" s="2">
        <v>7032</v>
      </c>
      <c r="G1559" s="2"/>
      <c r="H1559" s="2"/>
    </row>
    <row r="1560" spans="1:8">
      <c r="A1560" t="s">
        <v>548</v>
      </c>
      <c r="B1560" s="1">
        <v>43191</v>
      </c>
      <c r="C1560" s="2">
        <v>0</v>
      </c>
      <c r="D1560" s="2">
        <v>7428</v>
      </c>
      <c r="E1560" t="s">
        <v>25</v>
      </c>
      <c r="F1560" s="2">
        <v>7428</v>
      </c>
      <c r="G1560" s="2"/>
      <c r="H1560" s="2"/>
    </row>
    <row r="1561" spans="1:8">
      <c r="A1561" t="s">
        <v>549</v>
      </c>
      <c r="B1561" s="1">
        <v>43191</v>
      </c>
      <c r="C1561" s="2">
        <v>0</v>
      </c>
      <c r="D1561" s="2">
        <v>9276</v>
      </c>
      <c r="E1561" t="s">
        <v>25</v>
      </c>
      <c r="F1561" s="2">
        <v>9276</v>
      </c>
      <c r="G1561" s="2"/>
      <c r="H1561" s="2"/>
    </row>
    <row r="1562" spans="1:8">
      <c r="A1562" t="s">
        <v>550</v>
      </c>
      <c r="B1562" s="1">
        <v>43191</v>
      </c>
      <c r="C1562" s="2">
        <v>0</v>
      </c>
      <c r="D1562" s="2">
        <v>9276</v>
      </c>
      <c r="E1562" t="s">
        <v>25</v>
      </c>
      <c r="F1562" s="2">
        <v>9276</v>
      </c>
      <c r="G1562" s="2"/>
      <c r="H1562" s="2"/>
    </row>
    <row r="1563" spans="1:8">
      <c r="A1563" t="s">
        <v>551</v>
      </c>
      <c r="B1563" s="1">
        <v>43191</v>
      </c>
      <c r="C1563" s="2">
        <v>0</v>
      </c>
      <c r="D1563" s="2">
        <v>9936</v>
      </c>
      <c r="E1563" t="s">
        <v>25</v>
      </c>
      <c r="F1563" s="2">
        <v>9936</v>
      </c>
      <c r="G1563" s="2"/>
      <c r="H1563" s="2"/>
    </row>
    <row r="1564" spans="1:8">
      <c r="A1564" t="s">
        <v>552</v>
      </c>
      <c r="B1564" s="1">
        <v>43191</v>
      </c>
      <c r="C1564" s="2">
        <v>0</v>
      </c>
      <c r="D1564" s="2">
        <v>10068</v>
      </c>
      <c r="E1564" t="s">
        <v>25</v>
      </c>
      <c r="F1564" s="2">
        <v>10068</v>
      </c>
      <c r="G1564" s="2"/>
      <c r="H1564" s="2"/>
    </row>
    <row r="1565" spans="1:8">
      <c r="A1565" t="s">
        <v>553</v>
      </c>
      <c r="B1565" s="1">
        <v>43191</v>
      </c>
      <c r="C1565" s="2">
        <v>0</v>
      </c>
      <c r="D1565" s="2">
        <v>13368</v>
      </c>
      <c r="E1565" t="s">
        <v>25</v>
      </c>
      <c r="F1565" s="2">
        <v>13368</v>
      </c>
      <c r="G1565" s="2"/>
      <c r="H1565" s="2"/>
    </row>
    <row r="1566" spans="1:8">
      <c r="B1566" s="1"/>
      <c r="C1566" s="2"/>
      <c r="D1566" s="2"/>
      <c r="F1566" s="2"/>
      <c r="G1566" s="2"/>
      <c r="H1566" s="2"/>
    </row>
    <row r="1567" spans="1:8">
      <c r="B1567" s="1"/>
      <c r="C1567" s="2"/>
      <c r="D1567" s="2"/>
      <c r="F1567" s="2"/>
      <c r="G1567" s="2"/>
      <c r="H1567" s="2"/>
    </row>
    <row r="1568" spans="1:8">
      <c r="F1568" s="2"/>
    </row>
  </sheetData>
  <sheetProtection algorithmName="SHA-512" hashValue="XgMTxofhIpAiC73mVtVrFstlDkWXv9q9IX/TmtVpnGkTN07BpU2B89A6epQeVs6IwopcI0aRnaVubb4QLrK9eQ==" saltValue="MNz8HIRHx82sNLMWdi5T3w==" spinCount="100000" sheet="1" objects="1" scenarios="1"/>
  <autoFilter ref="A1:F1567" xr:uid="{C0E99E83-59CF-2446-8D6E-D08BCC8D3875}">
    <sortState xmlns:xlrd2="http://schemas.microsoft.com/office/spreadsheetml/2017/richdata2" ref="A2:F1567">
      <sortCondition ref="B1:B1567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E1773-5B5C-C84B-A331-6D8D6C66ACF4}">
  <dimension ref="A1:R23"/>
  <sheetViews>
    <sheetView showGridLines="0" workbookViewId="0">
      <selection sqref="A1:XFD1048576"/>
    </sheetView>
  </sheetViews>
  <sheetFormatPr defaultColWidth="10.85546875" defaultRowHeight="15"/>
  <cols>
    <col min="1" max="1" width="39.42578125" style="4" customWidth="1"/>
    <col min="2" max="16384" width="10.85546875" style="4"/>
  </cols>
  <sheetData>
    <row r="1" spans="1:18" ht="15.95">
      <c r="A1" s="8" t="s">
        <v>554</v>
      </c>
      <c r="B1" s="10" t="s">
        <v>555</v>
      </c>
      <c r="C1" s="10" t="s">
        <v>556</v>
      </c>
    </row>
    <row r="2" spans="1:18" ht="17.100000000000001">
      <c r="A2" s="12" t="s">
        <v>557</v>
      </c>
      <c r="B2" s="5">
        <v>48.3</v>
      </c>
      <c r="C2" s="5">
        <v>228.5</v>
      </c>
    </row>
    <row r="3" spans="1:18" ht="17.100000000000001">
      <c r="A3" s="12" t="s">
        <v>25</v>
      </c>
      <c r="B3" s="5">
        <v>-1.8</v>
      </c>
      <c r="C3" s="5">
        <v>68.5</v>
      </c>
    </row>
    <row r="4" spans="1:18" ht="17.100000000000001">
      <c r="A4" s="12" t="s">
        <v>12</v>
      </c>
      <c r="B4" s="5">
        <v>10.78</v>
      </c>
      <c r="C4" s="5">
        <v>-6.2</v>
      </c>
    </row>
    <row r="5" spans="1:18" ht="17.100000000000001">
      <c r="A5" s="12" t="s">
        <v>14</v>
      </c>
      <c r="B5" s="5">
        <v>5.6</v>
      </c>
      <c r="C5" s="5">
        <v>0.73329999999999995</v>
      </c>
    </row>
    <row r="8" spans="1:18">
      <c r="B8" s="109" t="s">
        <v>558</v>
      </c>
      <c r="C8" s="110"/>
      <c r="D8" s="110"/>
      <c r="E8" s="110"/>
      <c r="F8" s="110"/>
      <c r="G8" s="110"/>
      <c r="H8" s="110"/>
      <c r="I8" s="110"/>
      <c r="J8" s="110" t="s">
        <v>68</v>
      </c>
      <c r="K8" s="110"/>
      <c r="L8" s="110"/>
      <c r="M8" s="110"/>
      <c r="N8" s="110"/>
      <c r="O8" s="110"/>
      <c r="P8" s="110"/>
      <c r="Q8" s="111"/>
    </row>
    <row r="9" spans="1:18">
      <c r="B9" s="99">
        <f>Model!B3</f>
        <v>42979</v>
      </c>
      <c r="C9" s="99">
        <f>Model!C3</f>
        <v>43009</v>
      </c>
      <c r="D9" s="99">
        <f>Model!D3</f>
        <v>43040</v>
      </c>
      <c r="E9" s="99">
        <f>Model!E3</f>
        <v>43070</v>
      </c>
      <c r="F9" s="99">
        <f>Model!F3</f>
        <v>43101</v>
      </c>
      <c r="G9" s="99">
        <f>Model!G3</f>
        <v>43132</v>
      </c>
      <c r="H9" s="99">
        <f>Model!H3</f>
        <v>43160</v>
      </c>
      <c r="I9" s="100">
        <f>Model!I3</f>
        <v>43191</v>
      </c>
      <c r="J9" s="99">
        <f>Model!J3</f>
        <v>43221</v>
      </c>
      <c r="K9" s="99">
        <f>Model!K3</f>
        <v>43252</v>
      </c>
      <c r="L9" s="99">
        <f>Model!L3</f>
        <v>43282</v>
      </c>
      <c r="M9" s="99">
        <f>Model!M3</f>
        <v>43313</v>
      </c>
      <c r="N9" s="99">
        <f>Model!N3</f>
        <v>43344</v>
      </c>
      <c r="O9" s="99">
        <f>Model!O3</f>
        <v>43374</v>
      </c>
      <c r="P9" s="99">
        <f>Model!P3</f>
        <v>43405</v>
      </c>
      <c r="Q9" s="99">
        <f>Model!Q3</f>
        <v>43435</v>
      </c>
    </row>
    <row r="10" spans="1:18">
      <c r="B10" s="101">
        <v>0</v>
      </c>
      <c r="C10" s="101">
        <v>0</v>
      </c>
      <c r="D10" s="101">
        <v>1</v>
      </c>
      <c r="E10" s="101">
        <v>2</v>
      </c>
      <c r="F10" s="101">
        <v>3</v>
      </c>
      <c r="G10" s="101">
        <v>4</v>
      </c>
      <c r="H10" s="101">
        <v>5</v>
      </c>
      <c r="I10" s="102">
        <v>6</v>
      </c>
      <c r="J10" s="103">
        <v>7</v>
      </c>
      <c r="K10" s="103">
        <v>8</v>
      </c>
      <c r="L10" s="103">
        <v>9</v>
      </c>
      <c r="M10" s="103">
        <v>10</v>
      </c>
      <c r="N10" s="103">
        <v>11</v>
      </c>
      <c r="O10" s="103">
        <v>12</v>
      </c>
      <c r="P10" s="103">
        <v>13</v>
      </c>
      <c r="Q10" s="103">
        <v>14</v>
      </c>
      <c r="R10" s="104"/>
    </row>
    <row r="11" spans="1:18">
      <c r="A11" s="4" t="s">
        <v>559</v>
      </c>
      <c r="B11" s="105">
        <f>Model!B15</f>
        <v>2</v>
      </c>
      <c r="C11" s="105">
        <f>Model!C15</f>
        <v>27</v>
      </c>
      <c r="D11" s="105">
        <f>Model!D15</f>
        <v>93</v>
      </c>
      <c r="E11" s="105">
        <f>Model!E15</f>
        <v>182</v>
      </c>
      <c r="F11" s="105">
        <f>Model!F15</f>
        <v>234</v>
      </c>
      <c r="G11" s="105">
        <f>Model!G15</f>
        <v>277</v>
      </c>
      <c r="H11" s="105">
        <f>Model!H15</f>
        <v>323</v>
      </c>
      <c r="I11" s="106">
        <f>Model!I15</f>
        <v>372</v>
      </c>
      <c r="J11" s="90">
        <f t="shared" ref="J11:Q12" si="0">ROUND($B2*J$10+$C2,0)</f>
        <v>567</v>
      </c>
      <c r="K11" s="90">
        <f t="shared" si="0"/>
        <v>615</v>
      </c>
      <c r="L11" s="90">
        <f t="shared" si="0"/>
        <v>663</v>
      </c>
      <c r="M11" s="90">
        <f t="shared" si="0"/>
        <v>712</v>
      </c>
      <c r="N11" s="90">
        <f t="shared" si="0"/>
        <v>760</v>
      </c>
      <c r="O11" s="90">
        <f t="shared" si="0"/>
        <v>808</v>
      </c>
      <c r="P11" s="90">
        <f t="shared" si="0"/>
        <v>856</v>
      </c>
      <c r="Q11" s="90">
        <f t="shared" si="0"/>
        <v>905</v>
      </c>
      <c r="R11" s="4" t="s">
        <v>560</v>
      </c>
    </row>
    <row r="12" spans="1:18">
      <c r="A12" s="4" t="s">
        <v>561</v>
      </c>
      <c r="B12" s="105">
        <f>Model!B4</f>
        <v>2</v>
      </c>
      <c r="C12" s="105">
        <f>Model!C4</f>
        <v>26</v>
      </c>
      <c r="D12" s="105">
        <f>Model!D4</f>
        <v>62</v>
      </c>
      <c r="E12" s="105">
        <f>Model!E4</f>
        <v>85</v>
      </c>
      <c r="F12" s="105">
        <f>Model!F4</f>
        <v>51</v>
      </c>
      <c r="G12" s="105">
        <f>Model!G4</f>
        <v>50</v>
      </c>
      <c r="H12" s="105">
        <f>Model!H4</f>
        <v>61</v>
      </c>
      <c r="I12" s="106">
        <f>Model!I4</f>
        <v>64</v>
      </c>
      <c r="J12" s="90">
        <f t="shared" si="0"/>
        <v>56</v>
      </c>
      <c r="K12" s="90">
        <f t="shared" si="0"/>
        <v>54</v>
      </c>
      <c r="L12" s="90">
        <f t="shared" si="0"/>
        <v>52</v>
      </c>
      <c r="M12" s="90">
        <f t="shared" si="0"/>
        <v>51</v>
      </c>
      <c r="N12" s="90">
        <f t="shared" si="0"/>
        <v>49</v>
      </c>
      <c r="O12" s="90">
        <f t="shared" si="0"/>
        <v>47</v>
      </c>
      <c r="P12" s="90">
        <f t="shared" si="0"/>
        <v>45</v>
      </c>
      <c r="Q12" s="90">
        <f t="shared" si="0"/>
        <v>43</v>
      </c>
      <c r="R12" s="4" t="s">
        <v>556</v>
      </c>
    </row>
    <row r="13" spans="1:18">
      <c r="A13" s="4" t="s">
        <v>10</v>
      </c>
      <c r="B13" s="105">
        <f>Model!B5</f>
        <v>0</v>
      </c>
      <c r="C13" s="105">
        <f>Model!C5</f>
        <v>1</v>
      </c>
      <c r="D13" s="105">
        <f>Model!D5</f>
        <v>4</v>
      </c>
      <c r="E13" s="105">
        <f>Model!E5</f>
        <v>4</v>
      </c>
      <c r="F13" s="105">
        <f>Model!F5</f>
        <v>5</v>
      </c>
      <c r="G13" s="105">
        <f>Model!G5</f>
        <v>2</v>
      </c>
      <c r="H13" s="105">
        <f>Model!H5</f>
        <v>1</v>
      </c>
      <c r="I13" s="106">
        <f>Model!I5</f>
        <v>0</v>
      </c>
      <c r="J13" s="98"/>
      <c r="K13" s="98"/>
      <c r="L13" s="98"/>
      <c r="M13" s="98"/>
      <c r="N13" s="98"/>
      <c r="O13" s="98"/>
      <c r="P13" s="98"/>
      <c r="Q13" s="98"/>
      <c r="R13" s="4" t="s">
        <v>562</v>
      </c>
    </row>
    <row r="14" spans="1:18">
      <c r="A14" s="4" t="s">
        <v>563</v>
      </c>
      <c r="B14" s="105">
        <f>Model!B6</f>
        <v>0</v>
      </c>
      <c r="C14" s="105">
        <f>Model!C6</f>
        <v>1</v>
      </c>
      <c r="D14" s="105">
        <f>Model!D6</f>
        <v>22</v>
      </c>
      <c r="E14" s="105">
        <f>Model!E6</f>
        <v>67</v>
      </c>
      <c r="F14" s="105">
        <f>Model!F6</f>
        <v>131</v>
      </c>
      <c r="G14" s="105">
        <f>Model!G6</f>
        <v>169</v>
      </c>
      <c r="H14" s="105">
        <f>Model!H6</f>
        <v>190</v>
      </c>
      <c r="I14" s="106">
        <f>Model!I6</f>
        <v>223</v>
      </c>
      <c r="J14" s="107"/>
      <c r="K14" s="107"/>
      <c r="L14" s="107"/>
      <c r="M14" s="107"/>
      <c r="N14" s="107"/>
      <c r="O14" s="107"/>
      <c r="P14" s="107"/>
      <c r="Q14" s="107"/>
      <c r="R14" s="4" t="s">
        <v>560</v>
      </c>
    </row>
    <row r="15" spans="1:18">
      <c r="A15" s="4" t="s">
        <v>564</v>
      </c>
      <c r="B15" s="105">
        <f>Model!B7</f>
        <v>0</v>
      </c>
      <c r="C15" s="105">
        <f>Model!C7</f>
        <v>0</v>
      </c>
      <c r="D15" s="105">
        <f>Model!D7</f>
        <v>5</v>
      </c>
      <c r="E15" s="105">
        <f>Model!E7</f>
        <v>14</v>
      </c>
      <c r="F15" s="105">
        <f>Model!F7</f>
        <v>24</v>
      </c>
      <c r="G15" s="105">
        <f>Model!G7</f>
        <v>44</v>
      </c>
      <c r="H15" s="105">
        <f>Model!H7</f>
        <v>41</v>
      </c>
      <c r="I15" s="106">
        <f>Model!I7</f>
        <v>60</v>
      </c>
      <c r="J15" s="90">
        <f t="shared" ref="J15:Q16" si="1">ROUND($B4*J$10+$C4,0)</f>
        <v>69</v>
      </c>
      <c r="K15" s="90">
        <f t="shared" si="1"/>
        <v>80</v>
      </c>
      <c r="L15" s="90">
        <f t="shared" si="1"/>
        <v>91</v>
      </c>
      <c r="M15" s="90">
        <f t="shared" si="1"/>
        <v>102</v>
      </c>
      <c r="N15" s="90">
        <f t="shared" si="1"/>
        <v>112</v>
      </c>
      <c r="O15" s="90">
        <f t="shared" si="1"/>
        <v>123</v>
      </c>
      <c r="P15" s="90">
        <f t="shared" si="1"/>
        <v>134</v>
      </c>
      <c r="Q15" s="90">
        <f t="shared" si="1"/>
        <v>145</v>
      </c>
      <c r="R15" s="4" t="s">
        <v>565</v>
      </c>
    </row>
    <row r="16" spans="1:18">
      <c r="A16" s="4" t="s">
        <v>566</v>
      </c>
      <c r="B16" s="105">
        <f>Model!B8</f>
        <v>0</v>
      </c>
      <c r="C16" s="105">
        <f>Model!C8</f>
        <v>0</v>
      </c>
      <c r="D16" s="105">
        <f>Model!D8</f>
        <v>2</v>
      </c>
      <c r="E16" s="105">
        <f>Model!E8</f>
        <v>14</v>
      </c>
      <c r="F16" s="105">
        <f>Model!F8</f>
        <v>26</v>
      </c>
      <c r="G16" s="105">
        <f>Model!G8</f>
        <v>14</v>
      </c>
      <c r="H16" s="105">
        <f>Model!H8</f>
        <v>34</v>
      </c>
      <c r="I16" s="106">
        <f>Model!I8</f>
        <v>31</v>
      </c>
      <c r="J16" s="90">
        <f t="shared" si="1"/>
        <v>40</v>
      </c>
      <c r="K16" s="90">
        <f t="shared" si="1"/>
        <v>46</v>
      </c>
      <c r="L16" s="90">
        <f t="shared" si="1"/>
        <v>51</v>
      </c>
      <c r="M16" s="90">
        <f t="shared" si="1"/>
        <v>57</v>
      </c>
      <c r="N16" s="90">
        <f t="shared" si="1"/>
        <v>62</v>
      </c>
      <c r="O16" s="90">
        <f t="shared" si="1"/>
        <v>68</v>
      </c>
      <c r="P16" s="90">
        <f t="shared" si="1"/>
        <v>74</v>
      </c>
      <c r="Q16" s="90">
        <f t="shared" si="1"/>
        <v>79</v>
      </c>
      <c r="R16" s="4" t="s">
        <v>565</v>
      </c>
    </row>
    <row r="17" spans="1:18">
      <c r="A17" s="4" t="s">
        <v>16</v>
      </c>
      <c r="B17" s="105">
        <f>Model!B9</f>
        <v>0</v>
      </c>
      <c r="C17" s="105">
        <f>Model!C9</f>
        <v>0</v>
      </c>
      <c r="D17" s="105">
        <f>Model!D9</f>
        <v>0</v>
      </c>
      <c r="E17" s="105">
        <f>Model!E9</f>
        <v>1</v>
      </c>
      <c r="F17" s="105">
        <f>Model!F9</f>
        <v>0</v>
      </c>
      <c r="G17" s="105">
        <f>Model!G9</f>
        <v>3</v>
      </c>
      <c r="H17" s="105">
        <f>Model!H9</f>
        <v>0</v>
      </c>
      <c r="I17" s="106">
        <f>Model!I9</f>
        <v>1</v>
      </c>
      <c r="J17" s="108"/>
      <c r="K17" s="98"/>
      <c r="L17" s="98"/>
      <c r="M17" s="98"/>
      <c r="N17" s="98"/>
      <c r="O17" s="98"/>
      <c r="P17" s="98"/>
      <c r="Q17" s="98"/>
      <c r="R17" s="4" t="s">
        <v>562</v>
      </c>
    </row>
    <row r="18" spans="1:18">
      <c r="A18" s="4" t="s">
        <v>567</v>
      </c>
      <c r="B18" s="105">
        <f>Model!B10</f>
        <v>0</v>
      </c>
      <c r="C18" s="105">
        <f>Model!C10</f>
        <v>0</v>
      </c>
      <c r="D18" s="105">
        <f>Model!D10</f>
        <v>0</v>
      </c>
      <c r="E18" s="105">
        <f>Model!E10</f>
        <v>0</v>
      </c>
      <c r="F18" s="105">
        <f>Model!F10</f>
        <v>0</v>
      </c>
      <c r="G18" s="105">
        <f>Model!G10</f>
        <v>1</v>
      </c>
      <c r="H18" s="105">
        <f>Model!H10</f>
        <v>1</v>
      </c>
      <c r="I18" s="106">
        <f>Model!I10</f>
        <v>0</v>
      </c>
      <c r="J18" s="108"/>
      <c r="K18" s="98"/>
      <c r="L18" s="98"/>
      <c r="M18" s="98"/>
      <c r="N18" s="98"/>
      <c r="O18" s="98"/>
      <c r="P18" s="98"/>
      <c r="Q18" s="98"/>
      <c r="R18" s="4" t="s">
        <v>562</v>
      </c>
    </row>
    <row r="19" spans="1:18">
      <c r="A19" s="4" t="s">
        <v>76</v>
      </c>
      <c r="B19" s="105">
        <f>Model!B12</f>
        <v>0</v>
      </c>
      <c r="C19" s="105">
        <f>Model!C12</f>
        <v>1</v>
      </c>
      <c r="D19" s="105">
        <f>Model!D12</f>
        <v>1</v>
      </c>
      <c r="E19" s="105">
        <f>Model!E12</f>
        <v>3</v>
      </c>
      <c r="F19" s="105">
        <f>Model!F12</f>
        <v>0</v>
      </c>
      <c r="G19" s="105">
        <f>Model!G12</f>
        <v>3</v>
      </c>
      <c r="H19" s="105">
        <f>Model!H12</f>
        <v>1</v>
      </c>
      <c r="I19" s="106">
        <f>Model!I12</f>
        <v>1</v>
      </c>
      <c r="J19" s="108"/>
      <c r="K19" s="98"/>
      <c r="L19" s="98"/>
      <c r="M19" s="98"/>
      <c r="N19" s="98"/>
      <c r="O19" s="98"/>
      <c r="P19" s="98"/>
      <c r="Q19" s="98"/>
      <c r="R19" s="4" t="s">
        <v>562</v>
      </c>
    </row>
    <row r="20" spans="1:18">
      <c r="A20" s="4" t="s">
        <v>568</v>
      </c>
      <c r="B20" s="105">
        <f>Model!B13</f>
        <v>0</v>
      </c>
      <c r="C20" s="105">
        <f>Model!C13</f>
        <v>0</v>
      </c>
      <c r="D20" s="105">
        <f>Model!D13</f>
        <v>1</v>
      </c>
      <c r="E20" s="105">
        <f>Model!E13</f>
        <v>0</v>
      </c>
      <c r="F20" s="105">
        <f>Model!F13</f>
        <v>3</v>
      </c>
      <c r="G20" s="105">
        <f>Model!G13</f>
        <v>3</v>
      </c>
      <c r="H20" s="105">
        <f>Model!H13</f>
        <v>4</v>
      </c>
      <c r="I20" s="106">
        <f>Model!I13</f>
        <v>6</v>
      </c>
      <c r="J20" s="108"/>
      <c r="K20" s="98"/>
      <c r="L20" s="98"/>
      <c r="M20" s="98"/>
      <c r="N20" s="98"/>
      <c r="O20" s="98"/>
      <c r="P20" s="98"/>
      <c r="Q20" s="98"/>
      <c r="R20" s="4" t="s">
        <v>562</v>
      </c>
    </row>
    <row r="21" spans="1:18">
      <c r="A21" s="4" t="s">
        <v>76</v>
      </c>
      <c r="B21" s="105">
        <f>Model!B14</f>
        <v>0</v>
      </c>
      <c r="C21" s="105">
        <f>Model!C14</f>
        <v>1</v>
      </c>
      <c r="D21" s="105">
        <f>Model!D14</f>
        <v>2</v>
      </c>
      <c r="E21" s="105">
        <f>Model!E14</f>
        <v>3</v>
      </c>
      <c r="F21" s="105">
        <f>Model!F14</f>
        <v>3</v>
      </c>
      <c r="G21" s="105">
        <f>Model!G14</f>
        <v>6</v>
      </c>
      <c r="H21" s="105">
        <f>Model!H14</f>
        <v>5</v>
      </c>
      <c r="I21" s="106">
        <f>Model!I14</f>
        <v>7</v>
      </c>
      <c r="J21" s="108"/>
      <c r="K21" s="98"/>
      <c r="L21" s="98"/>
      <c r="M21" s="98"/>
      <c r="N21" s="98"/>
      <c r="O21" s="98"/>
      <c r="P21" s="98"/>
      <c r="Q21" s="98"/>
      <c r="R21" s="4" t="s">
        <v>560</v>
      </c>
    </row>
    <row r="22" spans="1:18">
      <c r="B22" s="32"/>
    </row>
    <row r="23" spans="1:18">
      <c r="A23" s="8" t="s">
        <v>569</v>
      </c>
      <c r="B23" s="32"/>
    </row>
  </sheetData>
  <sheetProtection algorithmName="SHA-512" hashValue="4/n0Iy+XJgfla6863vwaz8K9gsXrPgkaGLtZdWmeAWdhV2udxDVxhFVLl9qlDTLoOP2NsjXEoF8F5DSYc0KyCQ==" saltValue="7zRmwAT06YEi9oZVkH7BkQ==" spinCount="100000" sheet="1" objects="1" scenarios="1"/>
  <mergeCells count="2">
    <mergeCell ref="B8:I8"/>
    <mergeCell ref="J8:Q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BAA60-CC78-F340-A00E-99966DE7473F}">
  <dimension ref="A1:A30"/>
  <sheetViews>
    <sheetView workbookViewId="0">
      <selection activeCell="A18" sqref="A18:XFD18"/>
    </sheetView>
  </sheetViews>
  <sheetFormatPr defaultColWidth="11.42578125" defaultRowHeight="15"/>
  <sheetData>
    <row r="1" spans="1:1">
      <c r="A1" t="s">
        <v>72</v>
      </c>
    </row>
    <row r="2" spans="1:1">
      <c r="A2" t="s">
        <v>570</v>
      </c>
    </row>
    <row r="3" spans="1:1">
      <c r="A3" t="s">
        <v>16</v>
      </c>
    </row>
    <row r="5" spans="1:1">
      <c r="A5" t="s">
        <v>571</v>
      </c>
    </row>
    <row r="6" spans="1:1">
      <c r="A6" t="s">
        <v>572</v>
      </c>
    </row>
    <row r="7" spans="1:1">
      <c r="A7" t="s">
        <v>573</v>
      </c>
    </row>
    <row r="8" spans="1:1">
      <c r="A8" t="s">
        <v>574</v>
      </c>
    </row>
    <row r="9" spans="1:1">
      <c r="A9" t="s">
        <v>575</v>
      </c>
    </row>
    <row r="11" spans="1:1">
      <c r="A11" t="s">
        <v>576</v>
      </c>
    </row>
    <row r="12" spans="1:1">
      <c r="A12" t="s">
        <v>577</v>
      </c>
    </row>
    <row r="13" spans="1:1">
      <c r="A13" t="s">
        <v>578</v>
      </c>
    </row>
    <row r="15" spans="1:1">
      <c r="A15" t="s">
        <v>579</v>
      </c>
    </row>
    <row r="16" spans="1:1">
      <c r="A16" t="s">
        <v>580</v>
      </c>
    </row>
    <row r="19" spans="1:1">
      <c r="A19" t="s">
        <v>581</v>
      </c>
    </row>
    <row r="20" spans="1:1">
      <c r="A20" t="s">
        <v>582</v>
      </c>
    </row>
    <row r="23" spans="1:1">
      <c r="A23" t="s">
        <v>583</v>
      </c>
    </row>
    <row r="24" spans="1:1">
      <c r="A24" t="s">
        <v>584</v>
      </c>
    </row>
    <row r="27" spans="1:1">
      <c r="A27" t="s">
        <v>585</v>
      </c>
    </row>
    <row r="28" spans="1:1">
      <c r="A28" t="s">
        <v>586</v>
      </c>
    </row>
    <row r="30" spans="1:1">
      <c r="A30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Misha Advena</dc:creator>
  <cp:keywords/>
  <dc:description/>
  <cp:lastModifiedBy>John Gu</cp:lastModifiedBy>
  <cp:revision/>
  <dcterms:created xsi:type="dcterms:W3CDTF">2018-05-31T02:09:28Z</dcterms:created>
  <dcterms:modified xsi:type="dcterms:W3CDTF">2025-12-01T23:51:51Z</dcterms:modified>
  <cp:category/>
  <cp:contentStatus/>
</cp:coreProperties>
</file>