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25"/>
  <workbookPr defaultThemeVersion="166925"/>
  <mc:AlternateContent xmlns:mc="http://schemas.openxmlformats.org/markup-compatibility/2006">
    <mc:Choice Requires="x15">
      <x15ac:absPath xmlns:x15ac="http://schemas.microsoft.com/office/spreadsheetml/2010/11/ac" url="/Users/JohnGu/Documents/Personal/Career/Additional Materials/"/>
    </mc:Choice>
  </mc:AlternateContent>
  <xr:revisionPtr revIDLastSave="0" documentId="8_{B7EAF308-0963-4C36-A4DC-0E166A472C41}" xr6:coauthVersionLast="47" xr6:coauthVersionMax="47" xr10:uidLastSave="{00000000-0000-0000-0000-000000000000}"/>
  <workbookProtection workbookAlgorithmName="SHA-512" workbookHashValue="bhuNTLNcA2YdjlWaFAQsY2pfW12Zi+hqS1SVNlsaaWxNlkX+HGPYgFJr3hg4D1Hp/ZNuG9oWSEXkrNLIkYL4ew==" workbookSaltValue="YEIWKGW7HGSg0frRm79lNg==" workbookSpinCount="100000" lockStructure="1"/>
  <bookViews>
    <workbookView xWindow="0" yWindow="460" windowWidth="25600" windowHeight="14680" xr2:uid="{00000000-000D-0000-FFFF-FFFF00000000}"/>
  </bookViews>
  <sheets>
    <sheet name="Assumptions_Input" sheetId="14" r:id="rId1"/>
    <sheet name="Model" sheetId="3" r:id="rId2"/>
    <sheet name="Data &gt;&gt;&gt;" sheetId="19" r:id="rId3"/>
    <sheet name="Employees by Country" sheetId="8" r:id="rId4"/>
    <sheet name="Unemployment Rates_world" sheetId="9" r:id="rId5"/>
    <sheet name="Self-employed_World" sheetId="16" r:id="rId6"/>
    <sheet name="BLS_Detailed Job Type" sheetId="15" r:id="rId7"/>
    <sheet name="Self-employed_industry_US" sheetId="11" r:id="rId8"/>
    <sheet name="BLS Data_Job Type" sheetId="4" r:id="rId9"/>
    <sheet name="PPP Index" sheetId="18" r:id="rId10"/>
    <sheet name="Employees by Firm Size Pivot" sheetId="2" state="hidden" r:id="rId11"/>
  </sheets>
  <calcPr calcId="191028"/>
  <pivotCaches>
    <pivotCache cacheId="855"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3" l="1"/>
  <c r="D6" i="3"/>
  <c r="D7" i="3"/>
  <c r="D8" i="3"/>
  <c r="D9" i="3"/>
  <c r="D10" i="3"/>
  <c r="D11" i="3"/>
  <c r="D12" i="3"/>
  <c r="D13" i="3"/>
  <c r="D14" i="3"/>
  <c r="D15" i="3"/>
  <c r="D16" i="3"/>
  <c r="D17" i="3"/>
  <c r="D18" i="3"/>
  <c r="D19" i="3"/>
  <c r="D20" i="3"/>
  <c r="D4" i="3"/>
  <c r="P18" i="3" l="1"/>
  <c r="M18" i="3"/>
  <c r="E18" i="3"/>
  <c r="E8" i="3"/>
  <c r="M8" i="3"/>
  <c r="P8" i="3"/>
  <c r="P20" i="3"/>
  <c r="E20" i="3"/>
  <c r="M20" i="3"/>
  <c r="I9" i="11"/>
  <c r="E5" i="3"/>
  <c r="E6" i="3"/>
  <c r="E7" i="3"/>
  <c r="E9" i="3"/>
  <c r="E10" i="3"/>
  <c r="E11" i="3"/>
  <c r="E12" i="3"/>
  <c r="E13" i="3"/>
  <c r="E14" i="3"/>
  <c r="E15" i="3"/>
  <c r="E16" i="3"/>
  <c r="E17" i="3"/>
  <c r="E19" i="3"/>
  <c r="E4" i="3"/>
  <c r="H7" i="3"/>
  <c r="M5" i="3"/>
  <c r="M6" i="3"/>
  <c r="M7" i="3"/>
  <c r="M9" i="3"/>
  <c r="M10" i="3"/>
  <c r="M11" i="3"/>
  <c r="M12" i="3"/>
  <c r="M13" i="3"/>
  <c r="M14" i="3"/>
  <c r="M15" i="3"/>
  <c r="M16" i="3"/>
  <c r="M17" i="3"/>
  <c r="M19" i="3"/>
  <c r="M4" i="3"/>
  <c r="P5" i="3"/>
  <c r="P6" i="3"/>
  <c r="P7" i="3"/>
  <c r="P9" i="3"/>
  <c r="P10" i="3"/>
  <c r="P11" i="3"/>
  <c r="P12" i="3"/>
  <c r="P13" i="3"/>
  <c r="P14" i="3"/>
  <c r="P15" i="3"/>
  <c r="P16" i="3"/>
  <c r="P17" i="3"/>
  <c r="P19" i="3"/>
  <c r="P4" i="3"/>
  <c r="E58" i="18"/>
  <c r="E57" i="18"/>
  <c r="E56" i="18"/>
  <c r="E55" i="18"/>
  <c r="E54" i="18"/>
  <c r="E53" i="18"/>
  <c r="E52" i="18"/>
  <c r="E51" i="18"/>
  <c r="E50" i="18"/>
  <c r="E49" i="18"/>
  <c r="E48" i="18"/>
  <c r="E47" i="18"/>
  <c r="E46" i="18"/>
  <c r="E45" i="18"/>
  <c r="E44" i="18"/>
  <c r="Q7" i="3" s="1"/>
  <c r="E43" i="18"/>
  <c r="E42" i="18"/>
  <c r="E41" i="18"/>
  <c r="Q13" i="3" s="1"/>
  <c r="E40" i="18"/>
  <c r="E39" i="18"/>
  <c r="E38" i="18"/>
  <c r="E37" i="18"/>
  <c r="E36" i="18"/>
  <c r="E35" i="18"/>
  <c r="Q14" i="3" s="1"/>
  <c r="E34" i="18"/>
  <c r="Q18" i="3" s="1"/>
  <c r="E33" i="18"/>
  <c r="E32" i="18"/>
  <c r="Q20" i="3" s="1"/>
  <c r="E31" i="18"/>
  <c r="Q10" i="3" s="1"/>
  <c r="E30" i="18"/>
  <c r="E29" i="18"/>
  <c r="E28" i="18"/>
  <c r="E27" i="18"/>
  <c r="E26" i="18"/>
  <c r="E25" i="18"/>
  <c r="E24" i="18"/>
  <c r="Q12" i="3" s="1"/>
  <c r="E23" i="18"/>
  <c r="E22" i="18"/>
  <c r="E21" i="18"/>
  <c r="E20" i="18"/>
  <c r="Q11" i="3" s="1"/>
  <c r="E19" i="18"/>
  <c r="E18" i="18"/>
  <c r="Q8" i="3" s="1"/>
  <c r="E17" i="18"/>
  <c r="Q5" i="3" s="1"/>
  <c r="E16" i="18"/>
  <c r="E15" i="18"/>
  <c r="E14" i="18"/>
  <c r="Q6" i="3" s="1"/>
  <c r="E13" i="18"/>
  <c r="E12" i="18"/>
  <c r="E11" i="18"/>
  <c r="E10" i="18"/>
  <c r="E9" i="18"/>
  <c r="Q15" i="3" s="1"/>
  <c r="E8" i="18"/>
  <c r="Q4" i="3" s="1"/>
  <c r="E7" i="18"/>
  <c r="E6" i="18"/>
  <c r="Q16" i="3" s="1"/>
  <c r="E5" i="18"/>
  <c r="E4" i="18"/>
  <c r="Q9" i="3" s="1"/>
  <c r="E3" i="18"/>
  <c r="Q19" i="3" s="1"/>
  <c r="E2" i="18"/>
  <c r="Q17" i="3" s="1"/>
  <c r="D5" i="16"/>
  <c r="D6" i="16"/>
  <c r="D7" i="16"/>
  <c r="D8" i="16"/>
  <c r="D9" i="16"/>
  <c r="D10" i="16"/>
  <c r="D11" i="16"/>
  <c r="D12" i="16"/>
  <c r="H17" i="3" s="1"/>
  <c r="D13" i="16"/>
  <c r="D14" i="16"/>
  <c r="D15" i="16"/>
  <c r="D16" i="16"/>
  <c r="H19" i="3" s="1"/>
  <c r="D17" i="16"/>
  <c r="D18" i="16"/>
  <c r="D19" i="16"/>
  <c r="D20" i="16"/>
  <c r="D21" i="16"/>
  <c r="D22" i="16"/>
  <c r="D23" i="16"/>
  <c r="D24" i="16"/>
  <c r="D25" i="16"/>
  <c r="D26" i="16"/>
  <c r="D27" i="16"/>
  <c r="D28" i="16"/>
  <c r="D29" i="16"/>
  <c r="D30" i="16"/>
  <c r="D31" i="16"/>
  <c r="D32" i="16"/>
  <c r="D33" i="16"/>
  <c r="D34" i="16"/>
  <c r="D35" i="16"/>
  <c r="D36" i="16"/>
  <c r="D37" i="16"/>
  <c r="D38" i="16"/>
  <c r="H16" i="3" s="1"/>
  <c r="D39" i="16"/>
  <c r="D40" i="16"/>
  <c r="D41" i="16"/>
  <c r="D42" i="16"/>
  <c r="D43" i="16"/>
  <c r="H4" i="3" s="1"/>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H6" i="3" s="1"/>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H5" i="3" s="1"/>
  <c r="D113" i="16"/>
  <c r="D114" i="16"/>
  <c r="D115" i="16"/>
  <c r="D116" i="16"/>
  <c r="D117" i="16"/>
  <c r="D118" i="16"/>
  <c r="D119" i="16"/>
  <c r="D120" i="16"/>
  <c r="D121" i="16"/>
  <c r="D122" i="16"/>
  <c r="D123" i="16"/>
  <c r="D124" i="16"/>
  <c r="D125" i="16"/>
  <c r="D126" i="16"/>
  <c r="D127" i="16"/>
  <c r="D128" i="16"/>
  <c r="D129" i="16"/>
  <c r="H14" i="3" s="1"/>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H12" i="3" s="1"/>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H10" i="3" s="1"/>
  <c r="D206" i="16"/>
  <c r="D207" i="16"/>
  <c r="D208" i="16"/>
  <c r="H20" i="3" s="1"/>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H18" i="3" s="1"/>
  <c r="D267" i="16"/>
  <c r="D268" i="16"/>
  <c r="H9" i="3"/>
  <c r="H13" i="3"/>
  <c r="H15" i="3"/>
  <c r="H11" i="3"/>
  <c r="I174" i="15"/>
  <c r="I175" i="15"/>
  <c r="I367" i="15"/>
  <c r="I366" i="15"/>
  <c r="I365" i="15"/>
  <c r="I357" i="15"/>
  <c r="I358" i="15"/>
  <c r="I359" i="15"/>
  <c r="I360" i="15"/>
  <c r="I361" i="15"/>
  <c r="I356" i="15"/>
  <c r="I332" i="15"/>
  <c r="I325" i="15"/>
  <c r="I324" i="15"/>
  <c r="I322" i="15"/>
  <c r="I321" i="15"/>
  <c r="I320" i="15"/>
  <c r="I316" i="15"/>
  <c r="I304" i="15"/>
  <c r="I305" i="15"/>
  <c r="I306" i="15"/>
  <c r="I307" i="15"/>
  <c r="I308" i="15"/>
  <c r="I309" i="15"/>
  <c r="I310" i="15"/>
  <c r="I311" i="15"/>
  <c r="I303" i="15"/>
  <c r="I314" i="15" s="1"/>
  <c r="G34" i="4" s="1"/>
  <c r="I341" i="15"/>
  <c r="I165" i="15"/>
  <c r="I145" i="15"/>
  <c r="I90" i="15"/>
  <c r="I73" i="15"/>
  <c r="I217" i="15" s="1"/>
  <c r="D34" i="4" s="1"/>
  <c r="I368" i="15" l="1"/>
  <c r="H34" i="4" s="1"/>
  <c r="E60" i="18"/>
  <c r="H8" i="3"/>
  <c r="R18" i="3"/>
  <c r="R20" i="3"/>
  <c r="R8" i="3"/>
  <c r="R4" i="3"/>
  <c r="R14" i="3"/>
  <c r="R11" i="3"/>
  <c r="R19" i="3"/>
  <c r="R7" i="3"/>
  <c r="R17" i="3"/>
  <c r="R12" i="3"/>
  <c r="R16" i="3"/>
  <c r="R13" i="3"/>
  <c r="R10" i="3"/>
  <c r="R6" i="3"/>
  <c r="R15" i="3"/>
  <c r="R9" i="3"/>
  <c r="R5" i="3"/>
  <c r="C30" i="4"/>
  <c r="D30" i="4"/>
  <c r="E30" i="4"/>
  <c r="F30" i="4"/>
  <c r="G30" i="4"/>
  <c r="H30" i="4"/>
  <c r="I30" i="4"/>
  <c r="J30" i="4"/>
  <c r="K30" i="4"/>
  <c r="L30" i="4"/>
  <c r="M30" i="4"/>
  <c r="B30" i="4"/>
  <c r="D32" i="4" s="1"/>
  <c r="D36" i="4" s="1"/>
  <c r="B40" i="4" l="1"/>
  <c r="C16" i="14" s="1"/>
  <c r="C17" i="14" s="1"/>
  <c r="C32" i="4" l="1"/>
  <c r="C36" i="4" s="1"/>
  <c r="E32" i="4"/>
  <c r="E36" i="4" s="1"/>
  <c r="F32" i="4"/>
  <c r="F36" i="4" s="1"/>
  <c r="G32" i="4"/>
  <c r="G36" i="4" s="1"/>
  <c r="H32" i="4"/>
  <c r="H36" i="4" s="1"/>
  <c r="I32" i="4"/>
  <c r="I36" i="4" s="1"/>
  <c r="J32" i="4"/>
  <c r="J36" i="4" s="1"/>
  <c r="K32" i="4"/>
  <c r="K36" i="4" s="1"/>
  <c r="L32" i="4"/>
  <c r="L36" i="4" s="1"/>
  <c r="M32" i="4"/>
  <c r="M36" i="4" s="1"/>
  <c r="B32" i="4"/>
  <c r="E4" i="8"/>
  <c r="F4" i="8" s="1"/>
  <c r="C5" i="3" s="1"/>
  <c r="G5" i="3" s="1"/>
  <c r="E5" i="8"/>
  <c r="F5" i="8" s="1"/>
  <c r="C6" i="3" s="1"/>
  <c r="F6" i="3" s="1"/>
  <c r="E6" i="8"/>
  <c r="F6" i="8" s="1"/>
  <c r="C7" i="3" s="1"/>
  <c r="F7" i="3" s="1"/>
  <c r="E7" i="8"/>
  <c r="F7" i="8" s="1"/>
  <c r="C8" i="3" s="1"/>
  <c r="E8" i="8"/>
  <c r="F8" i="8" s="1"/>
  <c r="C9" i="3" s="1"/>
  <c r="F9" i="3" s="1"/>
  <c r="E9" i="8"/>
  <c r="F9" i="8" s="1"/>
  <c r="C10" i="3" s="1"/>
  <c r="F10" i="3" s="1"/>
  <c r="E10" i="8"/>
  <c r="F10" i="8" s="1"/>
  <c r="E11" i="8"/>
  <c r="F11" i="8" s="1"/>
  <c r="C11" i="3" s="1"/>
  <c r="F11" i="3" s="1"/>
  <c r="E12" i="8"/>
  <c r="F12" i="8" s="1"/>
  <c r="E13" i="8"/>
  <c r="F13" i="8" s="1"/>
  <c r="E14" i="8"/>
  <c r="F14" i="8" s="1"/>
  <c r="E15" i="8"/>
  <c r="F15" i="8" s="1"/>
  <c r="C12" i="3" s="1"/>
  <c r="G12" i="3" s="1"/>
  <c r="E16" i="8"/>
  <c r="F16" i="8" s="1"/>
  <c r="E17" i="8"/>
  <c r="F17" i="8" s="1"/>
  <c r="E18" i="8"/>
  <c r="F18" i="8" s="1"/>
  <c r="E19" i="8"/>
  <c r="F19" i="8" s="1"/>
  <c r="E20" i="8"/>
  <c r="F20" i="8" s="1"/>
  <c r="E21" i="8"/>
  <c r="F21" i="8" s="1"/>
  <c r="E22" i="8"/>
  <c r="F22" i="8" s="1"/>
  <c r="C13" i="3" s="1"/>
  <c r="E23" i="8"/>
  <c r="F23" i="8" s="1"/>
  <c r="E24" i="8"/>
  <c r="F24" i="8" s="1"/>
  <c r="E25" i="8"/>
  <c r="F25" i="8" s="1"/>
  <c r="E26" i="8"/>
  <c r="F26" i="8" s="1"/>
  <c r="C14" i="3" s="1"/>
  <c r="F14" i="3" s="1"/>
  <c r="E27" i="8"/>
  <c r="F27" i="8" s="1"/>
  <c r="E28" i="8"/>
  <c r="F28" i="8" s="1"/>
  <c r="E29" i="8"/>
  <c r="F29" i="8" s="1"/>
  <c r="C15" i="3" s="1"/>
  <c r="G15" i="3" s="1"/>
  <c r="E30" i="8"/>
  <c r="F30" i="8" s="1"/>
  <c r="E31" i="8"/>
  <c r="F31" i="8" s="1"/>
  <c r="E32" i="8"/>
  <c r="F32" i="8" s="1"/>
  <c r="C18" i="3" s="1"/>
  <c r="E33" i="8"/>
  <c r="F33" i="8" s="1"/>
  <c r="E34" i="8"/>
  <c r="F34" i="8" s="1"/>
  <c r="E35" i="8"/>
  <c r="F35" i="8" s="1"/>
  <c r="C16" i="3" s="1"/>
  <c r="E36" i="8"/>
  <c r="F36" i="8" s="1"/>
  <c r="E37" i="8"/>
  <c r="F37" i="8" s="1"/>
  <c r="C17" i="3" s="1"/>
  <c r="E38" i="8"/>
  <c r="F38" i="8" s="1"/>
  <c r="E39" i="8"/>
  <c r="F39" i="8" s="1"/>
  <c r="E40" i="8"/>
  <c r="F40" i="8" s="1"/>
  <c r="E41" i="8"/>
  <c r="F41" i="8" s="1"/>
  <c r="E42" i="8"/>
  <c r="F42" i="8" s="1"/>
  <c r="E43" i="8"/>
  <c r="F43" i="8" s="1"/>
  <c r="E44" i="8"/>
  <c r="F44" i="8" s="1"/>
  <c r="E45" i="8"/>
  <c r="F45" i="8" s="1"/>
  <c r="E46" i="8"/>
  <c r="F46" i="8" s="1"/>
  <c r="E47" i="8"/>
  <c r="F47" i="8" s="1"/>
  <c r="C19" i="3" s="1"/>
  <c r="E48" i="8"/>
  <c r="F48" i="8" s="1"/>
  <c r="E49" i="8"/>
  <c r="F49" i="8" s="1"/>
  <c r="E50" i="8"/>
  <c r="F50" i="8" s="1"/>
  <c r="C20" i="3" s="1"/>
  <c r="E51" i="8"/>
  <c r="F51" i="8" s="1"/>
  <c r="E52" i="8"/>
  <c r="F52" i="8" s="1"/>
  <c r="E3" i="8"/>
  <c r="F3" i="8" s="1"/>
  <c r="C4" i="3" s="1"/>
  <c r="I8" i="3" l="1"/>
  <c r="F8" i="3"/>
  <c r="G8" i="3"/>
  <c r="F20" i="3"/>
  <c r="G20" i="3"/>
  <c r="I20" i="3"/>
  <c r="B38" i="4"/>
  <c r="J4" i="3" s="1"/>
  <c r="G18" i="3"/>
  <c r="I18" i="3"/>
  <c r="F18" i="3"/>
  <c r="C21" i="3"/>
  <c r="F4" i="3"/>
  <c r="F19" i="3"/>
  <c r="G19" i="3"/>
  <c r="I19" i="3"/>
  <c r="I6" i="3"/>
  <c r="I13" i="3"/>
  <c r="G13" i="3"/>
  <c r="F13" i="3"/>
  <c r="F15" i="3"/>
  <c r="I11" i="3"/>
  <c r="G16" i="3"/>
  <c r="F16" i="3"/>
  <c r="I16" i="3"/>
  <c r="G4" i="3"/>
  <c r="G10" i="3"/>
  <c r="I12" i="3"/>
  <c r="I5" i="3"/>
  <c r="I10" i="3"/>
  <c r="I15" i="3"/>
  <c r="F5" i="3"/>
  <c r="G6" i="3"/>
  <c r="G7" i="3"/>
  <c r="G11" i="3"/>
  <c r="I9" i="3"/>
  <c r="I7" i="3"/>
  <c r="F17" i="3"/>
  <c r="G17" i="3"/>
  <c r="I17" i="3"/>
  <c r="G9" i="3"/>
  <c r="F12" i="3"/>
  <c r="I4" i="3"/>
  <c r="G14" i="3"/>
  <c r="I14" i="3"/>
  <c r="J12" i="3"/>
  <c r="J13" i="3"/>
  <c r="J5" i="3"/>
  <c r="J6" i="3"/>
  <c r="J14" i="3"/>
  <c r="J7" i="3"/>
  <c r="J20" i="3" l="1"/>
  <c r="K20" i="3" s="1"/>
  <c r="L20" i="3" s="1"/>
  <c r="J17" i="3"/>
  <c r="K17" i="3" s="1"/>
  <c r="L17" i="3" s="1"/>
  <c r="J8" i="3"/>
  <c r="K8" i="3" s="1"/>
  <c r="L8" i="3" s="1"/>
  <c r="J18" i="3"/>
  <c r="J16" i="3"/>
  <c r="K16" i="3" s="1"/>
  <c r="L16" i="3" s="1"/>
  <c r="J19" i="3"/>
  <c r="K19" i="3" s="1"/>
  <c r="J15" i="3"/>
  <c r="J11" i="3"/>
  <c r="J10" i="3"/>
  <c r="J9" i="3"/>
  <c r="K18" i="3"/>
  <c r="L18" i="3" s="1"/>
  <c r="I21" i="3"/>
  <c r="G21" i="3"/>
  <c r="F21" i="3"/>
  <c r="K6" i="3"/>
  <c r="L6" i="3" s="1"/>
  <c r="L19" i="3"/>
  <c r="K11" i="3"/>
  <c r="L11" i="3" s="1"/>
  <c r="K13" i="3"/>
  <c r="L13" i="3" s="1"/>
  <c r="K7" i="3"/>
  <c r="L7" i="3" s="1"/>
  <c r="K15" i="3"/>
  <c r="L15" i="3" s="1"/>
  <c r="K4" i="3"/>
  <c r="K5" i="3"/>
  <c r="L5" i="3" s="1"/>
  <c r="K9" i="3"/>
  <c r="L9" i="3" s="1"/>
  <c r="K12" i="3"/>
  <c r="L12" i="3" s="1"/>
  <c r="K10" i="3"/>
  <c r="L10" i="3" s="1"/>
  <c r="K14" i="3"/>
  <c r="L14" i="3" s="1"/>
  <c r="T20" i="3" l="1"/>
  <c r="N20" i="3"/>
  <c r="U20" i="3" s="1"/>
  <c r="T8" i="3"/>
  <c r="N8" i="3"/>
  <c r="U8" i="3" s="1"/>
  <c r="T18" i="3"/>
  <c r="N18" i="3"/>
  <c r="U18" i="3" s="1"/>
  <c r="K21" i="3"/>
  <c r="L4" i="3"/>
  <c r="L21" i="3" s="1"/>
  <c r="T6" i="3"/>
  <c r="N6" i="3"/>
  <c r="U6" i="3" s="1"/>
  <c r="T17" i="3"/>
  <c r="N17" i="3"/>
  <c r="U17" i="3" s="1"/>
  <c r="T5" i="3"/>
  <c r="N5" i="3"/>
  <c r="U5" i="3" s="1"/>
  <c r="T11" i="3"/>
  <c r="N11" i="3"/>
  <c r="U11" i="3" s="1"/>
  <c r="T19" i="3"/>
  <c r="N19" i="3"/>
  <c r="U19" i="3" s="1"/>
  <c r="T12" i="3"/>
  <c r="N12" i="3"/>
  <c r="U12" i="3" s="1"/>
  <c r="T13" i="3"/>
  <c r="N13" i="3"/>
  <c r="U13" i="3" s="1"/>
  <c r="T10" i="3"/>
  <c r="N10" i="3"/>
  <c r="U10" i="3" s="1"/>
  <c r="T9" i="3"/>
  <c r="N9" i="3"/>
  <c r="U9" i="3" s="1"/>
  <c r="T14" i="3"/>
  <c r="N14" i="3"/>
  <c r="U14" i="3" s="1"/>
  <c r="T15" i="3"/>
  <c r="N15" i="3"/>
  <c r="U15" i="3" s="1"/>
  <c r="T16" i="3"/>
  <c r="N16" i="3"/>
  <c r="U16" i="3" s="1"/>
  <c r="T7" i="3"/>
  <c r="N7" i="3"/>
  <c r="U7" i="3" s="1"/>
  <c r="N4" i="3" l="1"/>
  <c r="T4" i="3"/>
  <c r="T21" i="3" s="1"/>
  <c r="U4" i="3" l="1"/>
  <c r="U21" i="3" s="1"/>
  <c r="N2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Gu</author>
  </authors>
  <commentList>
    <comment ref="D4" authorId="0" shapeId="0" xr:uid="{00000000-0006-0000-0100-000001000000}">
      <text>
        <r>
          <rPr>
            <b/>
            <sz val="10"/>
            <color rgb="FF000000"/>
            <rFont val="Tahoma"/>
            <family val="2"/>
          </rPr>
          <t>John Gu:</t>
        </r>
        <r>
          <rPr>
            <sz val="10"/>
            <color rgb="FF000000"/>
            <rFont val="Tahoma"/>
            <family val="2"/>
          </rPr>
          <t xml:space="preserve">
</t>
        </r>
        <r>
          <rPr>
            <sz val="10"/>
            <color rgb="FF000000"/>
            <rFont val="Tahoma"/>
            <family val="2"/>
          </rPr>
          <t>Gallup Poll</t>
        </r>
      </text>
    </comment>
    <comment ref="E4" authorId="0" shapeId="0" xr:uid="{00000000-0006-0000-0100-000002000000}">
      <text>
        <r>
          <rPr>
            <b/>
            <sz val="10"/>
            <color rgb="FF000000"/>
            <rFont val="Tahoma"/>
            <family val="2"/>
          </rPr>
          <t>John Gu:</t>
        </r>
        <r>
          <rPr>
            <sz val="10"/>
            <color rgb="FF000000"/>
            <rFont val="Tahoma"/>
            <family val="2"/>
          </rPr>
          <t xml:space="preserve">
</t>
        </r>
        <r>
          <rPr>
            <sz val="10"/>
            <color rgb="FF000000"/>
            <rFont val="Tahoma"/>
            <family val="2"/>
          </rPr>
          <t>Global workforce Analytics</t>
        </r>
      </text>
    </comment>
    <comment ref="H7" authorId="0" shapeId="0" xr:uid="{7D7A6C72-2B30-6F49-A309-E9BD9A212FF7}">
      <text>
        <r>
          <rPr>
            <b/>
            <sz val="10"/>
            <color rgb="FF000000"/>
            <rFont val="Tahoma"/>
            <family val="2"/>
          </rPr>
          <t>John Gu:</t>
        </r>
        <r>
          <rPr>
            <sz val="10"/>
            <color rgb="FF000000"/>
            <rFont val="Tahoma"/>
            <family val="2"/>
          </rPr>
          <t xml:space="preserve">
</t>
        </r>
        <r>
          <rPr>
            <sz val="10"/>
            <color rgb="FF000000"/>
            <rFont val="Tahoma"/>
            <family val="2"/>
          </rPr>
          <t xml:space="preserve">Based on BLS data
</t>
        </r>
      </text>
    </comment>
  </commentList>
</comments>
</file>

<file path=xl/sharedStrings.xml><?xml version="1.0" encoding="utf-8"?>
<sst xmlns="http://schemas.openxmlformats.org/spreadsheetml/2006/main" count="2456" uniqueCount="1081">
  <si>
    <t>Legend</t>
  </si>
  <si>
    <t>Input</t>
  </si>
  <si>
    <t>Calculation</t>
  </si>
  <si>
    <t>General Inputs/Assumptions</t>
  </si>
  <si>
    <t>Assumptions</t>
  </si>
  <si>
    <t>Notes</t>
  </si>
  <si>
    <t>Sources</t>
  </si>
  <si>
    <t>% of Total Telecommuters</t>
  </si>
  <si>
    <t>Gallup Poll Study</t>
  </si>
  <si>
    <t>https://news.gallup.com/poll/184649/telecommuting-work-climbs.aspx</t>
  </si>
  <si>
    <t>% of Frequent Telecommuters</t>
  </si>
  <si>
    <t>Telecommutes more than 50%</t>
  </si>
  <si>
    <t>https://www.workflexibility.org/state-of-telecommuting-us-2017/</t>
  </si>
  <si>
    <t>% of Self Employed (Unincorporated, Non-Agr)</t>
  </si>
  <si>
    <t>BLS data</t>
  </si>
  <si>
    <t>https://www.bls.gov/</t>
  </si>
  <si>
    <t>% of Self Employed (Incorporated)</t>
  </si>
  <si>
    <t>Based on a 2009 BLS report</t>
  </si>
  <si>
    <t>https://www.bls.gov/opub/mlr/2010/09/art2full.pdf</t>
  </si>
  <si>
    <t>% at Desk Jobs</t>
  </si>
  <si>
    <t>Based on ALL US occupations</t>
  </si>
  <si>
    <t xml:space="preserve">Average Price </t>
  </si>
  <si>
    <t>Mid-Tier Subscription per year</t>
  </si>
  <si>
    <t>Share of Market %</t>
  </si>
  <si>
    <t>Will be based on Survey Data of frequent telecommuters &amp; the self employeed</t>
  </si>
  <si>
    <t>% of Agriculture Jobs/Total (US)</t>
  </si>
  <si>
    <t>% of Self Employed (Unincorporated, Total)</t>
  </si>
  <si>
    <t>Other Souces/Links</t>
  </si>
  <si>
    <t>http://globalworkplaceanalytics.com/telecommuting-statistics</t>
  </si>
  <si>
    <t>https://www.economist.com/content/big-mac-index</t>
  </si>
  <si>
    <t>https://www.cia.gov/library/publications/the-world-factbook/</t>
  </si>
  <si>
    <t>Telecommuters</t>
  </si>
  <si>
    <t>Self-Employed</t>
  </si>
  <si>
    <t>Share of Market</t>
  </si>
  <si>
    <t>Pricing</t>
  </si>
  <si>
    <t>TAM/SOM ($)</t>
  </si>
  <si>
    <r>
      <t xml:space="preserve">Country </t>
    </r>
    <r>
      <rPr>
        <vertAlign val="superscript"/>
        <sz val="12"/>
        <color theme="1"/>
        <rFont val="Calibri (Body)"/>
      </rPr>
      <t>1</t>
    </r>
  </si>
  <si>
    <r>
      <t xml:space="preserve">Employed </t>
    </r>
    <r>
      <rPr>
        <b/>
        <vertAlign val="superscript"/>
        <sz val="8"/>
        <color theme="1"/>
        <rFont val="Calibri (Body)"/>
      </rPr>
      <t xml:space="preserve"> </t>
    </r>
    <r>
      <rPr>
        <b/>
        <vertAlign val="superscript"/>
        <sz val="12"/>
        <color theme="1"/>
        <rFont val="Calibri (Body)"/>
      </rPr>
      <t>2</t>
    </r>
  </si>
  <si>
    <t>% that Telecommute</t>
  </si>
  <si>
    <r>
      <t>Frequent Telecommuters %</t>
    </r>
    <r>
      <rPr>
        <vertAlign val="superscript"/>
        <sz val="12"/>
        <color theme="1"/>
        <rFont val="Calibri (Body)"/>
      </rPr>
      <t xml:space="preserve"> 3</t>
    </r>
  </si>
  <si>
    <t>Total Telecommuters</t>
  </si>
  <si>
    <t>Frequent Telecommuters (A)</t>
  </si>
  <si>
    <r>
      <t xml:space="preserve">Total Self Employed, 
non-Agriculture </t>
    </r>
    <r>
      <rPr>
        <vertAlign val="superscript"/>
        <sz val="12"/>
        <color theme="1"/>
        <rFont val="Calibri (Body)"/>
      </rPr>
      <t>4</t>
    </r>
  </si>
  <si>
    <r>
      <t xml:space="preserve">% at Desk Jobs </t>
    </r>
    <r>
      <rPr>
        <vertAlign val="superscript"/>
        <sz val="12"/>
        <color theme="1"/>
        <rFont val="Calibri (Body)"/>
      </rPr>
      <t>5</t>
    </r>
  </si>
  <si>
    <r>
      <t xml:space="preserve">Self-employed with desk jobs </t>
    </r>
    <r>
      <rPr>
        <vertAlign val="superscript"/>
        <sz val="12"/>
        <color theme="1"/>
        <rFont val="Calibri (Body)"/>
      </rPr>
      <t>6</t>
    </r>
    <r>
      <rPr>
        <sz val="12"/>
        <color theme="1"/>
        <rFont val="Calibri"/>
        <family val="2"/>
        <scheme val="minor"/>
      </rPr>
      <t xml:space="preserve">
(B)</t>
    </r>
  </si>
  <si>
    <t>Total Available customers (A+B)</t>
  </si>
  <si>
    <t>% SOM</t>
  </si>
  <si>
    <t>Customers 
( C )</t>
  </si>
  <si>
    <t>Average Price</t>
  </si>
  <si>
    <r>
      <t xml:space="preserve">PPP </t>
    </r>
    <r>
      <rPr>
        <vertAlign val="superscript"/>
        <sz val="12"/>
        <color theme="1"/>
        <rFont val="Calibri (Body)"/>
      </rPr>
      <t>7</t>
    </r>
  </si>
  <si>
    <t>Adjusted average Price
 (D)</t>
  </si>
  <si>
    <t>Total Addressable Market
 (A +B) x (D)</t>
  </si>
  <si>
    <t>Total Share of Market 
(C x D)</t>
  </si>
  <si>
    <t>China</t>
  </si>
  <si>
    <t>India</t>
  </si>
  <si>
    <t>European Union</t>
  </si>
  <si>
    <t>United States</t>
  </si>
  <si>
    <t>Indonesia</t>
  </si>
  <si>
    <t>Brazil</t>
  </si>
  <si>
    <t>Russia</t>
  </si>
  <si>
    <t>Japan</t>
  </si>
  <si>
    <t>Mexico</t>
  </si>
  <si>
    <t>Turkey</t>
  </si>
  <si>
    <t>Korea, South</t>
  </si>
  <si>
    <t>Colombia</t>
  </si>
  <si>
    <t>Canada</t>
  </si>
  <si>
    <t>Argentina</t>
  </si>
  <si>
    <t>South Africa</t>
  </si>
  <si>
    <t>Australia</t>
  </si>
  <si>
    <t>Saudi Arabia</t>
  </si>
  <si>
    <t>TOTAL</t>
  </si>
  <si>
    <t>Methodology:</t>
  </si>
  <si>
    <t>1)  Selected G20 Nations, the entire EU, Columbia &amp; Austrailia</t>
  </si>
  <si>
    <t>2)  Sourced Total Labor Force and Unemployment Rate to Calculate Employees by Country</t>
  </si>
  <si>
    <t>3)  2.8% of Employees Telecommute greater than 50% of the time (excludes Self-employed, freelancers)</t>
  </si>
  <si>
    <t>4)  Used Self-Employment rates via the World Bank and subtracted % of Employees in the Agriculture industry</t>
  </si>
  <si>
    <t>5)  % of Desk Jobs estimated based on Bureau of Labor Statistis Occupation statistics</t>
  </si>
  <si>
    <t>6)  Self-employeed x % at desk jobs = Self-employeed with Desk Jobs</t>
  </si>
  <si>
    <t>7)  PPP - Purchasing Power Parity.  Reflects the relative costs of goods across the world.  Used The Economist, Big Mac Index.</t>
  </si>
  <si>
    <t>8) Nominal Values Used</t>
  </si>
  <si>
    <t>Labor Force</t>
  </si>
  <si>
    <t>Unemployment Rate</t>
  </si>
  <si>
    <t>Employees</t>
  </si>
  <si>
    <t>Bangladesh</t>
  </si>
  <si>
    <t>Pakistan</t>
  </si>
  <si>
    <t>Nigeria</t>
  </si>
  <si>
    <t>Vietnam</t>
  </si>
  <si>
    <t>Ethiopia</t>
  </si>
  <si>
    <t>Germany</t>
  </si>
  <si>
    <t>Philippines</t>
  </si>
  <si>
    <t>Thailand</t>
  </si>
  <si>
    <t>United Kingdom</t>
  </si>
  <si>
    <t>Congo</t>
  </si>
  <si>
    <t>France</t>
  </si>
  <si>
    <t>Iran</t>
  </si>
  <si>
    <t>Egypt</t>
  </si>
  <si>
    <t>Italy</t>
  </si>
  <si>
    <t>Tanzania</t>
  </si>
  <si>
    <t>Spain</t>
  </si>
  <si>
    <t>Burma</t>
  </si>
  <si>
    <t>Uganda</t>
  </si>
  <si>
    <t>Kenya</t>
  </si>
  <si>
    <t>Uzbekistan</t>
  </si>
  <si>
    <t>Ukraine</t>
  </si>
  <si>
    <t>Poland</t>
  </si>
  <si>
    <t>Peru</t>
  </si>
  <si>
    <t>Nepal</t>
  </si>
  <si>
    <t>Malaysia</t>
  </si>
  <si>
    <t>Venezuela</t>
  </si>
  <si>
    <t>Korea, North</t>
  </si>
  <si>
    <t>Madagascar</t>
  </si>
  <si>
    <t>Mozambique</t>
  </si>
  <si>
    <t>Angola</t>
  </si>
  <si>
    <t>Ghana</t>
  </si>
  <si>
    <t>Morocco</t>
  </si>
  <si>
    <t>Sudan</t>
  </si>
  <si>
    <t>CIA Fact Book</t>
  </si>
  <si>
    <t>Cocos (Keeling) Islands</t>
  </si>
  <si>
    <t>Cambodia</t>
  </si>
  <si>
    <t>Qatar</t>
  </si>
  <si>
    <t>Gibraltar</t>
  </si>
  <si>
    <t>Benin</t>
  </si>
  <si>
    <t>Belarus</t>
  </si>
  <si>
    <t>Tonga</t>
  </si>
  <si>
    <t>Guernsey</t>
  </si>
  <si>
    <t>Laos</t>
  </si>
  <si>
    <t>Palau</t>
  </si>
  <si>
    <t>Vanuatu</t>
  </si>
  <si>
    <t>Monaco</t>
  </si>
  <si>
    <t>Macau</t>
  </si>
  <si>
    <t>Kuwait</t>
  </si>
  <si>
    <t>Cuba</t>
  </si>
  <si>
    <t>Singapore</t>
  </si>
  <si>
    <t>Guatemala</t>
  </si>
  <si>
    <t>Liechtenstein</t>
  </si>
  <si>
    <t>Tajikistan</t>
  </si>
  <si>
    <t>Papua New Guinea</t>
  </si>
  <si>
    <t>Hong Kong</t>
  </si>
  <si>
    <t>Niger</t>
  </si>
  <si>
    <t>Isle of Man</t>
  </si>
  <si>
    <t>Rwanda</t>
  </si>
  <si>
    <t>Liberia</t>
  </si>
  <si>
    <t>Iceland</t>
  </si>
  <si>
    <t>Guinea</t>
  </si>
  <si>
    <t>Faroe Islands</t>
  </si>
  <si>
    <t>Czechia</t>
  </si>
  <si>
    <t>Seychelles</t>
  </si>
  <si>
    <t>Switzerland</t>
  </si>
  <si>
    <t>Bhutan</t>
  </si>
  <si>
    <t>United Arab Emirates</t>
  </si>
  <si>
    <t>Andorra</t>
  </si>
  <si>
    <t>Bahrain</t>
  </si>
  <si>
    <t>Taiwan</t>
  </si>
  <si>
    <t>Jersey</t>
  </si>
  <si>
    <t>Cayman Islands</t>
  </si>
  <si>
    <t>Sri Lanka</t>
  </si>
  <si>
    <t>Norway</t>
  </si>
  <si>
    <t>Bolivia</t>
  </si>
  <si>
    <t>Falkland Islands (Islas Malvinas)</t>
  </si>
  <si>
    <t>Trinidad and Tobago</t>
  </si>
  <si>
    <t>Israel</t>
  </si>
  <si>
    <t>Cameroon</t>
  </si>
  <si>
    <t>Moldova</t>
  </si>
  <si>
    <t>Malta</t>
  </si>
  <si>
    <t>Timor-Leste</t>
  </si>
  <si>
    <t>Hungary</t>
  </si>
  <si>
    <t>Saint Kitts and Nevis</t>
  </si>
  <si>
    <t>New Zealand</t>
  </si>
  <si>
    <t>Kazakhstan</t>
  </si>
  <si>
    <t>Ecuador</t>
  </si>
  <si>
    <t>Netherlands</t>
  </si>
  <si>
    <t>Romania</t>
  </si>
  <si>
    <t>Austria</t>
  </si>
  <si>
    <t>Panama</t>
  </si>
  <si>
    <t>Fiji</t>
  </si>
  <si>
    <t>Dominican Republic</t>
  </si>
  <si>
    <t>Denmark</t>
  </si>
  <si>
    <t>Luxembourg</t>
  </si>
  <si>
    <t>Honduras</t>
  </si>
  <si>
    <t>Montserrat</t>
  </si>
  <si>
    <t>Azerbaijan</t>
  </si>
  <si>
    <t>Ireland</t>
  </si>
  <si>
    <t>Nicaragua</t>
  </si>
  <si>
    <t>Paraguay</t>
  </si>
  <si>
    <t>Comoros</t>
  </si>
  <si>
    <t>Bulgaria</t>
  </si>
  <si>
    <t>Sweden</t>
  </si>
  <si>
    <t>Slovenia</t>
  </si>
  <si>
    <t>Togo</t>
  </si>
  <si>
    <t>Brunei</t>
  </si>
  <si>
    <t>Aruba</t>
  </si>
  <si>
    <t>Mauritius</t>
  </si>
  <si>
    <t>Lithuania</t>
  </si>
  <si>
    <t>Chile</t>
  </si>
  <si>
    <t>El Salvador</t>
  </si>
  <si>
    <t>Uruguay</t>
  </si>
  <si>
    <t>Kyrgyzstan</t>
  </si>
  <si>
    <t>Belgium</t>
  </si>
  <si>
    <t>Mongolia</t>
  </si>
  <si>
    <t>Central African Republic</t>
  </si>
  <si>
    <t>San Marino</t>
  </si>
  <si>
    <t>Anguilla</t>
  </si>
  <si>
    <t>Costa Rica</t>
  </si>
  <si>
    <t>Slovakia</t>
  </si>
  <si>
    <t>Mali</t>
  </si>
  <si>
    <t>Estonia</t>
  </si>
  <si>
    <t>Guam</t>
  </si>
  <si>
    <t>Eritrea</t>
  </si>
  <si>
    <t>Equatorial Guinea</t>
  </si>
  <si>
    <t>Finland</t>
  </si>
  <si>
    <t>British Virgin Islands</t>
  </si>
  <si>
    <t>Wallis and Futuna</t>
  </si>
  <si>
    <t>Latvia</t>
  </si>
  <si>
    <t>Cabo Verde</t>
  </si>
  <si>
    <t>Bermuda</t>
  </si>
  <si>
    <t>Suriname</t>
  </si>
  <si>
    <t>Sierra Leone</t>
  </si>
  <si>
    <t>Greenland</t>
  </si>
  <si>
    <t>Cote d'Ivoire</t>
  </si>
  <si>
    <t>Portugal</t>
  </si>
  <si>
    <t>Barbados</t>
  </si>
  <si>
    <t>Saint Pierre and Miquelon</t>
  </si>
  <si>
    <t>Turks and Caicos Islands</t>
  </si>
  <si>
    <t>Bahamas, The</t>
  </si>
  <si>
    <t>Belize</t>
  </si>
  <si>
    <t>Turkmenistan</t>
  </si>
  <si>
    <t>Antigua and Barbuda</t>
  </si>
  <si>
    <t>Guyana</t>
  </si>
  <si>
    <t>Northern Mariana Islands</t>
  </si>
  <si>
    <t>Georgia</t>
  </si>
  <si>
    <t>Puerto Rico</t>
  </si>
  <si>
    <t>Maldives</t>
  </si>
  <si>
    <t>Mauritania</t>
  </si>
  <si>
    <t>Algeria</t>
  </si>
  <si>
    <t>Cyprus</t>
  </si>
  <si>
    <t>Niue</t>
  </si>
  <si>
    <t>Sint Maarten</t>
  </si>
  <si>
    <t>Sao Tome and Principe</t>
  </si>
  <si>
    <t>Jamaica</t>
  </si>
  <si>
    <t>Virgin Islands</t>
  </si>
  <si>
    <t>Tunisia</t>
  </si>
  <si>
    <t>Curacao</t>
  </si>
  <si>
    <t>Cook Islands</t>
  </si>
  <si>
    <t>Croatia</t>
  </si>
  <si>
    <t>Saint Helena, Ascension, and Tristan da Cunha</t>
  </si>
  <si>
    <t>Albania</t>
  </si>
  <si>
    <t>New Caledonia</t>
  </si>
  <si>
    <t>Oman</t>
  </si>
  <si>
    <t>Zambia</t>
  </si>
  <si>
    <t>Serbia</t>
  </si>
  <si>
    <t>Iraq</t>
  </si>
  <si>
    <t>Micronesia, Federated States of</t>
  </si>
  <si>
    <t>Jordan</t>
  </si>
  <si>
    <t>Montenegro</t>
  </si>
  <si>
    <t>Saint Vincent and the Grenadines</t>
  </si>
  <si>
    <t>Armenia</t>
  </si>
  <si>
    <t>Saint Lucia</t>
  </si>
  <si>
    <t>Botswana</t>
  </si>
  <si>
    <t>Malawi</t>
  </si>
  <si>
    <t>Bosnia and Herzegovina</t>
  </si>
  <si>
    <t>French Polynesia</t>
  </si>
  <si>
    <t>Greece</t>
  </si>
  <si>
    <t>Nauru</t>
  </si>
  <si>
    <t>Dominica</t>
  </si>
  <si>
    <t>Macedonia</t>
  </si>
  <si>
    <t>Gaza Strip</t>
  </si>
  <si>
    <t>West Bank</t>
  </si>
  <si>
    <t>Yemen</t>
  </si>
  <si>
    <t>Swaziland</t>
  </si>
  <si>
    <t>Gabon</t>
  </si>
  <si>
    <t>Namibia</t>
  </si>
  <si>
    <t>Lesotho</t>
  </si>
  <si>
    <t>American Samoa</t>
  </si>
  <si>
    <t>Libya</t>
  </si>
  <si>
    <t>Kiribati</t>
  </si>
  <si>
    <t>Grenada</t>
  </si>
  <si>
    <t>Kosovo</t>
  </si>
  <si>
    <t>Afghanistan</t>
  </si>
  <si>
    <t>Marshall Islands</t>
  </si>
  <si>
    <t>Haiti</t>
  </si>
  <si>
    <t>Senegal</t>
  </si>
  <si>
    <t>Syria</t>
  </si>
  <si>
    <t>Djibouti</t>
  </si>
  <si>
    <t>Burkina Faso</t>
  </si>
  <si>
    <t>Zimbabwe</t>
  </si>
  <si>
    <t>Data Source</t>
  </si>
  <si>
    <t>https://data.worldbank.org/</t>
  </si>
  <si>
    <t>Last Updated Date</t>
  </si>
  <si>
    <t>Country Name</t>
  </si>
  <si>
    <t>% Self Employeed</t>
  </si>
  <si>
    <t>% Argriculture</t>
  </si>
  <si>
    <t>Self Employment less Agriculture</t>
  </si>
  <si>
    <t>Arab World</t>
  </si>
  <si>
    <t>Burundi</t>
  </si>
  <si>
    <t>Brunei Darussalam</t>
  </si>
  <si>
    <t>Central Europe and the Baltics</t>
  </si>
  <si>
    <t>Channel Islands</t>
  </si>
  <si>
    <t>Congo, Dem. Rep.</t>
  </si>
  <si>
    <t>Congo, Rep.</t>
  </si>
  <si>
    <t>Caribbean small states</t>
  </si>
  <si>
    <t>Czech Republic</t>
  </si>
  <si>
    <t>East Asia &amp; Pacific (excluding high income)</t>
  </si>
  <si>
    <t>Early-demographic dividend</t>
  </si>
  <si>
    <t>East Asia &amp; Pacific</t>
  </si>
  <si>
    <t>Europe &amp; Central Asia (excluding high income)</t>
  </si>
  <si>
    <t>Europe &amp; Central Asia</t>
  </si>
  <si>
    <t>Euro area</t>
  </si>
  <si>
    <t>Fragile and conflict affected situations</t>
  </si>
  <si>
    <t>Micronesia, Fed. Sts.</t>
  </si>
  <si>
    <t>Gambia, The</t>
  </si>
  <si>
    <t>Guinea-Bissau</t>
  </si>
  <si>
    <t>High income</t>
  </si>
  <si>
    <t>Hong Kong SAR, China</t>
  </si>
  <si>
    <t>Heavily indebted poor countries (HIPC)</t>
  </si>
  <si>
    <t>IBRD only</t>
  </si>
  <si>
    <t>IDA &amp; IBRD total</t>
  </si>
  <si>
    <t>IDA total</t>
  </si>
  <si>
    <t>IDA blend</t>
  </si>
  <si>
    <t>IDA only</t>
  </si>
  <si>
    <t>Not classified</t>
  </si>
  <si>
    <t>Kyrgyz Republic</t>
  </si>
  <si>
    <t>St. Kitts and Nevis</t>
  </si>
  <si>
    <t>Latin America &amp; Caribbean (excluding high income)</t>
  </si>
  <si>
    <t>Lao PDR</t>
  </si>
  <si>
    <t>Lebanon</t>
  </si>
  <si>
    <t>St. Lucia</t>
  </si>
  <si>
    <t>Latin America &amp; Caribbean</t>
  </si>
  <si>
    <t>Least developed countries: UN classification</t>
  </si>
  <si>
    <t>Low income</t>
  </si>
  <si>
    <t>Lower middle income</t>
  </si>
  <si>
    <t>Low &amp; middle income</t>
  </si>
  <si>
    <t>Late-demographic dividend</t>
  </si>
  <si>
    <t>Macao SAR, China</t>
  </si>
  <si>
    <t>St. Martin (French part)</t>
  </si>
  <si>
    <t>Middle East &amp; North Africa</t>
  </si>
  <si>
    <t>Middle income</t>
  </si>
  <si>
    <t>Macedonia, FYR</t>
  </si>
  <si>
    <t>Myanmar</t>
  </si>
  <si>
    <t>Middle East &amp; North Africa (excluding high income)</t>
  </si>
  <si>
    <t>North America</t>
  </si>
  <si>
    <t>OECD members</t>
  </si>
  <si>
    <t>Other small states</t>
  </si>
  <si>
    <t>Pre-demographic dividend</t>
  </si>
  <si>
    <t>Korea, Dem. People’s Rep.</t>
  </si>
  <si>
    <t>West Bank and Gaza</t>
  </si>
  <si>
    <t>Pacific island small states</t>
  </si>
  <si>
    <t>Post-demographic dividend</t>
  </si>
  <si>
    <t>South Asia</t>
  </si>
  <si>
    <t>Solomon Islands</t>
  </si>
  <si>
    <t>Somalia</t>
  </si>
  <si>
    <t>Sub-Saharan Africa (excluding high income)</t>
  </si>
  <si>
    <t>South Sudan</t>
  </si>
  <si>
    <t>Sub-Saharan Africa</t>
  </si>
  <si>
    <t>Small states</t>
  </si>
  <si>
    <t>Slovak Republic</t>
  </si>
  <si>
    <t>Sint Maarten (Dutch part)</t>
  </si>
  <si>
    <t>Syrian Arab Republic</t>
  </si>
  <si>
    <t>Chad</t>
  </si>
  <si>
    <t>East Asia &amp; Pacific (IDA &amp; IBRD countries)</t>
  </si>
  <si>
    <t>Europe &amp; Central Asia (IDA &amp; IBRD countries)</t>
  </si>
  <si>
    <t>Latin America &amp; the Caribbean (IDA &amp; IBRD countries)</t>
  </si>
  <si>
    <t>Middle East &amp; North Africa (IDA &amp; IBRD countries)</t>
  </si>
  <si>
    <t>South Asia (IDA &amp; IBRD)</t>
  </si>
  <si>
    <t>Sub-Saharan Africa (IDA &amp; IBRD countries)</t>
  </si>
  <si>
    <t>Tuvalu</t>
  </si>
  <si>
    <t>Upper middle income</t>
  </si>
  <si>
    <t>St. Vincent and the Grenadines</t>
  </si>
  <si>
    <t>Virgin Islands (U.S.)</t>
  </si>
  <si>
    <t>World</t>
  </si>
  <si>
    <t>Samoa</t>
  </si>
  <si>
    <t>Yemen, Rep.</t>
  </si>
  <si>
    <t>HOUSEHOLD DATA
ANNUAL AVERAGES
11.  Employed persons by detailed occupation, sex, race, and Hispanic or Latino ethnicity</t>
  </si>
  <si>
    <t>[Numbers in thousands]</t>
  </si>
  <si>
    <t/>
  </si>
  <si>
    <t>Occupation</t>
  </si>
  <si>
    <t>2017</t>
  </si>
  <si>
    <t>Total
employed</t>
  </si>
  <si>
    <t>Percent of total employed</t>
  </si>
  <si>
    <t>Women</t>
  </si>
  <si>
    <t>White</t>
  </si>
  <si>
    <t>Black or
African
American</t>
  </si>
  <si>
    <t>Asian</t>
  </si>
  <si>
    <t>Hispanic
or Latino</t>
  </si>
  <si>
    <t>Total, 16 years and over</t>
  </si>
  <si>
    <t>Management, professional, and related occupations</t>
  </si>
  <si>
    <t>Management, business, and financial operations occupations</t>
  </si>
  <si>
    <t>Management occupations</t>
  </si>
  <si>
    <t>Chief executives</t>
  </si>
  <si>
    <t>General and operations managers</t>
  </si>
  <si>
    <t>Legislators</t>
  </si>
  <si>
    <t>–</t>
  </si>
  <si>
    <t>Advertising and promotions managers</t>
  </si>
  <si>
    <t>Marketing and sales managers</t>
  </si>
  <si>
    <t>Public relations and fundraising managers</t>
  </si>
  <si>
    <t>Administrative services managers</t>
  </si>
  <si>
    <t>Computer and information systems managers</t>
  </si>
  <si>
    <t>Financial managers</t>
  </si>
  <si>
    <t>Compensation and benefits managers</t>
  </si>
  <si>
    <t>Human resources managers</t>
  </si>
  <si>
    <t>Training and development managers</t>
  </si>
  <si>
    <t>Industrial production managers</t>
  </si>
  <si>
    <t>Purchasing managers</t>
  </si>
  <si>
    <t>Transportation, storage, and distribution managers</t>
  </si>
  <si>
    <t>Farmers, ranchers, and other agricultural managers</t>
  </si>
  <si>
    <t>Construction managers</t>
  </si>
  <si>
    <t>Education administrators</t>
  </si>
  <si>
    <t>Architectural and engineering managers</t>
  </si>
  <si>
    <t>Food service managers</t>
  </si>
  <si>
    <t>Funeral service managers</t>
  </si>
  <si>
    <t>Gaming managers</t>
  </si>
  <si>
    <t>Lodging managers</t>
  </si>
  <si>
    <t>Medical and health services managers</t>
  </si>
  <si>
    <t>Natural sciences managers</t>
  </si>
  <si>
    <t>Postmasters and mail superintendents</t>
  </si>
  <si>
    <t>Property, real estate, and community association managers</t>
  </si>
  <si>
    <t>Social and community service managers</t>
  </si>
  <si>
    <t>Emergency management directors</t>
  </si>
  <si>
    <t>Managers, all other</t>
  </si>
  <si>
    <t>Business and financial operations occupations</t>
  </si>
  <si>
    <t>Agents and business managers of artists, performers, and athletes</t>
  </si>
  <si>
    <t>Buyers and purchasing agents, farm products</t>
  </si>
  <si>
    <t>Wholesale and retail buyers, except farm products</t>
  </si>
  <si>
    <t>Purchasing agents, except wholesale, retail, and farm products</t>
  </si>
  <si>
    <t>Claims adjusters, appraisers, examiners, and investigators</t>
  </si>
  <si>
    <t>Compliance officers</t>
  </si>
  <si>
    <t>Cost estimators</t>
  </si>
  <si>
    <t>Human resources workers</t>
  </si>
  <si>
    <t>Compensation, benefits, and job analysis specialists</t>
  </si>
  <si>
    <t>Training and development specialists</t>
  </si>
  <si>
    <t>Logisticians</t>
  </si>
  <si>
    <t>Management analysts</t>
  </si>
  <si>
    <t>Meeting, convention, and event planners</t>
  </si>
  <si>
    <t>Fundraisers</t>
  </si>
  <si>
    <t>Market research analysts and marketing specialists</t>
  </si>
  <si>
    <t>Business operations specialists, all other</t>
  </si>
  <si>
    <t>Accountants and auditors</t>
  </si>
  <si>
    <t>Appraisers and assessors of real estate</t>
  </si>
  <si>
    <t>Budget analysts</t>
  </si>
  <si>
    <t>Credit analysts</t>
  </si>
  <si>
    <t>Financial analysts</t>
  </si>
  <si>
    <t>Personal financial advisors</t>
  </si>
  <si>
    <t>Insurance underwriters</t>
  </si>
  <si>
    <t>Financial examiners</t>
  </si>
  <si>
    <t>Credit counselors and loan officers</t>
  </si>
  <si>
    <t>Tax examiners and collectors, and revenue agents</t>
  </si>
  <si>
    <t>Tax preparers</t>
  </si>
  <si>
    <t>Financial specialists, all other</t>
  </si>
  <si>
    <t>Professional and related occupations</t>
  </si>
  <si>
    <t>Computer and mathematical occupations</t>
  </si>
  <si>
    <t>Computer and information research scientists</t>
  </si>
  <si>
    <t>Computer systems analysts</t>
  </si>
  <si>
    <t>Information security analysts</t>
  </si>
  <si>
    <t>Computer programmers</t>
  </si>
  <si>
    <t>Software developers, applications and systems software</t>
  </si>
  <si>
    <t>Web developers</t>
  </si>
  <si>
    <t>Computer support specialists</t>
  </si>
  <si>
    <t>Database administrators</t>
  </si>
  <si>
    <t>Network and computer systems administrators</t>
  </si>
  <si>
    <t>Computer network architects</t>
  </si>
  <si>
    <t>Computer occupations, all other</t>
  </si>
  <si>
    <t>Actuaries</t>
  </si>
  <si>
    <t>Mathematicians</t>
  </si>
  <si>
    <t>Operations research analysts</t>
  </si>
  <si>
    <t>Statisticians</t>
  </si>
  <si>
    <t>Miscellaneous mathematical science occupations</t>
  </si>
  <si>
    <t>Architecture and engineering occupations</t>
  </si>
  <si>
    <t>Architects, except naval</t>
  </si>
  <si>
    <t>Surveyors, cartographers, and photogrammetrists</t>
  </si>
  <si>
    <t>Aerospace engineers</t>
  </si>
  <si>
    <t>Agricultural engineers</t>
  </si>
  <si>
    <t>Biomedical engineers</t>
  </si>
  <si>
    <t>Chemical engineers</t>
  </si>
  <si>
    <t>Civil engineers</t>
  </si>
  <si>
    <t>Computer hardware engineers</t>
  </si>
  <si>
    <t>Electrical and electronics engineers</t>
  </si>
  <si>
    <t>Environmental engineers</t>
  </si>
  <si>
    <t>Industrial engineers, including health and safety</t>
  </si>
  <si>
    <t>Marine engineers and naval architects</t>
  </si>
  <si>
    <t>Materials engineers</t>
  </si>
  <si>
    <t>Mechanical engineers</t>
  </si>
  <si>
    <t>Mining and geological engineers, including mining safety engineers</t>
  </si>
  <si>
    <t>Nuclear engineers</t>
  </si>
  <si>
    <t>Petroleum engineers</t>
  </si>
  <si>
    <t>Engineers, all other</t>
  </si>
  <si>
    <t>Drafters</t>
  </si>
  <si>
    <t>Engineering technicians, except drafters</t>
  </si>
  <si>
    <t>Surveying and mapping technicians</t>
  </si>
  <si>
    <t>Life, physical, and social science occupations</t>
  </si>
  <si>
    <t>Agricultural and food scientists</t>
  </si>
  <si>
    <t>Biological scientists</t>
  </si>
  <si>
    <t>Conservation scientists and foresters</t>
  </si>
  <si>
    <t>Medical scientists</t>
  </si>
  <si>
    <t>Life scientists, all other</t>
  </si>
  <si>
    <t>Astronomers and physicists</t>
  </si>
  <si>
    <t>Atmospheric and space scientists</t>
  </si>
  <si>
    <t>Chemists and materials scientists</t>
  </si>
  <si>
    <t>Environmental scientists and geoscientists</t>
  </si>
  <si>
    <t>Physical scientists, all other</t>
  </si>
  <si>
    <t>Economists</t>
  </si>
  <si>
    <t>Survey researchers</t>
  </si>
  <si>
    <t>Psychologists</t>
  </si>
  <si>
    <t>Sociologists</t>
  </si>
  <si>
    <t>Urban and regional planners</t>
  </si>
  <si>
    <t>Miscellaneous social scientists and related workers</t>
  </si>
  <si>
    <t>Agricultural and food science technicians</t>
  </si>
  <si>
    <t>Biological technicians</t>
  </si>
  <si>
    <t>Chemical technicians</t>
  </si>
  <si>
    <t>Geological and petroleum technicians</t>
  </si>
  <si>
    <t>Nuclear technicians</t>
  </si>
  <si>
    <t>Social science research assistants</t>
  </si>
  <si>
    <t>Miscellaneous life, physical, and social science technicians</t>
  </si>
  <si>
    <t>Community and social service occupations</t>
  </si>
  <si>
    <t>Counselors</t>
  </si>
  <si>
    <t>Social workers</t>
  </si>
  <si>
    <t>Probation officers and correctional treatment specialists</t>
  </si>
  <si>
    <t>Social and human service assistants</t>
  </si>
  <si>
    <t>Miscellaneous community and social service specialists, including health educators and community health workers</t>
  </si>
  <si>
    <t>Clergy</t>
  </si>
  <si>
    <t>Directors, religious activities and education</t>
  </si>
  <si>
    <t>Religious workers, all other</t>
  </si>
  <si>
    <t>Legal occupations</t>
  </si>
  <si>
    <t>Lawyers</t>
  </si>
  <si>
    <t>Judicial law clerks</t>
  </si>
  <si>
    <t>Judges, magistrates, and other judicial workers</t>
  </si>
  <si>
    <t>Paralegals and legal assistants</t>
  </si>
  <si>
    <t>Miscellaneous legal support workers</t>
  </si>
  <si>
    <t>Education, training, and library occupations</t>
  </si>
  <si>
    <t>Postsecondary teachers</t>
  </si>
  <si>
    <t>Preschool and kindergarten teachers</t>
  </si>
  <si>
    <t>Elementary and middle school teachers</t>
  </si>
  <si>
    <t>Secondary school teachers</t>
  </si>
  <si>
    <t>Special education teachers</t>
  </si>
  <si>
    <t>Other teachers and instructors</t>
  </si>
  <si>
    <t>Archivists, curators, and museum technicians</t>
  </si>
  <si>
    <t>Librarians</t>
  </si>
  <si>
    <t>Library technicians</t>
  </si>
  <si>
    <t>Teacher assistants</t>
  </si>
  <si>
    <t>Other education, training, and library workers</t>
  </si>
  <si>
    <t>Arts, design, entertainment, sports, and media occupations</t>
  </si>
  <si>
    <t>Artists and related workers</t>
  </si>
  <si>
    <t>Designers</t>
  </si>
  <si>
    <t>Actors</t>
  </si>
  <si>
    <t>Producers and directors</t>
  </si>
  <si>
    <t>Athletes, coaches, umpires, and related workers</t>
  </si>
  <si>
    <t>Dancers and choreographers</t>
  </si>
  <si>
    <t>Musicians, singers, and related workers</t>
  </si>
  <si>
    <t>Entertainers and performers, sports and related workers, all other</t>
  </si>
  <si>
    <t>Announcers</t>
  </si>
  <si>
    <t>News analysts, reporters and correspondents</t>
  </si>
  <si>
    <t>Public relations specialists</t>
  </si>
  <si>
    <t>Editors</t>
  </si>
  <si>
    <t>Technical writers</t>
  </si>
  <si>
    <t>Writers and authors</t>
  </si>
  <si>
    <t>Miscellaneous media and communication workers</t>
  </si>
  <si>
    <t>Broadcast and sound engineering technicians and radio operators</t>
  </si>
  <si>
    <t>Photographers</t>
  </si>
  <si>
    <t>Television, video, and motion picture camera operators and editors</t>
  </si>
  <si>
    <t>Media and communication equipment workers, all other</t>
  </si>
  <si>
    <t>Healthcare practitioners and technical occupations</t>
  </si>
  <si>
    <t>Chiropractors</t>
  </si>
  <si>
    <t>Dentists</t>
  </si>
  <si>
    <t>Dietitians and nutritionists</t>
  </si>
  <si>
    <t>Optometrists</t>
  </si>
  <si>
    <t>Pharmacists</t>
  </si>
  <si>
    <t>Physicians and surgeons</t>
  </si>
  <si>
    <t>Physician assistants</t>
  </si>
  <si>
    <t>Podiatrists</t>
  </si>
  <si>
    <t>Audiologists</t>
  </si>
  <si>
    <t>Occupational therapists</t>
  </si>
  <si>
    <t>Physical therapists</t>
  </si>
  <si>
    <t>Radiation therapists</t>
  </si>
  <si>
    <t>Recreational therapists</t>
  </si>
  <si>
    <t>Respiratory therapists</t>
  </si>
  <si>
    <t>Speech-language pathologists</t>
  </si>
  <si>
    <t>Exercise physiologists</t>
  </si>
  <si>
    <t>Therapists, all other</t>
  </si>
  <si>
    <t>Veterinarians</t>
  </si>
  <si>
    <t>Registered nurses</t>
  </si>
  <si>
    <t>Nurse anesthetists</t>
  </si>
  <si>
    <t>Nurse midwives</t>
  </si>
  <si>
    <t>Nurse practitioners</t>
  </si>
  <si>
    <t>Health diagnosing and treating practitioners, all other</t>
  </si>
  <si>
    <t>Clinical laboratory technologists and technicians</t>
  </si>
  <si>
    <t>Dental hygienists</t>
  </si>
  <si>
    <t>Diagnostic related technologists and technicians</t>
  </si>
  <si>
    <t>Emergency medical technicians and paramedics</t>
  </si>
  <si>
    <t>Health practitioner support technologists and technicians</t>
  </si>
  <si>
    <t>Licensed practical and licensed vocational nurses</t>
  </si>
  <si>
    <t>Medical records and health information technicians</t>
  </si>
  <si>
    <t>Opticians, dispensing</t>
  </si>
  <si>
    <t>Miscellaneous health technologists and technicians</t>
  </si>
  <si>
    <t>Other healthcare practitioners and technical occupations</t>
  </si>
  <si>
    <t>TOTAL  SUBSET OF PROFESSIONAL AND RELATED WITH DESK JOBS</t>
  </si>
  <si>
    <t>Service occupations</t>
  </si>
  <si>
    <t>Healthcare support occupations</t>
  </si>
  <si>
    <t>Nursing, psychiatric, and home health aides</t>
  </si>
  <si>
    <t>Occupational therapy assistants and aides</t>
  </si>
  <si>
    <t>Physical therapist assistants and aides</t>
  </si>
  <si>
    <t>Massage therapists</t>
  </si>
  <si>
    <t>Dental assistants</t>
  </si>
  <si>
    <t>Medical assistants</t>
  </si>
  <si>
    <t>Medical transcriptionists</t>
  </si>
  <si>
    <t>Pharmacy aides</t>
  </si>
  <si>
    <t>Veterinary assistants and laboratory animal caretakers</t>
  </si>
  <si>
    <t>Phlebotomists</t>
  </si>
  <si>
    <t>Miscellaneous healthcare support occupations, including medical equipment preparers</t>
  </si>
  <si>
    <t>Protective service occupations</t>
  </si>
  <si>
    <t>First-line supervisors of correctional officers</t>
  </si>
  <si>
    <t>First-line supervisors of police and detectives</t>
  </si>
  <si>
    <t>First-line supervisors of fire fighting and prevention workers</t>
  </si>
  <si>
    <t>First-line supervisors of protective service workers, all other</t>
  </si>
  <si>
    <t>Firefighters</t>
  </si>
  <si>
    <t>Fire inspectors</t>
  </si>
  <si>
    <t>Bailiffs, correctional officers, and jailers</t>
  </si>
  <si>
    <t>Detectives and criminal investigators</t>
  </si>
  <si>
    <t>Fish and game wardens</t>
  </si>
  <si>
    <t>Parking enforcement workers</t>
  </si>
  <si>
    <t>Police and sheriff's patrol officers</t>
  </si>
  <si>
    <t>Transit and railroad police</t>
  </si>
  <si>
    <t>Animal control workers</t>
  </si>
  <si>
    <t>Private detectives and investigators</t>
  </si>
  <si>
    <t>Security guards and gaming surveillance officers</t>
  </si>
  <si>
    <t>Crossing guards</t>
  </si>
  <si>
    <t>Transportation security screeners</t>
  </si>
  <si>
    <t>Lifeguards and other recreational, and all other protective service workers</t>
  </si>
  <si>
    <t>Food preparation and serving related occupations</t>
  </si>
  <si>
    <t>Chefs and head cooks</t>
  </si>
  <si>
    <t>First-line supervisors of food preparation and serving workers</t>
  </si>
  <si>
    <t>Cooks</t>
  </si>
  <si>
    <t>Food preparation workers</t>
  </si>
  <si>
    <t>Bartenders</t>
  </si>
  <si>
    <t>Combined food preparation and serving workers, including fast food</t>
  </si>
  <si>
    <t>Counter attendants, cafeteria, food concession, and coffee shop</t>
  </si>
  <si>
    <t>Waiters and waitresses</t>
  </si>
  <si>
    <t>Food servers, nonrestaurant</t>
  </si>
  <si>
    <t>Dining room and cafeteria attendants and bartender helpers</t>
  </si>
  <si>
    <t>Dishwashers</t>
  </si>
  <si>
    <t>Hosts and hostesses, restaurant, lounge, and coffee shop</t>
  </si>
  <si>
    <t>Food preparation and serving related workers, all other</t>
  </si>
  <si>
    <t>Building and grounds cleaning and maintenance occupations</t>
  </si>
  <si>
    <t>First-line supervisors of housekeeping and janitorial workers</t>
  </si>
  <si>
    <t>First-line supervisors of landscaping, lawn service, and groundskeeping workers</t>
  </si>
  <si>
    <t>Janitors and building cleaners</t>
  </si>
  <si>
    <t>Maids and housekeeping cleaners</t>
  </si>
  <si>
    <t>Pest control workers</t>
  </si>
  <si>
    <t>Grounds maintenance workers</t>
  </si>
  <si>
    <t>Personal care and service occupations</t>
  </si>
  <si>
    <t>First-line supervisors of gaming workers</t>
  </si>
  <si>
    <t>First-line supervisors of personal service workers</t>
  </si>
  <si>
    <t>Animal trainers</t>
  </si>
  <si>
    <t>Nonfarm animal caretakers</t>
  </si>
  <si>
    <t>Gaming services workers</t>
  </si>
  <si>
    <t>Motion picture projectionists</t>
  </si>
  <si>
    <t>Ushers, lobby attendants, and ticket takers</t>
  </si>
  <si>
    <t>Miscellaneous entertainment attendants and related workers</t>
  </si>
  <si>
    <t>Embalmers and funeral attendants</t>
  </si>
  <si>
    <t>Morticians, undertakers, and funeral directors</t>
  </si>
  <si>
    <t>Barbers</t>
  </si>
  <si>
    <t>Hairdressers, hairstylists, and cosmetologists</t>
  </si>
  <si>
    <t>Miscellaneous personal appearance workers</t>
  </si>
  <si>
    <t>Baggage porters, bellhops, and concierges</t>
  </si>
  <si>
    <t>Tour and travel guides</t>
  </si>
  <si>
    <t>Childcare workers</t>
  </si>
  <si>
    <t>Personal care aides</t>
  </si>
  <si>
    <t>Recreation and fitness workers</t>
  </si>
  <si>
    <t>Residential advisors</t>
  </si>
  <si>
    <t>Personal care and service workers, all other</t>
  </si>
  <si>
    <t>Sales and office occupations</t>
  </si>
  <si>
    <t>Sales and related occupations</t>
  </si>
  <si>
    <t>First-line supervisors of retail sales workers</t>
  </si>
  <si>
    <t>First-line supervisors of non-retail sales workers</t>
  </si>
  <si>
    <t>Cashiers</t>
  </si>
  <si>
    <t>Counter and rental clerks</t>
  </si>
  <si>
    <t>Parts salespersons</t>
  </si>
  <si>
    <t>Retail salespersons</t>
  </si>
  <si>
    <t>Advertising sales agents</t>
  </si>
  <si>
    <t>Insurance sales agents</t>
  </si>
  <si>
    <t>Securities, commodities, and financial services sales agents</t>
  </si>
  <si>
    <t>Travel agents</t>
  </si>
  <si>
    <t>Sales representatives, services, all other</t>
  </si>
  <si>
    <t>Sales representatives, wholesale and manufacturing</t>
  </si>
  <si>
    <t>Models, demonstrators, and product promoters</t>
  </si>
  <si>
    <t>Real estate brokers and sales agents</t>
  </si>
  <si>
    <t>Sales engineers</t>
  </si>
  <si>
    <t>Telemarketers</t>
  </si>
  <si>
    <t>Door-to-door sales workers, news and street vendors, and related workers</t>
  </si>
  <si>
    <t>Sales and related workers, all other</t>
  </si>
  <si>
    <t>TOTAL  SUBSET OF SALES  AND RELATED WITH DESK JOBS</t>
  </si>
  <si>
    <t>Office and administrative support occupations</t>
  </si>
  <si>
    <t>First-line supervisors of office and administrative support workers</t>
  </si>
  <si>
    <t>Switchboard operators, including answering service</t>
  </si>
  <si>
    <t>Telephone operators</t>
  </si>
  <si>
    <t>Communications equipment operators, all other</t>
  </si>
  <si>
    <t>Bill and account collectors</t>
  </si>
  <si>
    <t>Billing and posting clerks</t>
  </si>
  <si>
    <t>Bookkeeping, accounting, and auditing clerks</t>
  </si>
  <si>
    <t>Gaming cage workers</t>
  </si>
  <si>
    <t>Payroll and timekeeping clerks</t>
  </si>
  <si>
    <t>Procurement clerks</t>
  </si>
  <si>
    <t>Tellers</t>
  </si>
  <si>
    <t>Financial clerks, all other</t>
  </si>
  <si>
    <t>Brokerage clerks</t>
  </si>
  <si>
    <t>Correspondence clerks</t>
  </si>
  <si>
    <t>Court, municipal, and license clerks</t>
  </si>
  <si>
    <t>Credit authorizers, checkers, and clerks</t>
  </si>
  <si>
    <t>Customer service representatives</t>
  </si>
  <si>
    <t>Eligibility interviewers, government programs</t>
  </si>
  <si>
    <t>File clerks</t>
  </si>
  <si>
    <t>Hotel, motel, and resort desk clerks</t>
  </si>
  <si>
    <t>Interviewers, except eligibility and loan</t>
  </si>
  <si>
    <t>Library assistants, clerical</t>
  </si>
  <si>
    <t>Loan interviewers and clerks</t>
  </si>
  <si>
    <t>New accounts clerks</t>
  </si>
  <si>
    <t>Order clerks</t>
  </si>
  <si>
    <t>Human resources assistants, except payroll and timekeeping</t>
  </si>
  <si>
    <t>Receptionists and information clerks</t>
  </si>
  <si>
    <t>Reservation and transportation ticket agents and travel clerks</t>
  </si>
  <si>
    <t>Information and record clerks, all other</t>
  </si>
  <si>
    <t>Cargo and freight agents</t>
  </si>
  <si>
    <t>Couriers and messengers</t>
  </si>
  <si>
    <t>Dispatchers</t>
  </si>
  <si>
    <t>Meter readers, utilities</t>
  </si>
  <si>
    <t>Postal service clerks</t>
  </si>
  <si>
    <t>Postal service mail carriers</t>
  </si>
  <si>
    <t>Postal service mail sorters, processors, and processing machine operators</t>
  </si>
  <si>
    <t>Production, planning, and expediting clerks</t>
  </si>
  <si>
    <t>Shipping, receiving, and traffic clerks</t>
  </si>
  <si>
    <t>Stock clerks and order fillers</t>
  </si>
  <si>
    <t>Weighers, measurers, checkers, and samplers, recordkeeping</t>
  </si>
  <si>
    <t>Secretaries and administrative assistants</t>
  </si>
  <si>
    <t>Computer operators</t>
  </si>
  <si>
    <t>Data entry keyers</t>
  </si>
  <si>
    <t>Word processors and typists</t>
  </si>
  <si>
    <t>Desktop publishers</t>
  </si>
  <si>
    <t>Insurance claims and policy processing clerks</t>
  </si>
  <si>
    <t>Mail clerks and mail machine operators, except postal service</t>
  </si>
  <si>
    <t>Office clerks, general</t>
  </si>
  <si>
    <t>Office machine operators, except computer</t>
  </si>
  <si>
    <t>Proofreaders and copy markers</t>
  </si>
  <si>
    <t>Statistical assistants</t>
  </si>
  <si>
    <t>Office and administrative support workers, all other</t>
  </si>
  <si>
    <t>TOTAL  SUBSET OF OFFICE AND ADMIN WITH DESK JOBS</t>
  </si>
  <si>
    <t>Natural resources, construction, and maintenance occupations</t>
  </si>
  <si>
    <t>Farming, fishing, and forestry occupations</t>
  </si>
  <si>
    <t>First-line supervisors of farming, fishing, and forestry workers</t>
  </si>
  <si>
    <t>Agricultural inspectors</t>
  </si>
  <si>
    <t>Animal breeders</t>
  </si>
  <si>
    <t>Graders and sorters, agricultural products</t>
  </si>
  <si>
    <t>Miscellaneous agricultural workers</t>
  </si>
  <si>
    <t>Fishers and related fishing workers</t>
  </si>
  <si>
    <t>Hunters and trappers</t>
  </si>
  <si>
    <t>Forest and conservation workers</t>
  </si>
  <si>
    <t>Logging workers</t>
  </si>
  <si>
    <t>Construction and extraction occupations</t>
  </si>
  <si>
    <t>First-line supervisors of construction trades and extraction workers</t>
  </si>
  <si>
    <t>Boilermakers</t>
  </si>
  <si>
    <t>Brickmasons, blockmasons, and stonemasons</t>
  </si>
  <si>
    <t>Carpenters</t>
  </si>
  <si>
    <t>Carpet, floor, and tile installers and finishers</t>
  </si>
  <si>
    <t>Cement masons, concrete finishers, and terrazzo workers</t>
  </si>
  <si>
    <t>Construction laborers</t>
  </si>
  <si>
    <t>Paving, surfacing, and tamping equipment operators</t>
  </si>
  <si>
    <t>Pile-driver operators</t>
  </si>
  <si>
    <t>Operating engineers and other construction equipment operators</t>
  </si>
  <si>
    <t>Drywall installers, ceiling tile installers, and tapers</t>
  </si>
  <si>
    <t>Electricians</t>
  </si>
  <si>
    <t>Glaziers</t>
  </si>
  <si>
    <t>Insulation workers</t>
  </si>
  <si>
    <t>Painters, construction and maintenance</t>
  </si>
  <si>
    <t>Paperhangers</t>
  </si>
  <si>
    <t>Pipelayers, plumbers, pipefitters, and steamfitters</t>
  </si>
  <si>
    <t>Plasterers and stucco masons</t>
  </si>
  <si>
    <t>Reinforcing iron and rebar workers</t>
  </si>
  <si>
    <t>Roofers</t>
  </si>
  <si>
    <t>Sheet metal workers</t>
  </si>
  <si>
    <t>Structural iron and steel workers</t>
  </si>
  <si>
    <t>Solar photovoltaic installers</t>
  </si>
  <si>
    <t>Helpers, construction trades</t>
  </si>
  <si>
    <t>Construction and building inspectors</t>
  </si>
  <si>
    <t>Elevator installers and repairers</t>
  </si>
  <si>
    <t>Fence erectors</t>
  </si>
  <si>
    <t>Hazardous materials removal workers</t>
  </si>
  <si>
    <t>Highway maintenance workers</t>
  </si>
  <si>
    <t>Rail-track laying and maintenance equipment operators</t>
  </si>
  <si>
    <t>Septic tank servicers and sewer pipe cleaners</t>
  </si>
  <si>
    <t>Miscellaneous construction and related workers</t>
  </si>
  <si>
    <t>Derrick, rotary drill, and service unit operators, oil, gas, and mining</t>
  </si>
  <si>
    <t>Earth drillers, except oil and gas</t>
  </si>
  <si>
    <t>Explosives workers, ordnance handling experts, and blasters</t>
  </si>
  <si>
    <t>Mining machine operators</t>
  </si>
  <si>
    <t>Roof bolters, mining</t>
  </si>
  <si>
    <t>Roustabouts, oil and gas</t>
  </si>
  <si>
    <t>Helpers--extraction workers</t>
  </si>
  <si>
    <t>Other extraction workers</t>
  </si>
  <si>
    <t>Installation, maintenance, and repair occupations</t>
  </si>
  <si>
    <t>First-line supervisors of mechanics, installers, and repairers</t>
  </si>
  <si>
    <t>Computer, automated teller, and office machine repairers</t>
  </si>
  <si>
    <t>Radio and telecommunications equipment installers and repairers</t>
  </si>
  <si>
    <t>Avionics technicians</t>
  </si>
  <si>
    <t>Electric motor, power tool, and related repairers</t>
  </si>
  <si>
    <t>Electrical and electronics installers and repairers, transportation equipment</t>
  </si>
  <si>
    <t>Electrical and electronics repairers, industrial and utility</t>
  </si>
  <si>
    <t>Electronic equipment installers and repairers, motor vehicles</t>
  </si>
  <si>
    <t>Electronic home entertainment equipment installers and repairers</t>
  </si>
  <si>
    <t>Security and fire alarm systems installers</t>
  </si>
  <si>
    <t>Aircraft mechanics and service technicians</t>
  </si>
  <si>
    <t>Automotive body and related repairers</t>
  </si>
  <si>
    <t>Automotive glass installers and repairers</t>
  </si>
  <si>
    <t>Automotive service technicians and mechanics</t>
  </si>
  <si>
    <t>Bus and truck mechanics and diesel engine specialists</t>
  </si>
  <si>
    <t>Heavy vehicle and mobile equipment service technicians and mechanics</t>
  </si>
  <si>
    <t>Small engine mechanics</t>
  </si>
  <si>
    <t>Miscellaneous vehicle and mobile equipment mechanics, installers, and   repairers</t>
  </si>
  <si>
    <t>Control and valve installers and repairers</t>
  </si>
  <si>
    <t>Heating, air conditioning, and refrigeration mechanics and installers</t>
  </si>
  <si>
    <t>Home appliance repairers</t>
  </si>
  <si>
    <t>Industrial and refractory machinery mechanics</t>
  </si>
  <si>
    <t>Maintenance and repair workers, general</t>
  </si>
  <si>
    <t>Maintenance workers, machinery</t>
  </si>
  <si>
    <t>Millwrights</t>
  </si>
  <si>
    <t>Electrical power-line installers and repairers</t>
  </si>
  <si>
    <t>Telecommunications line installers and repairers</t>
  </si>
  <si>
    <t>Precision instrument and equipment repairers</t>
  </si>
  <si>
    <t>Wind turbine service technicians</t>
  </si>
  <si>
    <t>Coin, vending, and amusement machine servicers and repairers</t>
  </si>
  <si>
    <t>Commercial divers</t>
  </si>
  <si>
    <t>Locksmiths and safe repairers</t>
  </si>
  <si>
    <t>Manufactured building and mobile home installers</t>
  </si>
  <si>
    <t>Riggers</t>
  </si>
  <si>
    <t>Signal and track switch repairers</t>
  </si>
  <si>
    <t>Helpers--installation, maintenance, and repair workers</t>
  </si>
  <si>
    <t>Other installation, maintenance, and repair workers</t>
  </si>
  <si>
    <t>Production, transportation, and material moving occupations</t>
  </si>
  <si>
    <t>Production occupations</t>
  </si>
  <si>
    <t>First-line supervisors of production and operating workers</t>
  </si>
  <si>
    <t>Aircraft structure, surfaces, rigging, and systems assemblers</t>
  </si>
  <si>
    <t>Electrical, electronics, and electromechanical assemblers</t>
  </si>
  <si>
    <t>Engine and other machine assemblers</t>
  </si>
  <si>
    <t>Structural metal fabricators and fitters</t>
  </si>
  <si>
    <t>Miscellaneous assemblers and fabricators</t>
  </si>
  <si>
    <t>Bakers</t>
  </si>
  <si>
    <t>Butchers and other meat, poultry, and fish processing workers</t>
  </si>
  <si>
    <t>Food and tobacco roasting, baking, and drying machine operators and tenders</t>
  </si>
  <si>
    <t>Food batchmakers</t>
  </si>
  <si>
    <t>Food cooking machine operators and tenders</t>
  </si>
  <si>
    <t>Food processing workers, all other</t>
  </si>
  <si>
    <t>Computer control programmers and operators</t>
  </si>
  <si>
    <t>Extruding and drawing machine setters, operators, and tenders, metal and plastic</t>
  </si>
  <si>
    <t>Forging machine setters, operators, and tenders, metal and plastic</t>
  </si>
  <si>
    <t>Rolling machine setters, operators, and tenders, metal and plastic</t>
  </si>
  <si>
    <t>Cutting, punching, and press machine setters, operators, and tenders, metal and plastic</t>
  </si>
  <si>
    <t>Drilling and boring machine tool setters, operators, and tenders, metal	and plastic</t>
  </si>
  <si>
    <t>Grinding, lapping, polishing, and buffing machine tool setters, operators, and tenders, metal and plastic</t>
  </si>
  <si>
    <t>Lathe and turning machine tool setters, operators, and tenders, metal and plastic</t>
  </si>
  <si>
    <t>Milling and planing machine setters, operators, and tenders, metal and plastic</t>
  </si>
  <si>
    <t>Machinists</t>
  </si>
  <si>
    <t>Metal furnace operators, tenders, pourers, and casters</t>
  </si>
  <si>
    <t>Model makers and patternmakers, metal and plastic</t>
  </si>
  <si>
    <t>Molders and molding machine setters, operators, and tenders, metal and plastic</t>
  </si>
  <si>
    <t>Multiple machine tool setters, operators, and tenders, metal and plastic</t>
  </si>
  <si>
    <t>Tool and die makers</t>
  </si>
  <si>
    <t>Welding, soldering, and brazing workers</t>
  </si>
  <si>
    <t>Heat treating equipment setters, operators, and tenders, metal and plastic</t>
  </si>
  <si>
    <t>Layout workers, metal and plastic</t>
  </si>
  <si>
    <t>Plating and coating machine setters, operators, and tenders, metal and plastic</t>
  </si>
  <si>
    <t>Tool grinders, filers, and sharpeners</t>
  </si>
  <si>
    <t>Metal workers and plastic workers, all other</t>
  </si>
  <si>
    <t>Prepress technicians and workers</t>
  </si>
  <si>
    <t>Printing press operators</t>
  </si>
  <si>
    <t>Print binding and finishing workers</t>
  </si>
  <si>
    <t>Laundry and dry-cleaning workers</t>
  </si>
  <si>
    <t>Pressers, textile, garment, and related materials</t>
  </si>
  <si>
    <t>Sewing machine operators</t>
  </si>
  <si>
    <t>Shoe and leather workers and repairers</t>
  </si>
  <si>
    <t>Shoe machine operators and tenders</t>
  </si>
  <si>
    <t>Tailors, dressmakers, and sewers</t>
  </si>
  <si>
    <t>Textile bleaching and dyeing machine operators and tenders</t>
  </si>
  <si>
    <t>Textile cutting machine setters, operators, and tenders</t>
  </si>
  <si>
    <t>Textile knitting and weaving machine setters, operators, and tenders</t>
  </si>
  <si>
    <t>Textile winding, twisting, and drawing out machine setters, operators, and tenders</t>
  </si>
  <si>
    <t>Extruding and forming machine setters, operators, and tenders, synthetic and glass fibers</t>
  </si>
  <si>
    <t>Fabric and apparel patternmakers</t>
  </si>
  <si>
    <t>Upholsterers</t>
  </si>
  <si>
    <t>Textile, apparel, and furnishings workers, all other</t>
  </si>
  <si>
    <t>Cabinetmakers and bench carpenters</t>
  </si>
  <si>
    <t>Furniture finishers</t>
  </si>
  <si>
    <t>Model makers and patternmakers, wood</t>
  </si>
  <si>
    <t>Sawing machine setters, operators, and tenders, wood</t>
  </si>
  <si>
    <t>Woodworking machine setters, operators, and tenders, except sawing</t>
  </si>
  <si>
    <t>Woodworkers, all other</t>
  </si>
  <si>
    <t>Power plant operators, distributors, and dispatchers</t>
  </si>
  <si>
    <t>Stationary engineers and boiler operators</t>
  </si>
  <si>
    <t>Water and wastewater treatment plant and system operators</t>
  </si>
  <si>
    <t>Miscellaneous plant and system operators</t>
  </si>
  <si>
    <t>Chemical processing machine setters, operators, and tenders</t>
  </si>
  <si>
    <t>Crushing, grinding, polishing, mixing, and blending workers</t>
  </si>
  <si>
    <t>Cutting workers</t>
  </si>
  <si>
    <t>Extruding, forming, pressing, and compacting machine setters, operators, and tenders</t>
  </si>
  <si>
    <t>Furnace, kiln, oven, drier, and kettle operators and tenders</t>
  </si>
  <si>
    <t>Inspectors, testers, sorters, samplers, and weighers</t>
  </si>
  <si>
    <t>Jewelers and precious stone and metal workers</t>
  </si>
  <si>
    <t>Medical, dental, and ophthalmic laboratory technicians</t>
  </si>
  <si>
    <t>Packaging and filling machine operators and tenders</t>
  </si>
  <si>
    <t>Painting workers</t>
  </si>
  <si>
    <t>Photographic process workers and processing machine operators</t>
  </si>
  <si>
    <t>Semiconductor processors</t>
  </si>
  <si>
    <t>Adhesive bonding machine operators and tenders</t>
  </si>
  <si>
    <t>Cleaning, washing, and metal pickling equipment operators and tenders</t>
  </si>
  <si>
    <t>Cooling and freezing equipment operators and tenders</t>
  </si>
  <si>
    <t>Etchers and engravers</t>
  </si>
  <si>
    <t>Molders, shapers, and casters, except metal and plastic</t>
  </si>
  <si>
    <t>Paper goods machine setters, operators, and tenders</t>
  </si>
  <si>
    <t>Tire builders</t>
  </si>
  <si>
    <t>Helpers--production workers</t>
  </si>
  <si>
    <t>Production workers, all other</t>
  </si>
  <si>
    <t>Transportation and material moving occupations</t>
  </si>
  <si>
    <t>Supervisors of transportation and material moving workers</t>
  </si>
  <si>
    <t>Aircraft pilots and flight engineers</t>
  </si>
  <si>
    <t>Air traffic controllers and airfield operations specialists</t>
  </si>
  <si>
    <t>Flight attendants</t>
  </si>
  <si>
    <t>Ambulance drivers and attendants, except emergency medical technicians</t>
  </si>
  <si>
    <t>Bus drivers</t>
  </si>
  <si>
    <t>Driver/sales workers and truck drivers</t>
  </si>
  <si>
    <t>Taxi drivers and chauffeurs</t>
  </si>
  <si>
    <t>Motor vehicle operators, all other</t>
  </si>
  <si>
    <t>Locomotive engineers and operators</t>
  </si>
  <si>
    <t>Railroad brake, signal, and switch operators</t>
  </si>
  <si>
    <t>Railroad conductors and yardmasters</t>
  </si>
  <si>
    <t>Subway, streetcar, and other rail transportation workers</t>
  </si>
  <si>
    <t>Sailors and marine oilers</t>
  </si>
  <si>
    <t>Ship and boat captains and operators</t>
  </si>
  <si>
    <t>Ship engineers</t>
  </si>
  <si>
    <t>Bridge and lock tenders</t>
  </si>
  <si>
    <t>Parking lot attendants</t>
  </si>
  <si>
    <t>Automotive and watercraft service attendants</t>
  </si>
  <si>
    <t>Transportation inspectors</t>
  </si>
  <si>
    <t>Transportation attendants, except flight attendants</t>
  </si>
  <si>
    <t>Other transportation workers</t>
  </si>
  <si>
    <t>Conveyor operators and tenders</t>
  </si>
  <si>
    <t>Crane and tower operators</t>
  </si>
  <si>
    <t>Dredge, excavating, and loading machine operators</t>
  </si>
  <si>
    <t>Hoist and winch operators</t>
  </si>
  <si>
    <t>Industrial truck and tractor operators</t>
  </si>
  <si>
    <t>Cleaners of vehicles and equipment</t>
  </si>
  <si>
    <t>Laborers and freight, stock, and material movers, hand</t>
  </si>
  <si>
    <t>Machine feeders and offbearers</t>
  </si>
  <si>
    <t>Packers and packagers, hand</t>
  </si>
  <si>
    <t>Pumping station operators</t>
  </si>
  <si>
    <t>Refuse and recyclable material collectors</t>
  </si>
  <si>
    <t>Mine shuttle car operators</t>
  </si>
  <si>
    <t>Tank car, truck, and ship loaders</t>
  </si>
  <si>
    <t>Material moving workers, all other</t>
  </si>
  <si>
    <t>NOTE: Estimates for the above race groups (White, Black or African American, and Asian) do not sum to totals because data are not presented for all races. Persons whose ethnicity is identified as Hispanic or Latino may be of any race. Updated population controls are introduced annually with the release of January data. Dash indicates no data or data that do not meet publication criteria (values not shown where base is less than 50,000).</t>
  </si>
  <si>
    <t>HOUSEHOLD DATA
ANNUAL AVERAGES
16.  Employed persons in nonagricultural industries by sex and class of worker</t>
  </si>
  <si>
    <t>[In thousands]</t>
  </si>
  <si>
    <t>Industry and sex</t>
  </si>
  <si>
    <r>
      <rPr>
        <sz val="11"/>
        <rFont val="Calibri"/>
        <family val="2"/>
      </rPr>
      <t>Wage and salary workers</t>
    </r>
    <r>
      <rPr>
        <vertAlign val="superscript"/>
        <sz val="11"/>
        <rFont val="Calibri"/>
        <family val="2"/>
      </rPr>
      <t>(1)</t>
    </r>
  </si>
  <si>
    <t>Self-
employed
workers,
unincor-
porated</t>
  </si>
  <si>
    <t>Unpaid
family
workers</t>
  </si>
  <si>
    <t>Total</t>
  </si>
  <si>
    <t>Private
industries</t>
  </si>
  <si>
    <t>Government</t>
  </si>
  <si>
    <t>Total, nonagricultural industries</t>
  </si>
  <si>
    <t>Mining, quarrying, and oil and gas extraction</t>
  </si>
  <si>
    <t>Construction</t>
  </si>
  <si>
    <t>Manufacturing</t>
  </si>
  <si>
    <t>Durable goods</t>
  </si>
  <si>
    <t>Nondurable goods</t>
  </si>
  <si>
    <t>Wholesale and retail trade</t>
  </si>
  <si>
    <t>Wholesale trade</t>
  </si>
  <si>
    <t>Retail trade</t>
  </si>
  <si>
    <t>Transportation and utilities</t>
  </si>
  <si>
    <t>Transportation and warehousing</t>
  </si>
  <si>
    <t>Utilities</t>
  </si>
  <si>
    <t>Information</t>
  </si>
  <si>
    <t>Financial activities</t>
  </si>
  <si>
    <t>Finance and insurance</t>
  </si>
  <si>
    <t>Real estate and rental and leasing</t>
  </si>
  <si>
    <t>Professional and business services</t>
  </si>
  <si>
    <t>Professional and technical services</t>
  </si>
  <si>
    <t>Management, administrative, and waste services</t>
  </si>
  <si>
    <t>Education and health services</t>
  </si>
  <si>
    <t>Educational services</t>
  </si>
  <si>
    <t>Health care and social assistance</t>
  </si>
  <si>
    <t>Hospitals</t>
  </si>
  <si>
    <t>Health services, except hospitals</t>
  </si>
  <si>
    <t>Social assistance</t>
  </si>
  <si>
    <t>Leisure and hospitality</t>
  </si>
  <si>
    <t>Arts, entertainment, and recreation</t>
  </si>
  <si>
    <t>Accommodation and food services</t>
  </si>
  <si>
    <t>Other services</t>
  </si>
  <si>
    <t>Other services, except private households</t>
  </si>
  <si>
    <t>Private households</t>
  </si>
  <si>
    <t>Public administration</t>
  </si>
  <si>
    <t>Footnotes:</t>
  </si>
  <si>
    <t>(1) Includes self-employed workers whose businesses are incorporated.</t>
  </si>
  <si>
    <t>NOTE: Updated population controls are introduced annually with the release of January data. Dash indicates no data or data that do not meet publication criteria (values not shown where base is less than 50,000).</t>
  </si>
  <si>
    <t>HOUSEHOLD DATA
ANNUAL AVERAGES
17.  Employed persons by industry, sex, race, and occupation</t>
  </si>
  <si>
    <t xml:space="preserve">Industry, </t>
  </si>
  <si>
    <t>Total
em-
ployed</t>
  </si>
  <si>
    <t>Management,
professional,
and related
occupations</t>
  </si>
  <si>
    <t>Service
occupations</t>
  </si>
  <si>
    <t>Sales and office
occupations</t>
  </si>
  <si>
    <t>Natural resources,
construction, and
maintenance occupations</t>
  </si>
  <si>
    <t>Production, trans-
portation, and
material moving
occupations</t>
  </si>
  <si>
    <t>Management,
business, and
financial
opera-
tions
occupa-
tions</t>
  </si>
  <si>
    <t>Profes-
sional
and
related
occupa-
tions</t>
  </si>
  <si>
    <t>Protec-
tive
service
occupa-
tions</t>
  </si>
  <si>
    <t>Service
occupa-
tions,
except
protec-
tive</t>
  </si>
  <si>
    <t>Sales
and
related
occupa-
tions</t>
  </si>
  <si>
    <t>Office
and
adminis-
trative
support
occupa-
tions</t>
  </si>
  <si>
    <t>Farming,
fishing,
and
forestry
occupa-
tions</t>
  </si>
  <si>
    <t>Construc-
tion
and
extrac-
tion
occupa-
tions</t>
  </si>
  <si>
    <t>Instal-
lation,
mainte-
nance,
and
repair
occupa-
tions</t>
  </si>
  <si>
    <t>Produc-
tion
occupa-
tions</t>
  </si>
  <si>
    <t>Transpor-
tation
and
material
moving
occupa-
tions</t>
  </si>
  <si>
    <t>Agriculture and related</t>
  </si>
  <si>
    <t>Mining, quarrying, and
oil and gas extraction</t>
  </si>
  <si>
    <t>Total (Non Agr)</t>
  </si>
  <si>
    <t>% of Total Employeed</t>
  </si>
  <si>
    <t>% with Desk Jobs</t>
  </si>
  <si>
    <t>% of Total Employeed with Desk Jobs</t>
  </si>
  <si>
    <t>% of all employees with desk jobs</t>
  </si>
  <si>
    <t>% of Agriculture/Total</t>
  </si>
  <si>
    <t>Country</t>
  </si>
  <si>
    <t>local_price</t>
  </si>
  <si>
    <t>dollar_ex</t>
  </si>
  <si>
    <t>dollar_price</t>
  </si>
  <si>
    <t>PPP</t>
  </si>
  <si>
    <t>UAE</t>
  </si>
  <si>
    <t>Average</t>
  </si>
  <si>
    <t>https://data.oecd.org/</t>
  </si>
  <si>
    <t>Sum of Value</t>
  </si>
  <si>
    <t>Column Labels</t>
  </si>
  <si>
    <t>Row Labels</t>
  </si>
  <si>
    <t>1_9_EMPLOYED</t>
  </si>
  <si>
    <t>10_19_EMPLOYED</t>
  </si>
  <si>
    <t>20_49_EMPLOYED</t>
  </si>
  <si>
    <t>250MORE_EMPLOYED</t>
  </si>
  <si>
    <t>50_249_EMPLOYED</t>
  </si>
  <si>
    <t>Grand Total</t>
  </si>
  <si>
    <t>AUT</t>
  </si>
  <si>
    <t>BEL</t>
  </si>
  <si>
    <t>BGR</t>
  </si>
  <si>
    <t>BRA</t>
  </si>
  <si>
    <t>CAN</t>
  </si>
  <si>
    <t>COL</t>
  </si>
  <si>
    <t>CYP</t>
  </si>
  <si>
    <t>CZE</t>
  </si>
  <si>
    <t>DEU</t>
  </si>
  <si>
    <t>DNK</t>
  </si>
  <si>
    <t>ESP</t>
  </si>
  <si>
    <t>EST</t>
  </si>
  <si>
    <t>FIN</t>
  </si>
  <si>
    <t>FRA</t>
  </si>
  <si>
    <t>GBR</t>
  </si>
  <si>
    <t>GRC</t>
  </si>
  <si>
    <t>HRV</t>
  </si>
  <si>
    <t>HUN</t>
  </si>
  <si>
    <t>IRL</t>
  </si>
  <si>
    <t>ISL</t>
  </si>
  <si>
    <t>ISR</t>
  </si>
  <si>
    <t>ITA</t>
  </si>
  <si>
    <t>JPN</t>
  </si>
  <si>
    <t>KOR</t>
  </si>
  <si>
    <t>LTU</t>
  </si>
  <si>
    <t>LUX</t>
  </si>
  <si>
    <t>LVA</t>
  </si>
  <si>
    <t>MEX</t>
  </si>
  <si>
    <t>MKD</t>
  </si>
  <si>
    <t>MLT</t>
  </si>
  <si>
    <t>NLD</t>
  </si>
  <si>
    <t>NOR</t>
  </si>
  <si>
    <t>POL</t>
  </si>
  <si>
    <t>PRT</t>
  </si>
  <si>
    <t>ROU</t>
  </si>
  <si>
    <t>SVK</t>
  </si>
  <si>
    <t>SVN</t>
  </si>
  <si>
    <t>SWE</t>
  </si>
  <si>
    <t>TUR</t>
  </si>
  <si>
    <t>USA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</si>
</sst>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_(* #,##0.0_);_(* \(#,##0.0\);_(* &quot;-&quot;?_);_(@_)"/>
    <numFmt numFmtId="168" formatCode="#0.0"/>
    <numFmt numFmtId="169" formatCode="&quot;$&quot;#,##0.00"/>
    <numFmt numFmtId="170" formatCode="_(&quot;$&quot;* #,##0_);_(&quot;$&quot;* \(#,##0\);_(&quot;$&quot;* &quot;-&quot;??_);_(@_)"/>
    <numFmt numFmtId="171" formatCode="&quot;$&quot;#,##0"/>
  </numFmts>
  <fonts count="35">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1"/>
      <color indexed="8"/>
      <name val="Calibri"/>
      <family val="2"/>
      <scheme val="minor"/>
    </font>
    <font>
      <sz val="10"/>
      <color rgb="FF000000"/>
      <name val="Arial Unicode MS"/>
      <family val="2"/>
    </font>
    <font>
      <sz val="10"/>
      <color rgb="FF000000"/>
      <name val="Tahoma"/>
      <family val="2"/>
    </font>
    <font>
      <b/>
      <sz val="10"/>
      <color rgb="FF000000"/>
      <name val="Tahoma"/>
      <family val="2"/>
    </font>
    <font>
      <sz val="11"/>
      <name val="Calibri"/>
      <family val="2"/>
    </font>
    <font>
      <vertAlign val="superscript"/>
      <sz val="11"/>
      <name val="Calibri"/>
      <family val="2"/>
    </font>
    <font>
      <sz val="10"/>
      <name val="Arial"/>
      <family val="2"/>
    </font>
    <font>
      <b/>
      <sz val="10"/>
      <name val="Arial"/>
      <family val="2"/>
    </font>
    <font>
      <i/>
      <sz val="12"/>
      <color theme="4"/>
      <name val="Arial"/>
      <family val="2"/>
    </font>
    <font>
      <i/>
      <sz val="12"/>
      <color theme="1"/>
      <name val="Arial"/>
      <family val="2"/>
    </font>
    <font>
      <b/>
      <sz val="11"/>
      <color indexed="8"/>
      <name val="Calibri"/>
      <family val="2"/>
      <scheme val="minor"/>
    </font>
    <font>
      <sz val="11"/>
      <color theme="1"/>
      <name val="Calibri"/>
      <family val="2"/>
      <scheme val="minor"/>
    </font>
    <font>
      <sz val="9"/>
      <name val="Geneva"/>
      <family val="2"/>
    </font>
    <font>
      <b/>
      <vertAlign val="superscript"/>
      <sz val="8"/>
      <color theme="1"/>
      <name val="Calibri (Body)"/>
    </font>
    <font>
      <vertAlign val="superscript"/>
      <sz val="12"/>
      <color theme="1"/>
      <name val="Calibri (Body)"/>
    </font>
    <font>
      <b/>
      <vertAlign val="superscript"/>
      <sz val="12"/>
      <color theme="1"/>
      <name val="Calibri (Body)"/>
    </font>
    <font>
      <b/>
      <i/>
      <sz val="12"/>
      <color theme="1"/>
      <name val="Arial"/>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bgColor indexed="64"/>
      </patternFill>
    </fill>
    <fill>
      <patternFill patternType="solid">
        <fgColor theme="8" tint="-0.49998474074526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hair">
        <color auto="1"/>
      </left>
      <right style="medium">
        <color auto="1"/>
      </right>
      <top style="hair">
        <color auto="1"/>
      </top>
      <bottom style="medium">
        <color auto="1"/>
      </bottom>
      <diagonal/>
    </border>
    <border>
      <left style="medium">
        <color indexed="64"/>
      </left>
      <right style="hair">
        <color auto="1"/>
      </right>
      <top style="hair">
        <color auto="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s>
  <cellStyleXfs count="4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xf numFmtId="44" fontId="1" fillId="0" borderId="0" applyFont="0" applyFill="0" applyBorder="0" applyAlignment="0" applyProtection="0"/>
    <xf numFmtId="0" fontId="29" fillId="0" borderId="0"/>
    <xf numFmtId="0" fontId="24" fillId="0" borderId="0"/>
    <xf numFmtId="9" fontId="24" fillId="0" borderId="0" applyFont="0" applyFill="0" applyBorder="0" applyAlignment="0" applyProtection="0"/>
  </cellStyleXfs>
  <cellXfs count="94">
    <xf numFmtId="0" fontId="0" fillId="0" borderId="0" xfId="0"/>
    <xf numFmtId="0" fontId="0" fillId="0" borderId="0" xfId="0" pivotButton="1"/>
    <xf numFmtId="0" fontId="0" fillId="0" borderId="0" xfId="0" applyAlignment="1">
      <alignment horizontal="left"/>
    </xf>
    <xf numFmtId="10" fontId="0" fillId="0" borderId="0" xfId="0" applyNumberFormat="1"/>
    <xf numFmtId="0" fontId="25" fillId="34" borderId="10" xfId="44" applyFont="1" applyFill="1" applyBorder="1" applyProtection="1">
      <protection hidden="1"/>
    </xf>
    <xf numFmtId="0" fontId="24" fillId="34" borderId="13" xfId="44" applyFont="1" applyFill="1" applyBorder="1" applyProtection="1">
      <protection hidden="1"/>
    </xf>
    <xf numFmtId="0" fontId="24" fillId="34" borderId="15" xfId="44" applyFont="1" applyFill="1" applyBorder="1" applyProtection="1">
      <protection hidden="1"/>
    </xf>
    <xf numFmtId="0" fontId="24" fillId="34" borderId="0" xfId="44" applyFont="1" applyFill="1" applyProtection="1">
      <protection hidden="1"/>
    </xf>
    <xf numFmtId="0" fontId="24" fillId="34" borderId="18" xfId="44" applyFont="1" applyFill="1" applyBorder="1" applyProtection="1">
      <protection hidden="1"/>
    </xf>
    <xf numFmtId="0" fontId="30" fillId="0" borderId="0" xfId="47" applyFont="1" applyAlignment="1" applyProtection="1">
      <alignment horizontal="left" vertical="center"/>
      <protection hidden="1"/>
    </xf>
    <xf numFmtId="0" fontId="24" fillId="0" borderId="0" xfId="47" applyProtection="1">
      <protection hidden="1"/>
    </xf>
    <xf numFmtId="165" fontId="24" fillId="0" borderId="0" xfId="47" applyNumberFormat="1" applyProtection="1">
      <protection hidden="1"/>
    </xf>
    <xf numFmtId="9" fontId="0" fillId="0" borderId="0" xfId="48" applyFont="1" applyProtection="1">
      <protection hidden="1"/>
    </xf>
    <xf numFmtId="0" fontId="30" fillId="0" borderId="0" xfId="47" applyFont="1" applyAlignment="1" applyProtection="1">
      <alignment vertical="center"/>
      <protection hidden="1"/>
    </xf>
    <xf numFmtId="2" fontId="30" fillId="0" borderId="0" xfId="47" applyNumberFormat="1" applyFont="1" applyAlignment="1" applyProtection="1">
      <alignment vertical="center"/>
      <protection hidden="1"/>
    </xf>
    <xf numFmtId="2" fontId="24" fillId="0" borderId="0" xfId="47" applyNumberFormat="1" applyProtection="1">
      <protection hidden="1"/>
    </xf>
    <xf numFmtId="0" fontId="0" fillId="0" borderId="0" xfId="0" applyProtection="1">
      <protection hidden="1"/>
    </xf>
    <xf numFmtId="0" fontId="0" fillId="0" borderId="22" xfId="0" applyBorder="1" applyProtection="1">
      <protection hidden="1"/>
    </xf>
    <xf numFmtId="9" fontId="24" fillId="0" borderId="0" xfId="47" applyNumberFormat="1" applyProtection="1">
      <protection hidden="1"/>
    </xf>
    <xf numFmtId="0" fontId="18" fillId="0" borderId="0" xfId="44" applyProtection="1">
      <protection hidden="1"/>
    </xf>
    <xf numFmtId="0" fontId="18" fillId="0" borderId="0" xfId="44" applyAlignment="1" applyProtection="1">
      <alignment horizontal="center" wrapText="1"/>
      <protection hidden="1"/>
    </xf>
    <xf numFmtId="0" fontId="18" fillId="0" borderId="0" xfId="44" applyAlignment="1" applyProtection="1">
      <alignment vertical="top"/>
      <protection hidden="1"/>
    </xf>
    <xf numFmtId="0" fontId="18" fillId="0" borderId="0" xfId="44" applyAlignment="1" applyProtection="1">
      <alignment horizontal="left" wrapText="1"/>
      <protection hidden="1"/>
    </xf>
    <xf numFmtId="3" fontId="18" fillId="0" borderId="0" xfId="44" applyNumberFormat="1" applyAlignment="1" applyProtection="1">
      <alignment horizontal="right"/>
      <protection hidden="1"/>
    </xf>
    <xf numFmtId="0" fontId="18" fillId="0" borderId="0" xfId="44" applyAlignment="1" applyProtection="1">
      <alignment horizontal="left" wrapText="1" indent="1"/>
      <protection hidden="1"/>
    </xf>
    <xf numFmtId="3" fontId="18" fillId="0" borderId="0" xfId="44" applyNumberFormat="1" applyProtection="1">
      <protection hidden="1"/>
    </xf>
    <xf numFmtId="0" fontId="18" fillId="0" borderId="0" xfId="44" applyAlignment="1" applyProtection="1">
      <alignment vertical="top" wrapText="1"/>
      <protection hidden="1"/>
    </xf>
    <xf numFmtId="166" fontId="18" fillId="0" borderId="0" xfId="2" applyNumberFormat="1" applyFont="1" applyProtection="1">
      <protection hidden="1"/>
    </xf>
    <xf numFmtId="166" fontId="18" fillId="33" borderId="0" xfId="2" applyNumberFormat="1" applyFont="1" applyFill="1" applyProtection="1">
      <protection hidden="1"/>
    </xf>
    <xf numFmtId="9" fontId="18" fillId="0" borderId="0" xfId="44" applyNumberFormat="1" applyProtection="1">
      <protection hidden="1"/>
    </xf>
    <xf numFmtId="166" fontId="18" fillId="0" borderId="0" xfId="44" applyNumberFormat="1" applyProtection="1">
      <protection hidden="1"/>
    </xf>
    <xf numFmtId="166" fontId="18" fillId="33" borderId="0" xfId="44" applyNumberFormat="1" applyFill="1" applyProtection="1">
      <protection hidden="1"/>
    </xf>
    <xf numFmtId="0" fontId="18" fillId="0" borderId="0" xfId="44" applyAlignment="1" applyProtection="1">
      <alignment horizontal="left" wrapText="1" indent="2"/>
      <protection hidden="1"/>
    </xf>
    <xf numFmtId="0" fontId="18" fillId="0" borderId="0" xfId="44" applyAlignment="1" applyProtection="1">
      <alignment horizontal="left" wrapText="1" indent="3"/>
      <protection hidden="1"/>
    </xf>
    <xf numFmtId="168" fontId="18" fillId="0" borderId="0" xfId="44" applyNumberFormat="1" applyAlignment="1" applyProtection="1">
      <alignment horizontal="right"/>
      <protection hidden="1"/>
    </xf>
    <xf numFmtId="0" fontId="18" fillId="0" borderId="0" xfId="44" applyAlignment="1" applyProtection="1">
      <alignment horizontal="right"/>
      <protection hidden="1"/>
    </xf>
    <xf numFmtId="9" fontId="18" fillId="33" borderId="0" xfId="2" applyFont="1" applyFill="1" applyProtection="1">
      <protection hidden="1"/>
    </xf>
    <xf numFmtId="0" fontId="28" fillId="38" borderId="0" xfId="44" applyFont="1" applyFill="1" applyAlignment="1" applyProtection="1">
      <alignment horizontal="left" wrapText="1" indent="3"/>
      <protection hidden="1"/>
    </xf>
    <xf numFmtId="3" fontId="18" fillId="38" borderId="0" xfId="44" applyNumberFormat="1" applyFill="1" applyAlignment="1" applyProtection="1">
      <alignment horizontal="right"/>
      <protection hidden="1"/>
    </xf>
    <xf numFmtId="168" fontId="18" fillId="38" borderId="0" xfId="44" applyNumberFormat="1" applyFill="1" applyAlignment="1" applyProtection="1">
      <alignment horizontal="right"/>
      <protection hidden="1"/>
    </xf>
    <xf numFmtId="0" fontId="18" fillId="38" borderId="0" xfId="44" applyFill="1" applyProtection="1">
      <protection hidden="1"/>
    </xf>
    <xf numFmtId="9" fontId="28" fillId="38" borderId="0" xfId="44" applyNumberFormat="1" applyFont="1" applyFill="1" applyProtection="1">
      <protection hidden="1"/>
    </xf>
    <xf numFmtId="9" fontId="28" fillId="38" borderId="0" xfId="2" applyFont="1" applyFill="1" applyProtection="1">
      <protection hidden="1"/>
    </xf>
    <xf numFmtId="3" fontId="18" fillId="38" borderId="0" xfId="44" applyNumberFormat="1" applyFill="1" applyProtection="1">
      <protection hidden="1"/>
    </xf>
    <xf numFmtId="0" fontId="29" fillId="0" borderId="0" xfId="46" applyProtection="1">
      <protection hidden="1"/>
    </xf>
    <xf numFmtId="0" fontId="29" fillId="0" borderId="0" xfId="46" applyAlignment="1" applyProtection="1">
      <alignment horizontal="left"/>
      <protection hidden="1"/>
    </xf>
    <xf numFmtId="166" fontId="29" fillId="0" borderId="0" xfId="2" applyNumberFormat="1" applyFont="1" applyProtection="1">
      <protection hidden="1"/>
    </xf>
    <xf numFmtId="166" fontId="29" fillId="0" borderId="0" xfId="46" applyNumberFormat="1" applyProtection="1">
      <protection hidden="1"/>
    </xf>
    <xf numFmtId="0" fontId="19" fillId="0" borderId="0" xfId="0" applyFont="1" applyProtection="1">
      <protection hidden="1"/>
    </xf>
    <xf numFmtId="166" fontId="0" fillId="0" borderId="0" xfId="2" applyNumberFormat="1" applyFont="1" applyProtection="1">
      <protection hidden="1"/>
    </xf>
    <xf numFmtId="164" fontId="0" fillId="0" borderId="0" xfId="1" applyNumberFormat="1" applyFont="1" applyProtection="1">
      <protection hidden="1"/>
    </xf>
    <xf numFmtId="167" fontId="0" fillId="0" borderId="0" xfId="0" applyNumberFormat="1" applyProtection="1">
      <protection hidden="1"/>
    </xf>
    <xf numFmtId="0" fontId="0" fillId="0" borderId="22" xfId="0" applyBorder="1" applyAlignment="1" applyProtection="1">
      <alignment vertical="center" wrapText="1"/>
      <protection hidden="1"/>
    </xf>
    <xf numFmtId="0" fontId="0" fillId="0" borderId="23" xfId="0" applyBorder="1" applyAlignment="1" applyProtection="1">
      <alignment horizontal="center" vertical="center" wrapText="1"/>
      <protection hidden="1"/>
    </xf>
    <xf numFmtId="0" fontId="0" fillId="0" borderId="22" xfId="0" applyBorder="1" applyAlignment="1" applyProtection="1">
      <alignment horizontal="center" vertical="center" wrapText="1"/>
      <protection hidden="1"/>
    </xf>
    <xf numFmtId="0" fontId="0" fillId="0" borderId="0" xfId="0" applyAlignment="1" applyProtection="1">
      <alignment wrapText="1"/>
      <protection hidden="1"/>
    </xf>
    <xf numFmtId="0" fontId="0" fillId="0" borderId="0" xfId="0" applyAlignment="1" applyProtection="1">
      <alignment horizontal="center" vertical="center" wrapText="1"/>
      <protection hidden="1"/>
    </xf>
    <xf numFmtId="0" fontId="16" fillId="0" borderId="23" xfId="0" applyFont="1" applyBorder="1" applyAlignment="1" applyProtection="1">
      <alignment horizontal="center" vertical="center" wrapText="1"/>
      <protection hidden="1"/>
    </xf>
    <xf numFmtId="164" fontId="0" fillId="0" borderId="22" xfId="1" applyNumberFormat="1" applyFont="1" applyBorder="1" applyProtection="1">
      <protection hidden="1"/>
    </xf>
    <xf numFmtId="9" fontId="0" fillId="0" borderId="22" xfId="0" applyNumberFormat="1" applyBorder="1" applyProtection="1">
      <protection hidden="1"/>
    </xf>
    <xf numFmtId="166" fontId="0" fillId="0" borderId="22" xfId="0" applyNumberFormat="1" applyBorder="1" applyProtection="1">
      <protection hidden="1"/>
    </xf>
    <xf numFmtId="166" fontId="0" fillId="0" borderId="22" xfId="1" applyNumberFormat="1" applyFont="1" applyBorder="1" applyProtection="1">
      <protection hidden="1"/>
    </xf>
    <xf numFmtId="166" fontId="0" fillId="0" borderId="22" xfId="2" applyNumberFormat="1" applyFont="1" applyBorder="1" applyProtection="1">
      <protection hidden="1"/>
    </xf>
    <xf numFmtId="164" fontId="0" fillId="0" borderId="22" xfId="0" applyNumberFormat="1" applyBorder="1" applyProtection="1">
      <protection hidden="1"/>
    </xf>
    <xf numFmtId="170" fontId="0" fillId="0" borderId="22" xfId="45" applyNumberFormat="1" applyFont="1" applyBorder="1" applyProtection="1">
      <protection hidden="1"/>
    </xf>
    <xf numFmtId="171" fontId="0" fillId="0" borderId="22" xfId="0" applyNumberFormat="1" applyBorder="1" applyProtection="1">
      <protection hidden="1"/>
    </xf>
    <xf numFmtId="0" fontId="16" fillId="38" borderId="22" xfId="0" applyFont="1" applyFill="1" applyBorder="1" applyAlignment="1" applyProtection="1">
      <alignment horizontal="left"/>
      <protection hidden="1"/>
    </xf>
    <xf numFmtId="164" fontId="16" fillId="38" borderId="22" xfId="0" applyNumberFormat="1" applyFont="1" applyFill="1" applyBorder="1" applyProtection="1">
      <protection hidden="1"/>
    </xf>
    <xf numFmtId="9" fontId="16" fillId="38" borderId="22" xfId="0" applyNumberFormat="1" applyFont="1" applyFill="1" applyBorder="1" applyProtection="1">
      <protection hidden="1"/>
    </xf>
    <xf numFmtId="10" fontId="16" fillId="38" borderId="22" xfId="1" applyNumberFormat="1" applyFont="1" applyFill="1" applyBorder="1" applyProtection="1">
      <protection hidden="1"/>
    </xf>
    <xf numFmtId="9" fontId="16" fillId="38" borderId="22" xfId="2" applyFont="1" applyFill="1" applyBorder="1" applyProtection="1">
      <protection hidden="1"/>
    </xf>
    <xf numFmtId="0" fontId="0" fillId="0" borderId="0" xfId="0" applyAlignment="1" applyProtection="1">
      <alignment horizontal="left"/>
      <protection hidden="1"/>
    </xf>
    <xf numFmtId="10" fontId="0" fillId="0" borderId="0" xfId="0" applyNumberFormat="1" applyProtection="1">
      <protection hidden="1"/>
    </xf>
    <xf numFmtId="0" fontId="16" fillId="0" borderId="10" xfId="0" applyFont="1" applyBorder="1" applyProtection="1">
      <protection hidden="1"/>
    </xf>
    <xf numFmtId="0" fontId="26" fillId="36" borderId="22" xfId="0" applyFont="1" applyFill="1" applyBorder="1" applyProtection="1">
      <protection hidden="1"/>
    </xf>
    <xf numFmtId="165" fontId="34" fillId="37" borderId="22" xfId="0" applyNumberFormat="1" applyFont="1" applyFill="1" applyBorder="1" applyProtection="1">
      <protection hidden="1"/>
    </xf>
    <xf numFmtId="165" fontId="34" fillId="0" borderId="0" xfId="0" applyNumberFormat="1" applyFont="1" applyProtection="1">
      <protection hidden="1"/>
    </xf>
    <xf numFmtId="0" fontId="17" fillId="35" borderId="11" xfId="0" applyFont="1" applyFill="1" applyBorder="1" applyProtection="1">
      <protection hidden="1"/>
    </xf>
    <xf numFmtId="0" fontId="17" fillId="35" borderId="12" xfId="0" applyFont="1" applyFill="1" applyBorder="1" applyAlignment="1" applyProtection="1">
      <alignment horizontal="center"/>
      <protection hidden="1"/>
    </xf>
    <xf numFmtId="166" fontId="26" fillId="36" borderId="14" xfId="2" applyNumberFormat="1" applyFont="1" applyFill="1" applyBorder="1" applyProtection="1">
      <protection hidden="1"/>
    </xf>
    <xf numFmtId="166" fontId="26" fillId="36" borderId="16" xfId="2" applyNumberFormat="1" applyFont="1" applyFill="1" applyBorder="1" applyProtection="1">
      <protection hidden="1"/>
    </xf>
    <xf numFmtId="169" fontId="26" fillId="36" borderId="16" xfId="2" applyNumberFormat="1" applyFont="1" applyFill="1" applyBorder="1" applyProtection="1">
      <protection hidden="1"/>
    </xf>
    <xf numFmtId="9" fontId="26" fillId="36" borderId="16" xfId="2" applyFont="1" applyFill="1" applyBorder="1" applyProtection="1">
      <protection hidden="1"/>
    </xf>
    <xf numFmtId="166" fontId="27" fillId="37" borderId="16" xfId="2" applyNumberFormat="1" applyFont="1" applyFill="1" applyBorder="1" applyProtection="1">
      <protection hidden="1"/>
    </xf>
    <xf numFmtId="166" fontId="27" fillId="37" borderId="17" xfId="2" applyNumberFormat="1" applyFont="1" applyFill="1" applyBorder="1" applyProtection="1">
      <protection hidden="1"/>
    </xf>
    <xf numFmtId="165" fontId="27" fillId="0" borderId="0" xfId="0" applyNumberFormat="1" applyFont="1" applyProtection="1">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0" fillId="0" borderId="21" xfId="0" applyBorder="1" applyAlignment="1" applyProtection="1">
      <alignment horizontal="center"/>
      <protection hidden="1"/>
    </xf>
    <xf numFmtId="0" fontId="0" fillId="0" borderId="19" xfId="0" applyBorder="1" applyAlignment="1" applyProtection="1">
      <alignment horizontal="center" vertical="center"/>
      <protection hidden="1"/>
    </xf>
    <xf numFmtId="0" fontId="0" fillId="0" borderId="21" xfId="0" applyBorder="1" applyAlignment="1" applyProtection="1">
      <alignment horizontal="center" vertical="center"/>
      <protection hidden="1"/>
    </xf>
    <xf numFmtId="0" fontId="18" fillId="0" borderId="0" xfId="44" applyAlignment="1" applyProtection="1">
      <alignment horizontal="left" vertical="top" wrapText="1"/>
      <protection hidden="1"/>
    </xf>
    <xf numFmtId="0" fontId="18" fillId="0" borderId="0" xfId="44" applyAlignment="1" applyProtection="1">
      <alignment horizontal="center" wrapText="1"/>
      <protection hidden="1"/>
    </xf>
    <xf numFmtId="0" fontId="18" fillId="0" borderId="0" xfId="44" applyAlignment="1" applyProtection="1">
      <protection hidden="1"/>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Currency" xfId="45"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rmal 2" xfId="44" xr:uid="{00000000-0005-0000-0000-000026000000}"/>
    <cellStyle name="Normal 3" xfId="46" xr:uid="{174DE4E7-EAA7-2748-A427-F437B696206E}"/>
    <cellStyle name="Normal 4" xfId="47" xr:uid="{333C5189-5CAA-744C-B046-074960C6D885}"/>
    <cellStyle name="Note" xfId="17" builtinId="10" customBuiltin="1"/>
    <cellStyle name="Output" xfId="12" builtinId="21" customBuiltin="1"/>
    <cellStyle name="Percent" xfId="2" builtinId="5"/>
    <cellStyle name="Percent 2" xfId="48" xr:uid="{E2612D35-5933-1C47-9F99-229D05F41A0E}"/>
    <cellStyle name="Title" xfId="3" builtinId="15" customBuiltin="1"/>
    <cellStyle name="Total" xfId="19" builtinId="25" customBuiltin="1"/>
    <cellStyle name="Warning Text" xfId="16" builtinId="11" customBuiltin="1"/>
  </cellStyles>
  <dxfs count="2">
    <dxf>
      <numFmt numFmtId="164" formatCode="_(* #,##0_);_(* \(#,##0\);_(* &quot;-&quot;??_);_(@_)"/>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JohnGu/Documents/Personal/Career/Freelance/Proposals/Upwork/Croissant/Croissant%20Market%20Size_Full%20Version.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n Gu" refreshedDate="43265.331123958335" createdVersion="6" refreshedVersion="6" minRefreshableVersion="3" recordCount="1855" xr:uid="{00000000-000A-0000-FFFF-FFFF16000000}">
  <cacheSource type="worksheet">
    <worksheetSource ref="A1:H1856" sheet="OECD Employees by size data" r:id="rId2"/>
  </cacheSource>
  <cacheFields count="8">
    <cacheField name="LOCATION" numFmtId="0">
      <sharedItems count="40">
        <s v="AUT"/>
        <s v="BEL"/>
        <s v="CAN"/>
        <s v="CZE"/>
        <s v="DNK"/>
        <s v="FIN"/>
        <s v="FRA"/>
        <s v="DEU"/>
        <s v="GRC"/>
        <s v="HUN"/>
        <s v="ISL"/>
        <s v="IRL"/>
        <s v="ITA"/>
        <s v="JPN"/>
        <s v="KOR"/>
        <s v="LUX"/>
        <s v="MEX"/>
        <s v="NLD"/>
        <s v="NOR"/>
        <s v="POL"/>
        <s v="PRT"/>
        <s v="SVK"/>
        <s v="ESP"/>
        <s v="SWE"/>
        <s v="TUR"/>
        <s v="GBR"/>
        <s v="USA"/>
        <s v="BRA"/>
        <s v="BGR"/>
        <s v="COL"/>
        <s v="HRV"/>
        <s v="CYP"/>
        <s v="EST"/>
        <s v="ISR"/>
        <s v="LVA"/>
        <s v="LTU"/>
        <s v="MKD"/>
        <s v="MLT"/>
        <s v="ROU"/>
        <s v="SVN"/>
      </sharedItems>
    </cacheField>
    <cacheField name="INDICATOR" numFmtId="0">
      <sharedItems/>
    </cacheField>
    <cacheField name="SUBJECT" numFmtId="0">
      <sharedItems count="6">
        <s v="ALLSIZE"/>
        <s v="1_9_EMPLOYED"/>
        <s v="10_19_EMPLOYED"/>
        <s v="20_49_EMPLOYED"/>
        <s v="250MORE_EMPLOYED"/>
        <s v="50_249_EMPLOYED"/>
      </sharedItems>
    </cacheField>
    <cacheField name="MEASURE" numFmtId="0">
      <sharedItems/>
    </cacheField>
    <cacheField name="FREQUENCY" numFmtId="0">
      <sharedItems/>
    </cacheField>
    <cacheField name="TIME" numFmtId="0">
      <sharedItems containsSemiMixedTypes="0" containsString="0" containsNumber="1" containsInteger="1" minValue="1995" maxValue="2016"/>
    </cacheField>
    <cacheField name="Value" numFmtId="0">
      <sharedItems containsSemiMixedTypes="0" containsString="0" containsNumber="1" containsInteger="1" minValue="0" maxValue="15208200" count="1806">
        <n v="613706"/>
        <n v="588632"/>
        <n v="579995"/>
        <n v="589365"/>
        <n v="597132"/>
        <n v="598340"/>
        <n v="601505"/>
        <n v="604870"/>
        <n v="41966"/>
        <n v="40559"/>
        <n v="40239"/>
        <n v="39345"/>
        <n v="38228"/>
        <n v="37352"/>
        <n v="37753"/>
        <n v="36971"/>
        <n v="40388"/>
        <n v="39806"/>
        <n v="39477"/>
        <n v="38836"/>
        <n v="38382"/>
        <n v="37670"/>
        <n v="36713"/>
        <n v="36520"/>
        <n v="67764"/>
        <n v="65327"/>
        <n v="65553"/>
        <n v="65399"/>
        <n v="65773"/>
        <n v="67210"/>
        <n v="66211"/>
        <n v="66667"/>
        <n v="298909"/>
        <n v="282482"/>
        <n v="278398"/>
        <n v="285377"/>
        <n v="294418"/>
        <n v="298106"/>
        <n v="301441"/>
        <n v="306516"/>
        <n v="164679"/>
        <n v="160458"/>
        <n v="156328"/>
        <n v="160408"/>
        <n v="160331"/>
        <n v="158002"/>
        <n v="159387"/>
        <n v="158196"/>
        <n v="546743"/>
        <n v="524751"/>
        <n v="503172"/>
        <n v="503790"/>
        <n v="490808"/>
        <n v="481964"/>
        <n v="469717"/>
        <n v="36232"/>
        <n v="39491"/>
        <n v="36812"/>
        <n v="35565"/>
        <n v="32270"/>
        <n v="30418"/>
        <n v="31654"/>
        <n v="35169"/>
        <n v="36885"/>
        <n v="33294"/>
        <n v="32233"/>
        <n v="30646"/>
        <n v="31091"/>
        <n v="29219"/>
        <n v="72479"/>
        <n v="68690"/>
        <n v="67405"/>
        <n v="67678"/>
        <n v="65999"/>
        <n v="64305"/>
        <n v="63020"/>
        <n v="262874"/>
        <n v="215756"/>
        <n v="232977"/>
        <n v="235091"/>
        <n v="231174"/>
        <n v="230934"/>
        <n v="222648"/>
        <n v="139993"/>
        <n v="131213"/>
        <n v="132685"/>
        <n v="133271"/>
        <n v="130719"/>
        <n v="125216"/>
        <n v="123176"/>
        <n v="1977620"/>
        <n v="1930650"/>
        <n v="1911350"/>
        <n v="1871920"/>
        <n v="1840930"/>
        <n v="1822120"/>
        <n v="1764570"/>
        <n v="1680730"/>
        <n v="1493340"/>
        <n v="1477440"/>
        <n v="1499270"/>
        <n v="1509850"/>
        <n v="1502610"/>
        <n v="1492980"/>
        <n v="1498880"/>
        <n v="1481970"/>
        <n v="224346"/>
        <n v="221375"/>
        <n v="218863"/>
        <n v="215575"/>
        <n v="211364"/>
        <n v="211675"/>
        <n v="208200"/>
        <n v="206071"/>
        <n v="199940"/>
        <n v="196756"/>
        <n v="193604"/>
        <n v="191985"/>
        <n v="189711"/>
        <n v="188295"/>
        <n v="185353"/>
        <n v="184607"/>
        <n v="0"/>
        <n v="211850"/>
        <n v="210830"/>
        <n v="210164"/>
        <n v="208175"/>
        <n v="208156"/>
        <n v="207946"/>
        <n v="203637"/>
        <n v="196375"/>
        <n v="181405"/>
        <n v="180219"/>
        <n v="180272"/>
        <n v="181815"/>
        <n v="182088"/>
        <n v="178298"/>
        <n v="177703"/>
        <n v="175863"/>
        <n v="1010410"/>
        <n v="977880"/>
        <n v="961807"/>
        <n v="932724"/>
        <n v="909438"/>
        <n v="896549"/>
        <n v="857647"/>
        <n v="809317"/>
        <n v="694450"/>
        <n v="683965"/>
        <n v="698291"/>
        <n v="703432"/>
        <n v="699933"/>
        <n v="694924"/>
        <n v="705375"/>
        <n v="692292"/>
        <n v="531007"/>
        <n v="520561"/>
        <n v="520518"/>
        <n v="515446"/>
        <n v="511972"/>
        <n v="505952"/>
        <n v="495090"/>
        <n v="468970"/>
        <n v="417542"/>
        <n v="416495"/>
        <n v="427098"/>
        <n v="432620"/>
        <n v="430883"/>
        <n v="431464"/>
        <n v="430450"/>
        <n v="429211"/>
        <n v="1235410"/>
        <n v="1080980"/>
        <n v="1052540"/>
        <n v="1077020"/>
        <n v="1075170"/>
        <n v="1063910"/>
        <n v="1077460"/>
        <n v="1110030"/>
        <n v="72856"/>
        <n v="71592"/>
        <n v="69411"/>
        <n v="67461"/>
        <n v="67423"/>
        <n v="64656"/>
        <n v="63220"/>
        <n v="62753"/>
        <n v="67653"/>
        <n v="67024"/>
        <n v="62412"/>
        <n v="61953"/>
        <n v="59376"/>
        <n v="57235"/>
        <n v="55737"/>
        <n v="56683"/>
        <n v="130295"/>
        <n v="119534"/>
        <n v="115201"/>
        <n v="116518"/>
        <n v="116212"/>
        <n v="113134"/>
        <n v="111107"/>
        <n v="112014"/>
        <n v="596575"/>
        <n v="489008"/>
        <n v="485391"/>
        <n v="515104"/>
        <n v="513833"/>
        <n v="512651"/>
        <n v="528198"/>
        <n v="562198"/>
        <n v="368027"/>
        <n v="333824"/>
        <n v="320123"/>
        <n v="315982"/>
        <n v="318323"/>
        <n v="316232"/>
        <n v="319195"/>
        <n v="316385"/>
        <n v="377572"/>
        <n v="303207"/>
        <n v="288766"/>
        <n v="357821"/>
        <n v="354183"/>
        <n v="344458"/>
        <n v="351232"/>
        <n v="354525"/>
        <n v="22048"/>
        <n v="22728"/>
        <n v="22832"/>
        <n v="23237"/>
        <n v="22608"/>
        <n v="22144"/>
        <n v="21299"/>
        <n v="21533"/>
        <n v="24711"/>
        <n v="22604"/>
        <n v="21047"/>
        <n v="24350"/>
        <n v="24769"/>
        <n v="24359"/>
        <n v="23414"/>
        <n v="23231"/>
        <n v="47649"/>
        <n v="41011"/>
        <n v="38629"/>
        <n v="44014"/>
        <n v="42929"/>
        <n v="41434"/>
        <n v="41678"/>
        <n v="41962"/>
        <n v="178635"/>
        <n v="134387"/>
        <n v="126796"/>
        <n v="171460"/>
        <n v="170233"/>
        <n v="161494"/>
        <n v="166488"/>
        <n v="169633"/>
        <n v="104529"/>
        <n v="82477"/>
        <n v="79462"/>
        <n v="94760"/>
        <n v="93644"/>
        <n v="95027"/>
        <n v="98353"/>
        <n v="98166"/>
        <n v="411237"/>
        <n v="381754"/>
        <n v="360090"/>
        <n v="359608"/>
        <n v="352174"/>
        <n v="339165"/>
        <n v="334814"/>
        <n v="327409"/>
        <n v="30517"/>
        <n v="29860"/>
        <n v="28949"/>
        <n v="28170"/>
        <n v="27386"/>
        <n v="25919"/>
        <n v="24783"/>
        <n v="24437"/>
        <n v="24886"/>
        <n v="23782"/>
        <n v="23227"/>
        <n v="24028"/>
        <n v="23142"/>
        <n v="21504"/>
        <n v="22599"/>
        <n v="21599"/>
        <n v="43746"/>
        <n v="41099"/>
        <n v="39631"/>
        <n v="39645"/>
        <n v="39791"/>
        <n v="39996"/>
        <n v="39286"/>
        <n v="39401"/>
        <n v="215595"/>
        <n v="198220"/>
        <n v="183932"/>
        <n v="181840"/>
        <n v="174797"/>
        <n v="166389"/>
        <n v="164366"/>
        <n v="160052"/>
        <n v="96493"/>
        <n v="88794"/>
        <n v="84351"/>
        <n v="85925"/>
        <n v="87058"/>
        <n v="85358"/>
        <n v="83779"/>
        <n v="81921"/>
        <n v="3053710"/>
        <n v="3015990"/>
        <n v="2971640"/>
        <n v="2933290"/>
        <n v="2903730"/>
        <n v="2905610"/>
        <n v="2815450"/>
        <n v="369600"/>
        <n v="409844"/>
        <n v="446954"/>
        <n v="320182"/>
        <n v="342147"/>
        <n v="352687"/>
        <n v="275813"/>
        <n v="220011"/>
        <n v="199025"/>
        <n v="186637"/>
        <n v="208773"/>
        <n v="215302"/>
        <n v="200593"/>
        <n v="191991"/>
        <n v="362307"/>
        <n v="359137"/>
        <n v="358059"/>
        <n v="359286"/>
        <n v="345662"/>
        <n v="331465"/>
        <n v="327709"/>
        <n v="1401130"/>
        <n v="1358950"/>
        <n v="1292370"/>
        <n v="1349690"/>
        <n v="1330820"/>
        <n v="1370100"/>
        <n v="1372450"/>
        <n v="700656"/>
        <n v="689089"/>
        <n v="687717"/>
        <n v="695361"/>
        <n v="669803"/>
        <n v="650768"/>
        <n v="647484"/>
        <n v="6938600"/>
        <n v="6559260"/>
        <n v="6748300"/>
        <n v="6964500"/>
        <n v="6995410"/>
        <n v="7061230"/>
        <n v="7093690"/>
        <n v="7104100"/>
        <n v="345829"/>
        <n v="283374"/>
        <n v="381452"/>
        <n v="373957"/>
        <n v="365252"/>
        <n v="373088"/>
        <n v="374510"/>
        <n v="362213"/>
        <n v="540923"/>
        <n v="471252"/>
        <n v="575722"/>
        <n v="598917"/>
        <n v="537156"/>
        <n v="550961"/>
        <n v="505031"/>
        <n v="484059"/>
        <n v="517779"/>
        <n v="532371"/>
        <n v="519808"/>
        <n v="519873"/>
        <n v="535297"/>
        <n v="551944"/>
        <n v="549519"/>
        <n v="545288"/>
        <n v="3767170"/>
        <n v="3585890"/>
        <n v="3575260"/>
        <n v="3731960"/>
        <n v="3808700"/>
        <n v="3840440"/>
        <n v="3909000"/>
        <n v="3957920"/>
        <n v="1766890"/>
        <n v="1686370"/>
        <n v="1696060"/>
        <n v="1739790"/>
        <n v="1749000"/>
        <n v="1744800"/>
        <n v="1755640"/>
        <n v="1754620"/>
        <n v="326203"/>
        <n v="318085"/>
        <n v="301699"/>
        <n v="267980"/>
        <n v="271434"/>
        <n v="254199"/>
        <n v="247159"/>
        <n v="245614"/>
        <n v="107262"/>
        <n v="103607"/>
        <n v="95217"/>
        <n v="82934"/>
        <n v="93590"/>
        <n v="85852"/>
        <n v="85704"/>
        <n v="62637"/>
        <n v="19452"/>
        <n v="22039"/>
        <n v="22180"/>
        <n v="21374"/>
        <n v="20809"/>
        <n v="14633"/>
        <n v="12653"/>
        <n v="26815"/>
        <n v="44253"/>
        <n v="42635"/>
        <n v="40996"/>
        <n v="37919"/>
        <n v="35711"/>
        <n v="29042"/>
        <n v="28561"/>
        <n v="34643"/>
        <n v="84033"/>
        <n v="77015"/>
        <n v="76228"/>
        <n v="65501"/>
        <n v="59837"/>
        <n v="59835"/>
        <n v="58904"/>
        <n v="60403"/>
        <n v="71203"/>
        <n v="72788"/>
        <n v="67078"/>
        <n v="60251"/>
        <n v="61487"/>
        <n v="64837"/>
        <n v="61337"/>
        <n v="61116"/>
        <n v="726043"/>
        <n v="637558"/>
        <n v="629960"/>
        <n v="643406"/>
        <n v="644755"/>
        <n v="640670"/>
        <n v="653729"/>
        <n v="691324"/>
        <n v="70858"/>
        <n v="66620"/>
        <n v="65240"/>
        <n v="62775"/>
        <n v="64230"/>
        <n v="62709"/>
        <n v="62418"/>
        <n v="62646"/>
        <n v="49091"/>
        <n v="44422"/>
        <n v="45433"/>
        <n v="44832"/>
        <n v="43074"/>
        <n v="41302"/>
        <n v="42196"/>
        <n v="43485"/>
        <n v="80618"/>
        <n v="74014"/>
        <n v="68534"/>
        <n v="66656"/>
        <n v="68567"/>
        <n v="69814"/>
        <n v="71659"/>
        <n v="73643"/>
        <n v="336968"/>
        <n v="279503"/>
        <n v="281292"/>
        <n v="294990"/>
        <n v="295138"/>
        <n v="297169"/>
        <n v="307625"/>
        <n v="337535"/>
        <n v="188508"/>
        <n v="172999"/>
        <n v="169461"/>
        <n v="174153"/>
        <n v="173746"/>
        <n v="169676"/>
        <n v="169831"/>
        <n v="174015"/>
        <n v="22025"/>
        <n v="2718"/>
        <n v="2015"/>
        <n v="3797"/>
        <n v="7267"/>
        <n v="6228"/>
        <n v="211796"/>
        <n v="187230"/>
        <n v="175066"/>
        <n v="174468"/>
        <n v="171901"/>
        <n v="174302"/>
        <n v="183190"/>
        <n v="192978"/>
        <n v="18833"/>
        <n v="17695"/>
        <n v="16042"/>
        <n v="15933"/>
        <n v="15374"/>
        <n v="15526"/>
        <n v="15952"/>
        <n v="16567"/>
        <n v="14670"/>
        <n v="12918"/>
        <n v="11728"/>
        <n v="11376"/>
        <n v="11113"/>
        <n v="10779"/>
        <n v="11165"/>
        <n v="11380"/>
        <n v="27767"/>
        <n v="22142"/>
        <n v="20982"/>
        <n v="20402"/>
        <n v="20094"/>
        <n v="20348"/>
        <n v="20337"/>
        <n v="21275"/>
        <n v="89398"/>
        <n v="79153"/>
        <n v="75167"/>
        <n v="76270"/>
        <n v="76505"/>
        <n v="79710"/>
        <n v="84149"/>
        <n v="91172"/>
        <n v="61128"/>
        <n v="55322"/>
        <n v="51147"/>
        <n v="50487"/>
        <n v="48815"/>
        <n v="47939"/>
        <n v="51587"/>
        <n v="52584"/>
        <n v="3741430"/>
        <n v="3582560"/>
        <n v="3416660"/>
        <n v="3359370"/>
        <n v="3306750"/>
        <n v="3202820"/>
        <n v="3148120"/>
        <n v="3122430"/>
        <n v="535634"/>
        <n v="558730"/>
        <n v="519953"/>
        <n v="497796"/>
        <n v="505761"/>
        <n v="484131"/>
        <n v="472884"/>
        <n v="468862"/>
        <n v="586342"/>
        <n v="542064"/>
        <n v="523346"/>
        <n v="510544"/>
        <n v="494102"/>
        <n v="475210"/>
        <n v="467354"/>
        <n v="466000"/>
        <n v="688114"/>
        <n v="633578"/>
        <n v="601792"/>
        <n v="595310"/>
        <n v="584123"/>
        <n v="558232"/>
        <n v="546849"/>
        <n v="540397"/>
        <n v="1001360"/>
        <n v="958791"/>
        <n v="930272"/>
        <n v="910305"/>
        <n v="896209"/>
        <n v="871015"/>
        <n v="857828"/>
        <n v="850585"/>
        <n v="929983"/>
        <n v="889396"/>
        <n v="841293"/>
        <n v="845418"/>
        <n v="826550"/>
        <n v="814234"/>
        <n v="803206"/>
        <n v="796581"/>
        <n v="10955800"/>
        <n v="9921890"/>
        <n v="7723920"/>
        <n v="7338660"/>
        <n v="7263210"/>
        <n v="10038800"/>
        <n v="7063400"/>
        <n v="7017760"/>
        <n v="6978680"/>
        <n v="1678070"/>
        <n v="1387930"/>
        <n v="1370890"/>
        <n v="545430"/>
        <n v="510878"/>
        <n v="488180"/>
        <n v="1182940"/>
        <n v="1036210"/>
        <n v="716509"/>
        <n v="705232"/>
        <n v="693782"/>
        <n v="680750"/>
        <n v="1901000"/>
        <n v="1734800"/>
        <n v="1183350"/>
        <n v="1209070"/>
        <n v="1192170"/>
        <n v="1188840"/>
        <n v="2830560"/>
        <n v="2559970"/>
        <n v="2372090"/>
        <n v="2392570"/>
        <n v="2394840"/>
        <n v="3363190"/>
        <n v="3202990"/>
        <n v="2231580"/>
        <n v="2228360"/>
        <n v="2226070"/>
        <n v="3341280"/>
        <n v="3334890"/>
        <n v="3277270"/>
        <n v="3269340"/>
        <n v="3417700"/>
        <n v="3587480"/>
        <n v="3715160"/>
        <n v="3802220"/>
        <n v="3957390"/>
        <n v="813835"/>
        <n v="823777"/>
        <n v="798462"/>
        <n v="812442"/>
        <n v="804527"/>
        <n v="856709"/>
        <n v="921091"/>
        <n v="945892"/>
        <n v="1038040"/>
        <n v="423207"/>
        <n v="441314"/>
        <n v="412679"/>
        <n v="402160"/>
        <n v="432352"/>
        <n v="424760"/>
        <n v="441662"/>
        <n v="436062"/>
        <n v="454756"/>
        <n v="602960"/>
        <n v="606107"/>
        <n v="566835"/>
        <n v="574136"/>
        <n v="627047"/>
        <n v="640893"/>
        <n v="666507"/>
        <n v="685094"/>
        <n v="720830"/>
        <n v="668198"/>
        <n v="645770"/>
        <n v="658032"/>
        <n v="641164"/>
        <n v="659137"/>
        <n v="723675"/>
        <n v="724577"/>
        <n v="739354"/>
        <n v="734710"/>
        <n v="833078"/>
        <n v="817921"/>
        <n v="841263"/>
        <n v="839437"/>
        <n v="894635"/>
        <n v="941445"/>
        <n v="961325"/>
        <n v="995816"/>
        <n v="1009060"/>
        <n v="35158"/>
        <n v="33918"/>
        <n v="33606"/>
        <n v="34089"/>
        <n v="33838"/>
        <n v="33375"/>
        <n v="33143"/>
        <n v="33121"/>
        <n v="1436"/>
        <n v="1354"/>
        <n v="1281"/>
        <n v="1312"/>
        <n v="1207"/>
        <n v="1206"/>
        <n v="1133"/>
        <n v="1073"/>
        <n v="880"/>
        <n v="1169"/>
        <n v="1072"/>
        <n v="1205"/>
        <n v="1154"/>
        <n v="1407"/>
        <n v="1075"/>
        <n v="970"/>
        <n v="2158"/>
        <n v="2089"/>
        <n v="2258"/>
        <n v="2373"/>
        <n v="2479"/>
        <n v="3342"/>
        <n v="3337"/>
        <n v="3040"/>
        <n v="21066"/>
        <n v="19485"/>
        <n v="18702"/>
        <n v="19358"/>
        <n v="18555"/>
        <n v="18368"/>
        <n v="18513"/>
        <n v="18399"/>
        <n v="3794"/>
        <n v="4777"/>
        <n v="3006"/>
        <n v="3933"/>
        <n v="3418"/>
        <n v="9052"/>
        <n v="8665"/>
        <n v="9161"/>
        <n v="3387330"/>
        <n v="3276690"/>
        <n v="3502430"/>
        <n v="183206"/>
        <n v="387420"/>
        <n v="388982"/>
        <n v="267110"/>
        <n v="158618"/>
        <n v="152075"/>
        <n v="244241"/>
        <n v="237360"/>
        <n v="237403"/>
        <n v="1965580"/>
        <n v="1831710"/>
        <n v="2076260"/>
        <n v="727194"/>
        <n v="661578"/>
        <n v="647709"/>
        <n v="709009"/>
        <n v="682346"/>
        <n v="659631"/>
        <n v="657340"/>
        <n v="648400"/>
        <n v="642196"/>
        <n v="634970"/>
        <n v="635949"/>
        <n v="62541"/>
        <n v="62184"/>
        <n v="72509"/>
        <n v="68252"/>
        <n v="64933"/>
        <n v="64602"/>
        <n v="67334"/>
        <n v="63846"/>
        <n v="64418"/>
        <n v="66371"/>
        <n v="58710"/>
        <n v="59548"/>
        <n v="57175"/>
        <n v="54180"/>
        <n v="54519"/>
        <n v="53492"/>
        <n v="115316"/>
        <n v="106776"/>
        <n v="96338"/>
        <n v="95965"/>
        <n v="95125"/>
        <n v="93238"/>
        <n v="92168"/>
        <n v="92304"/>
        <n v="242690"/>
        <n v="230547"/>
        <n v="222383"/>
        <n v="219191"/>
        <n v="213355"/>
        <n v="215485"/>
        <n v="210271"/>
        <n v="212344"/>
        <n v="224043"/>
        <n v="216469"/>
        <n v="209692"/>
        <n v="214384"/>
        <n v="217812"/>
        <n v="212149"/>
        <n v="210677"/>
        <n v="213961"/>
        <n v="252466"/>
        <n v="234538"/>
        <n v="226012"/>
        <n v="223171"/>
        <n v="226194"/>
        <n v="230519"/>
        <n v="232769"/>
        <n v="233312"/>
        <n v="21586"/>
        <n v="21782"/>
        <n v="21088"/>
        <n v="20771"/>
        <n v="20324"/>
        <n v="19995"/>
        <n v="19451"/>
        <n v="19114"/>
        <n v="20301"/>
        <n v="20086"/>
        <n v="18576"/>
        <n v="18656"/>
        <n v="18378"/>
        <n v="18185"/>
        <n v="17837"/>
        <n v="18326"/>
        <n v="35494"/>
        <n v="34899"/>
        <n v="34530"/>
        <n v="32583"/>
        <n v="32952"/>
        <n v="32496"/>
        <n v="32004"/>
        <n v="33277"/>
        <n v="105145"/>
        <n v="90803"/>
        <n v="88006"/>
        <n v="88835"/>
        <n v="91506"/>
        <n v="96072"/>
        <n v="98431"/>
        <n v="95745"/>
        <n v="69940"/>
        <n v="66968"/>
        <n v="63812"/>
        <n v="62326"/>
        <n v="63034"/>
        <n v="63771"/>
        <n v="65046"/>
        <n v="66850"/>
        <n v="2331320"/>
        <n v="2227450"/>
        <n v="2194970"/>
        <n v="2187950"/>
        <n v="2161840"/>
        <n v="2150480"/>
        <n v="2226320"/>
        <n v="2284970"/>
        <n v="221747"/>
        <n v="227868"/>
        <n v="208516"/>
        <n v="208219"/>
        <n v="192122"/>
        <n v="182398"/>
        <n v="191564"/>
        <n v="205808"/>
        <n v="101098"/>
        <n v="89310"/>
        <n v="94884"/>
        <n v="101068"/>
        <n v="108107"/>
        <n v="110260"/>
        <n v="117228"/>
        <n v="108660"/>
        <n v="232286"/>
        <n v="228168"/>
        <n v="218306"/>
        <n v="218405"/>
        <n v="216392"/>
        <n v="216681"/>
        <n v="217096"/>
        <n v="214968"/>
        <n v="1060140"/>
        <n v="992234"/>
        <n v="991697"/>
        <n v="980956"/>
        <n v="974079"/>
        <n v="979988"/>
        <n v="1030300"/>
        <n v="1076110"/>
        <n v="716053"/>
        <n v="689871"/>
        <n v="681562"/>
        <n v="679305"/>
        <n v="671139"/>
        <n v="661151"/>
        <n v="670137"/>
        <n v="679423"/>
        <n v="727066"/>
        <n v="677511"/>
        <n v="654808"/>
        <n v="643689"/>
        <n v="613807"/>
        <n v="605054"/>
        <n v="618797"/>
        <n v="637772"/>
        <n v="110678"/>
        <n v="106419"/>
        <n v="102425"/>
        <n v="99155"/>
        <n v="94463"/>
        <n v="91802"/>
        <n v="91572"/>
        <n v="92028"/>
        <n v="94248"/>
        <n v="89496"/>
        <n v="86382"/>
        <n v="83774"/>
        <n v="77230"/>
        <n v="74036"/>
        <n v="74896"/>
        <n v="76062"/>
        <n v="148553"/>
        <n v="138883"/>
        <n v="134093"/>
        <n v="126595"/>
        <n v="119052"/>
        <n v="117605"/>
        <n v="120176"/>
        <n v="123608"/>
        <n v="144443"/>
        <n v="131637"/>
        <n v="126612"/>
        <n v="130041"/>
        <n v="128690"/>
        <n v="129320"/>
        <n v="131103"/>
        <n v="138519"/>
        <n v="229144"/>
        <n v="211076"/>
        <n v="205296"/>
        <n v="204124"/>
        <n v="194372"/>
        <n v="192291"/>
        <n v="201050"/>
        <n v="207555"/>
        <n v="438533"/>
        <n v="376783"/>
        <n v="386797"/>
        <n v="399877"/>
        <n v="390371"/>
        <n v="385430"/>
        <n v="397063"/>
        <n v="413488"/>
        <n v="15132"/>
        <n v="15486"/>
        <n v="24298"/>
        <n v="25177"/>
        <n v="24032"/>
        <n v="27377"/>
        <n v="27732"/>
        <n v="29046"/>
        <n v="32708"/>
        <n v="22575"/>
        <n v="30490"/>
        <n v="25595"/>
        <n v="20245"/>
        <n v="18793"/>
        <n v="24312"/>
        <n v="29988"/>
        <n v="32837"/>
        <n v="35451"/>
        <n v="34033"/>
        <n v="38944"/>
        <n v="37190"/>
        <n v="35938"/>
        <n v="33909"/>
        <n v="33938"/>
        <n v="241503"/>
        <n v="198152"/>
        <n v="192692"/>
        <n v="205502"/>
        <n v="207016"/>
        <n v="201531"/>
        <n v="205699"/>
        <n v="210502"/>
        <n v="116353"/>
        <n v="105119"/>
        <n v="105284"/>
        <n v="104659"/>
        <n v="101888"/>
        <n v="101791"/>
        <n v="105411"/>
        <n v="110014"/>
        <n v="2275980"/>
        <n v="1988320"/>
        <n v="1911480"/>
        <n v="1824460"/>
        <n v="1704020"/>
        <n v="1628330"/>
        <n v="1612090"/>
        <n v="1664900"/>
        <n v="345821"/>
        <n v="308819"/>
        <n v="316476"/>
        <n v="294803"/>
        <n v="273107"/>
        <n v="255843"/>
        <n v="242480"/>
        <n v="243457"/>
        <n v="277446"/>
        <n v="235908"/>
        <n v="218786"/>
        <n v="209790"/>
        <n v="190603"/>
        <n v="180999"/>
        <n v="163444"/>
        <n v="168330"/>
        <n v="451557"/>
        <n v="381943"/>
        <n v="354524"/>
        <n v="319797"/>
        <n v="293706"/>
        <n v="278390"/>
        <n v="276753"/>
        <n v="291977"/>
        <n v="647215"/>
        <n v="577478"/>
        <n v="557989"/>
        <n v="553369"/>
        <n v="520104"/>
        <n v="501166"/>
        <n v="513781"/>
        <n v="535979"/>
        <n v="553942"/>
        <n v="484173"/>
        <n v="463708"/>
        <n v="446698"/>
        <n v="426496"/>
        <n v="411932"/>
        <n v="415631"/>
        <n v="425159"/>
        <n v="661850"/>
        <n v="596216"/>
        <n v="589590"/>
        <n v="595358"/>
        <n v="584438"/>
        <n v="567669"/>
        <n v="555150"/>
        <n v="59266"/>
        <n v="54814"/>
        <n v="53637"/>
        <n v="53450"/>
        <n v="53010"/>
        <n v="52416"/>
        <n v="51538"/>
        <n v="43320"/>
        <n v="40250"/>
        <n v="40712"/>
        <n v="40139"/>
        <n v="39518"/>
        <n v="38407"/>
        <n v="37395"/>
        <n v="70889"/>
        <n v="65214"/>
        <n v="64708"/>
        <n v="65741"/>
        <n v="65296"/>
        <n v="63819"/>
        <n v="63475"/>
        <n v="326932"/>
        <n v="292600"/>
        <n v="291536"/>
        <n v="293052"/>
        <n v="289970"/>
        <n v="278060"/>
        <n v="270025"/>
        <n v="161442"/>
        <n v="143338"/>
        <n v="138997"/>
        <n v="142976"/>
        <n v="136643"/>
        <n v="134966"/>
        <n v="132718"/>
        <n v="2264240"/>
        <n v="2564240"/>
        <n v="2842450"/>
        <n v="3126670"/>
        <n v="3277880"/>
        <n v="3383020"/>
        <n v="3427400"/>
        <n v="573919"/>
        <n v="580104"/>
        <n v="622914"/>
        <n v="705986"/>
        <n v="711311"/>
        <n v="657265"/>
        <n v="633789"/>
        <n v="309459"/>
        <n v="432590"/>
        <n v="487590"/>
        <n v="536249"/>
        <n v="550687"/>
        <n v="560908"/>
        <n v="555390"/>
        <n v="787541"/>
        <n v="867536"/>
        <n v="975108"/>
        <n v="1059530"/>
        <n v="1131260"/>
        <n v="1203320"/>
        <n v="1251390"/>
        <n v="593319"/>
        <n v="684014"/>
        <n v="756834"/>
        <n v="824912"/>
        <n v="884623"/>
        <n v="961527"/>
        <n v="986824"/>
        <n v="2726280"/>
        <n v="2495040"/>
        <n v="2457440"/>
        <n v="2465680"/>
        <n v="2445640"/>
        <n v="2440970"/>
        <n v="2456390"/>
        <n v="285760"/>
        <n v="252203"/>
        <n v="215149"/>
        <n v="228862"/>
        <n v="222375"/>
        <n v="229606"/>
        <n v="221546"/>
        <n v="191980"/>
        <n v="186602"/>
        <n v="165322"/>
        <n v="180342"/>
        <n v="176557"/>
        <n v="172880"/>
        <n v="174793"/>
        <n v="328261"/>
        <n v="314914"/>
        <n v="320528"/>
        <n v="321146"/>
        <n v="329280"/>
        <n v="321238"/>
        <n v="320089"/>
        <n v="1188770"/>
        <n v="1088510"/>
        <n v="1063270"/>
        <n v="1029160"/>
        <n v="1025840"/>
        <n v="1023440"/>
        <n v="1051430"/>
        <n v="731507"/>
        <n v="652808"/>
        <n v="693165"/>
        <n v="706170"/>
        <n v="691589"/>
        <n v="693808"/>
        <n v="688532"/>
        <n v="13395700"/>
        <n v="15208200"/>
        <n v="13635000"/>
        <n v="12697100"/>
        <n v="13041100"/>
        <n v="12965200"/>
        <n v="12901100"/>
        <n v="13108800"/>
        <n v="13551300"/>
        <n v="644580"/>
        <n v="775036"/>
        <n v="744743"/>
        <n v="717223"/>
        <n v="711751"/>
        <n v="717151"/>
        <n v="705035"/>
        <n v="705930"/>
        <n v="700679"/>
        <n v="647613"/>
        <n v="724137"/>
        <n v="676734"/>
        <n v="666638"/>
        <n v="637750"/>
        <n v="633851"/>
        <n v="625713"/>
        <n v="630393"/>
        <n v="635316"/>
        <n v="1534820"/>
        <n v="1316800"/>
        <n v="1175970"/>
        <n v="1106610"/>
        <n v="1118570"/>
        <n v="1127620"/>
        <n v="1122490"/>
        <n v="1142110"/>
        <n v="1154020"/>
        <n v="5852300"/>
        <n v="9694740"/>
        <n v="8674450"/>
        <n v="8004290"/>
        <n v="8327910"/>
        <n v="8191480"/>
        <n v="8164610"/>
        <n v="8318860"/>
        <n v="8721870"/>
        <n v="4716360"/>
        <n v="2697540"/>
        <n v="2363100"/>
        <n v="2202310"/>
        <n v="2245110"/>
        <n v="2295090"/>
        <n v="2283240"/>
        <n v="2311510"/>
        <n v="2339460"/>
        <n v="7288000"/>
        <n v="7370570"/>
        <n v="7836380"/>
        <n v="7961570"/>
        <n v="8102090"/>
        <n v="8299690"/>
        <n v="8079280"/>
        <n v="505932"/>
        <n v="524398"/>
        <n v="493780"/>
        <n v="512938"/>
        <n v="560561"/>
        <n v="578714"/>
        <n v="573960"/>
        <n v="603312"/>
        <n v="614396"/>
        <n v="640532"/>
        <n v="653275"/>
        <n v="643330"/>
        <n v="686730"/>
        <n v="638691"/>
        <n v="922169"/>
        <n v="940916"/>
        <n v="979881"/>
        <n v="1007970"/>
        <n v="1013070"/>
        <n v="1020970"/>
        <n v="1036440"/>
        <n v="3687710"/>
        <n v="3727680"/>
        <n v="4010390"/>
        <n v="4087460"/>
        <n v="4176600"/>
        <n v="4311020"/>
        <n v="4165400"/>
        <n v="1568870"/>
        <n v="1563180"/>
        <n v="1711800"/>
        <n v="1699930"/>
        <n v="1708530"/>
        <n v="1702250"/>
        <n v="1664790"/>
        <n v="617204"/>
        <n v="555231"/>
        <n v="515383"/>
        <n v="515803"/>
        <n v="504544"/>
        <n v="503140"/>
        <n v="515291"/>
        <n v="524074"/>
        <n v="47655"/>
        <n v="49020"/>
        <n v="45441"/>
        <n v="43812"/>
        <n v="43813"/>
        <n v="43459"/>
        <n v="44937"/>
        <n v="44927"/>
        <n v="46908"/>
        <n v="45385"/>
        <n v="40621"/>
        <n v="40229"/>
        <n v="38265"/>
        <n v="38299"/>
        <n v="37768"/>
        <n v="38857"/>
        <n v="95484"/>
        <n v="89783"/>
        <n v="81670"/>
        <n v="81503"/>
        <n v="77647"/>
        <n v="78950"/>
        <n v="80696"/>
        <n v="82575"/>
        <n v="204541"/>
        <n v="179755"/>
        <n v="168667"/>
        <n v="174009"/>
        <n v="170207"/>
        <n v="167841"/>
        <n v="176686"/>
        <n v="182085"/>
        <n v="222616"/>
        <n v="191288"/>
        <n v="178984"/>
        <n v="176250"/>
        <n v="174612"/>
        <n v="174591"/>
        <n v="175204"/>
        <n v="175630"/>
        <n v="474784"/>
        <n v="492114"/>
        <n v="509543"/>
        <n v="523557"/>
        <n v="541736"/>
        <n v="557193"/>
        <n v="8031"/>
        <n v="9415"/>
        <n v="9148"/>
        <n v="8884"/>
        <n v="157236"/>
        <n v="8815"/>
        <n v="29324"/>
        <n v="34475"/>
        <n v="32729"/>
        <n v="30352"/>
        <n v="201226"/>
        <n v="28150"/>
        <n v="64838"/>
        <n v="68097"/>
        <n v="69269"/>
        <n v="67979"/>
        <n v="101389"/>
        <n v="68726"/>
        <n v="201489"/>
        <n v="207225"/>
        <n v="216453"/>
        <n v="225148"/>
        <n v="22896"/>
        <n v="241701"/>
        <n v="171102"/>
        <n v="172902"/>
        <n v="181944"/>
        <n v="191194"/>
        <n v="58989"/>
        <n v="209801"/>
        <n v="298110"/>
        <n v="276941"/>
        <n v="266013"/>
        <n v="259807"/>
        <n v="251009"/>
        <n v="250248"/>
        <n v="244216"/>
        <n v="245887"/>
        <n v="34799"/>
        <n v="35336"/>
        <n v="34458"/>
        <n v="32936"/>
        <n v="32722"/>
        <n v="31723"/>
        <n v="33976"/>
        <n v="32146"/>
        <n v="22869"/>
        <n v="22184"/>
        <n v="22098"/>
        <n v="20728"/>
        <n v="20939"/>
        <n v="20549"/>
        <n v="20128"/>
        <n v="20618"/>
        <n v="32995"/>
        <n v="33328"/>
        <n v="31567"/>
        <n v="31703"/>
        <n v="30357"/>
        <n v="30161"/>
        <n v="30399"/>
        <n v="30934"/>
        <n v="126143"/>
        <n v="111532"/>
        <n v="103180"/>
        <n v="102203"/>
        <n v="95979"/>
        <n v="98942"/>
        <n v="90564"/>
        <n v="92802"/>
        <n v="81304"/>
        <n v="74561"/>
        <n v="74710"/>
        <n v="72237"/>
        <n v="71012"/>
        <n v="68873"/>
        <n v="69149"/>
        <n v="69387"/>
        <n v="34148"/>
        <n v="33638"/>
        <n v="33352"/>
        <n v="32256"/>
        <n v="30346"/>
        <n v="27323"/>
        <n v="26114"/>
        <n v="26578"/>
        <n v="9522"/>
        <n v="9413"/>
        <n v="9237"/>
        <n v="9010"/>
        <n v="9003"/>
        <n v="8662"/>
        <n v="8124"/>
        <n v="7705"/>
        <n v="5110"/>
        <n v="5097"/>
        <n v="5130"/>
        <n v="5447"/>
        <n v="4685"/>
        <n v="4235"/>
        <n v="4062"/>
        <n v="4083"/>
        <n v="6223"/>
        <n v="5960"/>
        <n v="6237"/>
        <n v="5757"/>
        <n v="5616"/>
        <n v="4418"/>
        <n v="4303"/>
        <n v="4202"/>
        <n v="5154"/>
        <n v="5143"/>
        <n v="5176"/>
        <n v="4673"/>
        <n v="4278"/>
        <n v="3631"/>
        <n v="3735"/>
        <n v="3923"/>
        <n v="8139"/>
        <n v="8025"/>
        <n v="7572"/>
        <n v="7369"/>
        <n v="6764"/>
        <n v="6377"/>
        <n v="5890"/>
        <n v="6665"/>
        <n v="119919"/>
        <n v="97799"/>
        <n v="94653"/>
        <n v="98973"/>
        <n v="101991"/>
        <n v="103426"/>
        <n v="106654"/>
        <n v="108309"/>
        <n v="11291"/>
        <n v="9834"/>
        <n v="11195"/>
        <n v="10486"/>
        <n v="11463"/>
        <n v="11622"/>
        <n v="12264"/>
        <n v="12757"/>
        <n v="9562"/>
        <n v="8132"/>
        <n v="7747"/>
        <n v="8475"/>
        <n v="8310"/>
        <n v="8312"/>
        <n v="8319"/>
        <n v="8877"/>
        <n v="19394"/>
        <n v="16123"/>
        <n v="15948"/>
        <n v="15104"/>
        <n v="16176"/>
        <n v="16605"/>
        <n v="16281"/>
        <n v="16521"/>
        <n v="32795"/>
        <n v="24989"/>
        <n v="22979"/>
        <n v="24972"/>
        <n v="25281"/>
        <n v="26127"/>
        <n v="28097"/>
        <n v="27675"/>
        <n v="46876"/>
        <n v="38721"/>
        <n v="36783"/>
        <n v="39936"/>
        <n v="40761"/>
        <n v="40760"/>
        <n v="41693"/>
        <n v="42479"/>
        <n v="360151"/>
        <n v="360939"/>
        <n v="361040"/>
        <n v="360487"/>
        <n v="358277"/>
        <n v="362063"/>
        <n v="33449"/>
        <n v="33232"/>
        <n v="33804"/>
        <n v="33815"/>
        <n v="33710"/>
        <n v="34308"/>
        <n v="26482"/>
        <n v="26606"/>
        <n v="26532"/>
        <n v="26396"/>
        <n v="25702"/>
        <n v="25284"/>
        <n v="45256"/>
        <n v="44213"/>
        <n v="44331"/>
        <n v="43685"/>
        <n v="44551"/>
        <n v="45858"/>
        <n v="145239"/>
        <n v="148693"/>
        <n v="148607"/>
        <n v="149122"/>
        <n v="145012"/>
        <n v="143505"/>
        <n v="109725"/>
        <n v="108196"/>
        <n v="107766"/>
        <n v="107468"/>
        <n v="109303"/>
        <n v="113108"/>
        <n v="139306"/>
        <n v="107983"/>
        <n v="107421"/>
        <n v="110369"/>
        <n v="115650"/>
        <n v="119411"/>
        <n v="119725"/>
        <n v="115356"/>
        <n v="13988"/>
        <n v="13911"/>
        <n v="14074"/>
        <n v="11563"/>
        <n v="14151"/>
        <n v="14888"/>
        <n v="17109"/>
        <n v="16375"/>
        <n v="14396"/>
        <n v="10318"/>
        <n v="10512"/>
        <n v="10239"/>
        <n v="9920"/>
        <n v="10514"/>
        <n v="10153"/>
        <n v="10879"/>
        <n v="23165"/>
        <n v="19331"/>
        <n v="17975"/>
        <n v="18562"/>
        <n v="19767"/>
        <n v="19188"/>
        <n v="19713"/>
        <n v="19794"/>
        <n v="35241"/>
        <n v="25448"/>
        <n v="24952"/>
        <n v="28142"/>
        <n v="27775"/>
        <n v="29130"/>
        <n v="26996"/>
        <n v="24442"/>
        <n v="52516"/>
        <n v="38975"/>
        <n v="39908"/>
        <n v="41863"/>
        <n v="44037"/>
        <n v="45691"/>
        <n v="45754"/>
        <n v="43866"/>
        <n v="248249"/>
        <n v="248277"/>
        <n v="240583"/>
        <n v="222335"/>
        <n v="184925"/>
        <n v="174820"/>
        <n v="180946"/>
        <n v="186348"/>
        <n v="191476"/>
        <n v="199695"/>
        <n v="203369"/>
        <n v="13293"/>
        <n v="13292"/>
        <n v="13552"/>
        <n v="14035"/>
        <n v="15038"/>
        <n v="14538"/>
        <n v="14585"/>
        <n v="15256"/>
        <n v="15935"/>
        <n v="16870"/>
        <n v="17362"/>
        <n v="17675"/>
        <n v="18094"/>
        <n v="17789"/>
        <n v="18144"/>
        <n v="16218"/>
        <n v="14401"/>
        <n v="14029"/>
        <n v="14751"/>
        <n v="15188"/>
        <n v="16052"/>
        <n v="16066"/>
        <n v="36468"/>
        <n v="36485"/>
        <n v="37618"/>
        <n v="36238"/>
        <n v="29422"/>
        <n v="27413"/>
        <n v="27720"/>
        <n v="29007"/>
        <n v="29958"/>
        <n v="29737"/>
        <n v="30263"/>
        <n v="93687"/>
        <n v="91392"/>
        <n v="84864"/>
        <n v="72374"/>
        <n v="55140"/>
        <n v="51836"/>
        <n v="54654"/>
        <n v="57553"/>
        <n v="60442"/>
        <n v="66127"/>
        <n v="67062"/>
        <n v="87126"/>
        <n v="89014"/>
        <n v="86760"/>
        <n v="81544"/>
        <n v="69107"/>
        <n v="66632"/>
        <n v="69958"/>
        <n v="69781"/>
        <n v="69953"/>
        <n v="70909"/>
        <n v="72616"/>
        <n v="102302"/>
        <n v="101543"/>
        <n v="104104"/>
        <n v="108566"/>
        <n v="113264"/>
        <n v="13671"/>
        <n v="14136"/>
        <n v="14126"/>
        <n v="14305"/>
        <n v="15102"/>
        <n v="8509"/>
        <n v="8829"/>
        <n v="8500"/>
        <n v="8018"/>
        <n v="8552"/>
        <n v="15157"/>
        <n v="14116"/>
        <n v="13862"/>
        <n v="14117"/>
        <n v="14167"/>
        <n v="26605"/>
        <n v="27622"/>
        <n v="29021"/>
        <n v="36286"/>
        <n v="39661"/>
        <n v="38360"/>
        <n v="36840"/>
        <n v="38595"/>
        <n v="35840"/>
        <n v="35782"/>
        <n v="8069"/>
        <n v="8522"/>
        <n v="5558"/>
        <n v="4232"/>
        <n v="5623"/>
        <n v="9047"/>
        <n v="5877"/>
        <n v="10791"/>
        <n v="1933"/>
        <n v="2370"/>
        <n v="2172"/>
        <n v="1497"/>
        <n v="2430"/>
        <n v="1268"/>
        <n v="1605"/>
        <n v="2565"/>
        <n v="1699"/>
        <n v="1603"/>
        <n v="726"/>
        <n v="1745"/>
        <n v="858"/>
        <n v="1648"/>
        <n v="1724"/>
        <n v="1736"/>
        <n v="971"/>
        <n v="2792"/>
        <n v="1444"/>
        <n v="1101"/>
        <n v="2381"/>
        <n v="2493"/>
        <n v="1890"/>
        <n v="960"/>
        <n v="4828"/>
        <n v="1103"/>
        <n v="5588"/>
        <n v="5340"/>
        <n v="5482"/>
        <n v="5329"/>
        <n v="523"/>
        <n v="5864"/>
        <n v="1391310"/>
        <n v="1185200"/>
        <n v="1118700"/>
        <n v="1158200"/>
        <n v="1156580"/>
        <n v="1157170"/>
        <n v="1170200"/>
        <n v="1192380"/>
        <n v="100173"/>
        <n v="90243"/>
        <n v="85586"/>
        <n v="82295"/>
        <n v="86812"/>
        <n v="85064"/>
        <n v="83571"/>
        <n v="79291"/>
        <n v="79550"/>
        <n v="71110"/>
        <n v="74736"/>
        <n v="71838"/>
        <n v="73316"/>
        <n v="70877"/>
        <n v="68800"/>
        <n v="171067"/>
        <n v="147120"/>
        <n v="142496"/>
        <n v="146469"/>
        <n v="147082"/>
        <n v="140166"/>
        <n v="137812"/>
        <n v="139305"/>
        <n v="631124"/>
        <n v="517613"/>
        <n v="496068"/>
        <n v="510193"/>
        <n v="522056"/>
        <n v="524559"/>
        <n v="548483"/>
        <n v="566899"/>
        <n v="403175"/>
        <n v="340745"/>
        <n v="318786"/>
        <n v="341216"/>
        <n v="333312"/>
        <n v="332315"/>
        <n v="327963"/>
        <n v="333805"/>
        <n v="221482"/>
        <n v="197910"/>
        <n v="187643"/>
        <n v="183629"/>
        <n v="180722"/>
        <n v="177671"/>
        <n v="177302"/>
        <n v="180271"/>
        <n v="20530"/>
        <n v="20201"/>
        <n v="19597"/>
        <n v="19453"/>
        <n v="19513"/>
        <n v="19666"/>
        <n v="19776"/>
        <n v="20607"/>
        <n v="13079"/>
        <n v="12400"/>
        <n v="11882"/>
        <n v="11906"/>
        <n v="12501"/>
        <n v="12144"/>
        <n v="4339"/>
        <n v="13097"/>
        <n v="21391"/>
        <n v="19858"/>
        <n v="18166"/>
        <n v="18187"/>
        <n v="17278"/>
        <n v="17878"/>
        <n v="9685"/>
        <n v="18316"/>
        <n v="101408"/>
        <n v="85460"/>
        <n v="80403"/>
        <n v="78569"/>
        <n v="77676"/>
        <n v="74962"/>
        <n v="74990"/>
        <n v="74449"/>
        <n v="65074"/>
        <n v="59991"/>
        <n v="57595"/>
        <n v="55515"/>
        <n v="53753"/>
        <n v="53022"/>
        <n v="52087"/>
        <n v="53803"/>
      </sharedItems>
    </cacheField>
    <cacheField name="Flag Cod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55">
  <r>
    <x v="0"/>
    <s v="EMPLOYEE"/>
    <x v="0"/>
    <s v="NBR"/>
    <s v="A"/>
    <n v="2008"/>
    <x v="0"/>
    <m/>
  </r>
  <r>
    <x v="0"/>
    <s v="EMPLOYEE"/>
    <x v="0"/>
    <s v="NBR"/>
    <s v="A"/>
    <n v="2009"/>
    <x v="1"/>
    <m/>
  </r>
  <r>
    <x v="0"/>
    <s v="EMPLOYEE"/>
    <x v="0"/>
    <s v="NBR"/>
    <s v="A"/>
    <n v="2010"/>
    <x v="2"/>
    <m/>
  </r>
  <r>
    <x v="0"/>
    <s v="EMPLOYEE"/>
    <x v="0"/>
    <s v="NBR"/>
    <s v="A"/>
    <n v="2011"/>
    <x v="3"/>
    <m/>
  </r>
  <r>
    <x v="0"/>
    <s v="EMPLOYEE"/>
    <x v="0"/>
    <s v="NBR"/>
    <s v="A"/>
    <n v="2012"/>
    <x v="4"/>
    <m/>
  </r>
  <r>
    <x v="0"/>
    <s v="EMPLOYEE"/>
    <x v="0"/>
    <s v="NBR"/>
    <s v="A"/>
    <n v="2013"/>
    <x v="5"/>
    <m/>
  </r>
  <r>
    <x v="0"/>
    <s v="EMPLOYEE"/>
    <x v="0"/>
    <s v="NBR"/>
    <s v="A"/>
    <n v="2014"/>
    <x v="6"/>
    <m/>
  </r>
  <r>
    <x v="0"/>
    <s v="EMPLOYEE"/>
    <x v="0"/>
    <s v="NBR"/>
    <s v="A"/>
    <n v="2015"/>
    <x v="7"/>
    <m/>
  </r>
  <r>
    <x v="0"/>
    <s v="EMPLOYEE"/>
    <x v="1"/>
    <s v="NBR"/>
    <s v="A"/>
    <n v="2008"/>
    <x v="8"/>
    <m/>
  </r>
  <r>
    <x v="0"/>
    <s v="EMPLOYEE"/>
    <x v="1"/>
    <s v="NBR"/>
    <s v="A"/>
    <n v="2009"/>
    <x v="9"/>
    <m/>
  </r>
  <r>
    <x v="0"/>
    <s v="EMPLOYEE"/>
    <x v="1"/>
    <s v="NBR"/>
    <s v="A"/>
    <n v="2010"/>
    <x v="10"/>
    <m/>
  </r>
  <r>
    <x v="0"/>
    <s v="EMPLOYEE"/>
    <x v="1"/>
    <s v="NBR"/>
    <s v="A"/>
    <n v="2011"/>
    <x v="11"/>
    <m/>
  </r>
  <r>
    <x v="0"/>
    <s v="EMPLOYEE"/>
    <x v="1"/>
    <s v="NBR"/>
    <s v="A"/>
    <n v="2012"/>
    <x v="12"/>
    <m/>
  </r>
  <r>
    <x v="0"/>
    <s v="EMPLOYEE"/>
    <x v="1"/>
    <s v="NBR"/>
    <s v="A"/>
    <n v="2013"/>
    <x v="13"/>
    <m/>
  </r>
  <r>
    <x v="0"/>
    <s v="EMPLOYEE"/>
    <x v="1"/>
    <s v="NBR"/>
    <s v="A"/>
    <n v="2014"/>
    <x v="14"/>
    <m/>
  </r>
  <r>
    <x v="0"/>
    <s v="EMPLOYEE"/>
    <x v="1"/>
    <s v="NBR"/>
    <s v="A"/>
    <n v="2015"/>
    <x v="15"/>
    <m/>
  </r>
  <r>
    <x v="0"/>
    <s v="EMPLOYEE"/>
    <x v="2"/>
    <s v="NBR"/>
    <s v="A"/>
    <n v="2008"/>
    <x v="16"/>
    <m/>
  </r>
  <r>
    <x v="0"/>
    <s v="EMPLOYEE"/>
    <x v="2"/>
    <s v="NBR"/>
    <s v="A"/>
    <n v="2009"/>
    <x v="17"/>
    <m/>
  </r>
  <r>
    <x v="0"/>
    <s v="EMPLOYEE"/>
    <x v="2"/>
    <s v="NBR"/>
    <s v="A"/>
    <n v="2010"/>
    <x v="18"/>
    <m/>
  </r>
  <r>
    <x v="0"/>
    <s v="EMPLOYEE"/>
    <x v="2"/>
    <s v="NBR"/>
    <s v="A"/>
    <n v="2011"/>
    <x v="19"/>
    <m/>
  </r>
  <r>
    <x v="0"/>
    <s v="EMPLOYEE"/>
    <x v="2"/>
    <s v="NBR"/>
    <s v="A"/>
    <n v="2012"/>
    <x v="20"/>
    <m/>
  </r>
  <r>
    <x v="0"/>
    <s v="EMPLOYEE"/>
    <x v="2"/>
    <s v="NBR"/>
    <s v="A"/>
    <n v="2013"/>
    <x v="21"/>
    <m/>
  </r>
  <r>
    <x v="0"/>
    <s v="EMPLOYEE"/>
    <x v="2"/>
    <s v="NBR"/>
    <s v="A"/>
    <n v="2014"/>
    <x v="22"/>
    <m/>
  </r>
  <r>
    <x v="0"/>
    <s v="EMPLOYEE"/>
    <x v="2"/>
    <s v="NBR"/>
    <s v="A"/>
    <n v="2015"/>
    <x v="23"/>
    <m/>
  </r>
  <r>
    <x v="0"/>
    <s v="EMPLOYEE"/>
    <x v="3"/>
    <s v="NBR"/>
    <s v="A"/>
    <n v="2008"/>
    <x v="24"/>
    <m/>
  </r>
  <r>
    <x v="0"/>
    <s v="EMPLOYEE"/>
    <x v="3"/>
    <s v="NBR"/>
    <s v="A"/>
    <n v="2009"/>
    <x v="25"/>
    <m/>
  </r>
  <r>
    <x v="0"/>
    <s v="EMPLOYEE"/>
    <x v="3"/>
    <s v="NBR"/>
    <s v="A"/>
    <n v="2010"/>
    <x v="26"/>
    <m/>
  </r>
  <r>
    <x v="0"/>
    <s v="EMPLOYEE"/>
    <x v="3"/>
    <s v="NBR"/>
    <s v="A"/>
    <n v="2011"/>
    <x v="27"/>
    <m/>
  </r>
  <r>
    <x v="0"/>
    <s v="EMPLOYEE"/>
    <x v="3"/>
    <s v="NBR"/>
    <s v="A"/>
    <n v="2012"/>
    <x v="28"/>
    <m/>
  </r>
  <r>
    <x v="0"/>
    <s v="EMPLOYEE"/>
    <x v="3"/>
    <s v="NBR"/>
    <s v="A"/>
    <n v="2013"/>
    <x v="29"/>
    <m/>
  </r>
  <r>
    <x v="0"/>
    <s v="EMPLOYEE"/>
    <x v="3"/>
    <s v="NBR"/>
    <s v="A"/>
    <n v="2014"/>
    <x v="30"/>
    <m/>
  </r>
  <r>
    <x v="0"/>
    <s v="EMPLOYEE"/>
    <x v="3"/>
    <s v="NBR"/>
    <s v="A"/>
    <n v="2015"/>
    <x v="31"/>
    <m/>
  </r>
  <r>
    <x v="0"/>
    <s v="EMPLOYEE"/>
    <x v="4"/>
    <s v="NBR"/>
    <s v="A"/>
    <n v="2008"/>
    <x v="32"/>
    <m/>
  </r>
  <r>
    <x v="0"/>
    <s v="EMPLOYEE"/>
    <x v="4"/>
    <s v="NBR"/>
    <s v="A"/>
    <n v="2009"/>
    <x v="33"/>
    <m/>
  </r>
  <r>
    <x v="0"/>
    <s v="EMPLOYEE"/>
    <x v="4"/>
    <s v="NBR"/>
    <s v="A"/>
    <n v="2010"/>
    <x v="34"/>
    <m/>
  </r>
  <r>
    <x v="0"/>
    <s v="EMPLOYEE"/>
    <x v="4"/>
    <s v="NBR"/>
    <s v="A"/>
    <n v="2011"/>
    <x v="35"/>
    <m/>
  </r>
  <r>
    <x v="0"/>
    <s v="EMPLOYEE"/>
    <x v="4"/>
    <s v="NBR"/>
    <s v="A"/>
    <n v="2012"/>
    <x v="36"/>
    <m/>
  </r>
  <r>
    <x v="0"/>
    <s v="EMPLOYEE"/>
    <x v="4"/>
    <s v="NBR"/>
    <s v="A"/>
    <n v="2013"/>
    <x v="37"/>
    <m/>
  </r>
  <r>
    <x v="0"/>
    <s v="EMPLOYEE"/>
    <x v="4"/>
    <s v="NBR"/>
    <s v="A"/>
    <n v="2014"/>
    <x v="38"/>
    <m/>
  </r>
  <r>
    <x v="0"/>
    <s v="EMPLOYEE"/>
    <x v="4"/>
    <s v="NBR"/>
    <s v="A"/>
    <n v="2015"/>
    <x v="39"/>
    <m/>
  </r>
  <r>
    <x v="0"/>
    <s v="EMPLOYEE"/>
    <x v="5"/>
    <s v="NBR"/>
    <s v="A"/>
    <n v="2008"/>
    <x v="40"/>
    <m/>
  </r>
  <r>
    <x v="0"/>
    <s v="EMPLOYEE"/>
    <x v="5"/>
    <s v="NBR"/>
    <s v="A"/>
    <n v="2009"/>
    <x v="41"/>
    <m/>
  </r>
  <r>
    <x v="0"/>
    <s v="EMPLOYEE"/>
    <x v="5"/>
    <s v="NBR"/>
    <s v="A"/>
    <n v="2010"/>
    <x v="42"/>
    <m/>
  </r>
  <r>
    <x v="0"/>
    <s v="EMPLOYEE"/>
    <x v="5"/>
    <s v="NBR"/>
    <s v="A"/>
    <n v="2011"/>
    <x v="43"/>
    <m/>
  </r>
  <r>
    <x v="0"/>
    <s v="EMPLOYEE"/>
    <x v="5"/>
    <s v="NBR"/>
    <s v="A"/>
    <n v="2012"/>
    <x v="44"/>
    <m/>
  </r>
  <r>
    <x v="0"/>
    <s v="EMPLOYEE"/>
    <x v="5"/>
    <s v="NBR"/>
    <s v="A"/>
    <n v="2013"/>
    <x v="45"/>
    <m/>
  </r>
  <r>
    <x v="0"/>
    <s v="EMPLOYEE"/>
    <x v="5"/>
    <s v="NBR"/>
    <s v="A"/>
    <n v="2014"/>
    <x v="46"/>
    <m/>
  </r>
  <r>
    <x v="0"/>
    <s v="EMPLOYEE"/>
    <x v="5"/>
    <s v="NBR"/>
    <s v="A"/>
    <n v="2015"/>
    <x v="47"/>
    <m/>
  </r>
  <r>
    <x v="1"/>
    <s v="EMPLOYEE"/>
    <x v="0"/>
    <s v="NBR"/>
    <s v="A"/>
    <n v="2008"/>
    <x v="48"/>
    <m/>
  </r>
  <r>
    <x v="1"/>
    <s v="EMPLOYEE"/>
    <x v="0"/>
    <s v="NBR"/>
    <s v="A"/>
    <n v="2009"/>
    <x v="49"/>
    <m/>
  </r>
  <r>
    <x v="1"/>
    <s v="EMPLOYEE"/>
    <x v="0"/>
    <s v="NBR"/>
    <s v="A"/>
    <n v="2010"/>
    <x v="50"/>
    <m/>
  </r>
  <r>
    <x v="1"/>
    <s v="EMPLOYEE"/>
    <x v="0"/>
    <s v="NBR"/>
    <s v="A"/>
    <n v="2011"/>
    <x v="51"/>
    <m/>
  </r>
  <r>
    <x v="1"/>
    <s v="EMPLOYEE"/>
    <x v="0"/>
    <s v="NBR"/>
    <s v="A"/>
    <n v="2012"/>
    <x v="52"/>
    <m/>
  </r>
  <r>
    <x v="1"/>
    <s v="EMPLOYEE"/>
    <x v="0"/>
    <s v="NBR"/>
    <s v="A"/>
    <n v="2013"/>
    <x v="53"/>
    <m/>
  </r>
  <r>
    <x v="1"/>
    <s v="EMPLOYEE"/>
    <x v="0"/>
    <s v="NBR"/>
    <s v="A"/>
    <n v="2014"/>
    <x v="54"/>
    <m/>
  </r>
  <r>
    <x v="1"/>
    <s v="EMPLOYEE"/>
    <x v="1"/>
    <s v="NBR"/>
    <s v="A"/>
    <n v="2008"/>
    <x v="55"/>
    <m/>
  </r>
  <r>
    <x v="1"/>
    <s v="EMPLOYEE"/>
    <x v="1"/>
    <s v="NBR"/>
    <s v="A"/>
    <n v="2009"/>
    <x v="56"/>
    <m/>
  </r>
  <r>
    <x v="1"/>
    <s v="EMPLOYEE"/>
    <x v="1"/>
    <s v="NBR"/>
    <s v="A"/>
    <n v="2010"/>
    <x v="57"/>
    <m/>
  </r>
  <r>
    <x v="1"/>
    <s v="EMPLOYEE"/>
    <x v="1"/>
    <s v="NBR"/>
    <s v="A"/>
    <n v="2011"/>
    <x v="58"/>
    <m/>
  </r>
  <r>
    <x v="1"/>
    <s v="EMPLOYEE"/>
    <x v="1"/>
    <s v="NBR"/>
    <s v="A"/>
    <n v="2012"/>
    <x v="59"/>
    <m/>
  </r>
  <r>
    <x v="1"/>
    <s v="EMPLOYEE"/>
    <x v="1"/>
    <s v="NBR"/>
    <s v="A"/>
    <n v="2013"/>
    <x v="60"/>
    <m/>
  </r>
  <r>
    <x v="1"/>
    <s v="EMPLOYEE"/>
    <x v="1"/>
    <s v="NBR"/>
    <s v="A"/>
    <n v="2014"/>
    <x v="61"/>
    <m/>
  </r>
  <r>
    <x v="1"/>
    <s v="EMPLOYEE"/>
    <x v="2"/>
    <s v="NBR"/>
    <s v="A"/>
    <n v="2008"/>
    <x v="62"/>
    <m/>
  </r>
  <r>
    <x v="1"/>
    <s v="EMPLOYEE"/>
    <x v="2"/>
    <s v="NBR"/>
    <s v="A"/>
    <n v="2009"/>
    <x v="63"/>
    <m/>
  </r>
  <r>
    <x v="1"/>
    <s v="EMPLOYEE"/>
    <x v="2"/>
    <s v="NBR"/>
    <s v="A"/>
    <n v="2010"/>
    <x v="64"/>
    <m/>
  </r>
  <r>
    <x v="1"/>
    <s v="EMPLOYEE"/>
    <x v="2"/>
    <s v="NBR"/>
    <s v="A"/>
    <n v="2011"/>
    <x v="65"/>
    <m/>
  </r>
  <r>
    <x v="1"/>
    <s v="EMPLOYEE"/>
    <x v="2"/>
    <s v="NBR"/>
    <s v="A"/>
    <n v="2012"/>
    <x v="66"/>
    <m/>
  </r>
  <r>
    <x v="1"/>
    <s v="EMPLOYEE"/>
    <x v="2"/>
    <s v="NBR"/>
    <s v="A"/>
    <n v="2013"/>
    <x v="67"/>
    <m/>
  </r>
  <r>
    <x v="1"/>
    <s v="EMPLOYEE"/>
    <x v="2"/>
    <s v="NBR"/>
    <s v="A"/>
    <n v="2014"/>
    <x v="68"/>
    <m/>
  </r>
  <r>
    <x v="1"/>
    <s v="EMPLOYEE"/>
    <x v="3"/>
    <s v="NBR"/>
    <s v="A"/>
    <n v="2008"/>
    <x v="69"/>
    <m/>
  </r>
  <r>
    <x v="1"/>
    <s v="EMPLOYEE"/>
    <x v="3"/>
    <s v="NBR"/>
    <s v="A"/>
    <n v="2009"/>
    <x v="70"/>
    <m/>
  </r>
  <r>
    <x v="1"/>
    <s v="EMPLOYEE"/>
    <x v="3"/>
    <s v="NBR"/>
    <s v="A"/>
    <n v="2010"/>
    <x v="71"/>
    <m/>
  </r>
  <r>
    <x v="1"/>
    <s v="EMPLOYEE"/>
    <x v="3"/>
    <s v="NBR"/>
    <s v="A"/>
    <n v="2011"/>
    <x v="72"/>
    <m/>
  </r>
  <r>
    <x v="1"/>
    <s v="EMPLOYEE"/>
    <x v="3"/>
    <s v="NBR"/>
    <s v="A"/>
    <n v="2012"/>
    <x v="73"/>
    <m/>
  </r>
  <r>
    <x v="1"/>
    <s v="EMPLOYEE"/>
    <x v="3"/>
    <s v="NBR"/>
    <s v="A"/>
    <n v="2013"/>
    <x v="74"/>
    <m/>
  </r>
  <r>
    <x v="1"/>
    <s v="EMPLOYEE"/>
    <x v="3"/>
    <s v="NBR"/>
    <s v="A"/>
    <n v="2014"/>
    <x v="75"/>
    <m/>
  </r>
  <r>
    <x v="1"/>
    <s v="EMPLOYEE"/>
    <x v="4"/>
    <s v="NBR"/>
    <s v="A"/>
    <n v="2008"/>
    <x v="76"/>
    <m/>
  </r>
  <r>
    <x v="1"/>
    <s v="EMPLOYEE"/>
    <x v="4"/>
    <s v="NBR"/>
    <s v="A"/>
    <n v="2009"/>
    <x v="77"/>
    <m/>
  </r>
  <r>
    <x v="1"/>
    <s v="EMPLOYEE"/>
    <x v="4"/>
    <s v="NBR"/>
    <s v="A"/>
    <n v="2010"/>
    <x v="78"/>
    <m/>
  </r>
  <r>
    <x v="1"/>
    <s v="EMPLOYEE"/>
    <x v="4"/>
    <s v="NBR"/>
    <s v="A"/>
    <n v="2011"/>
    <x v="79"/>
    <m/>
  </r>
  <r>
    <x v="1"/>
    <s v="EMPLOYEE"/>
    <x v="4"/>
    <s v="NBR"/>
    <s v="A"/>
    <n v="2012"/>
    <x v="80"/>
    <m/>
  </r>
  <r>
    <x v="1"/>
    <s v="EMPLOYEE"/>
    <x v="4"/>
    <s v="NBR"/>
    <s v="A"/>
    <n v="2013"/>
    <x v="81"/>
    <m/>
  </r>
  <r>
    <x v="1"/>
    <s v="EMPLOYEE"/>
    <x v="4"/>
    <s v="NBR"/>
    <s v="A"/>
    <n v="2014"/>
    <x v="82"/>
    <m/>
  </r>
  <r>
    <x v="1"/>
    <s v="EMPLOYEE"/>
    <x v="5"/>
    <s v="NBR"/>
    <s v="A"/>
    <n v="2008"/>
    <x v="83"/>
    <m/>
  </r>
  <r>
    <x v="1"/>
    <s v="EMPLOYEE"/>
    <x v="5"/>
    <s v="NBR"/>
    <s v="A"/>
    <n v="2009"/>
    <x v="84"/>
    <m/>
  </r>
  <r>
    <x v="1"/>
    <s v="EMPLOYEE"/>
    <x v="5"/>
    <s v="NBR"/>
    <s v="A"/>
    <n v="2010"/>
    <x v="85"/>
    <m/>
  </r>
  <r>
    <x v="1"/>
    <s v="EMPLOYEE"/>
    <x v="5"/>
    <s v="NBR"/>
    <s v="A"/>
    <n v="2011"/>
    <x v="86"/>
    <m/>
  </r>
  <r>
    <x v="1"/>
    <s v="EMPLOYEE"/>
    <x v="5"/>
    <s v="NBR"/>
    <s v="A"/>
    <n v="2012"/>
    <x v="87"/>
    <m/>
  </r>
  <r>
    <x v="1"/>
    <s v="EMPLOYEE"/>
    <x v="5"/>
    <s v="NBR"/>
    <s v="A"/>
    <n v="2013"/>
    <x v="88"/>
    <m/>
  </r>
  <r>
    <x v="1"/>
    <s v="EMPLOYEE"/>
    <x v="5"/>
    <s v="NBR"/>
    <s v="A"/>
    <n v="2014"/>
    <x v="89"/>
    <m/>
  </r>
  <r>
    <x v="2"/>
    <s v="EMPLOYEE"/>
    <x v="0"/>
    <s v="NBR"/>
    <s v="A"/>
    <n v="2001"/>
    <x v="90"/>
    <m/>
  </r>
  <r>
    <x v="2"/>
    <s v="EMPLOYEE"/>
    <x v="0"/>
    <s v="NBR"/>
    <s v="A"/>
    <n v="2002"/>
    <x v="91"/>
    <m/>
  </r>
  <r>
    <x v="2"/>
    <s v="EMPLOYEE"/>
    <x v="0"/>
    <s v="NBR"/>
    <s v="A"/>
    <n v="2003"/>
    <x v="92"/>
    <m/>
  </r>
  <r>
    <x v="2"/>
    <s v="EMPLOYEE"/>
    <x v="0"/>
    <s v="NBR"/>
    <s v="A"/>
    <n v="2004"/>
    <x v="93"/>
    <m/>
  </r>
  <r>
    <x v="2"/>
    <s v="EMPLOYEE"/>
    <x v="0"/>
    <s v="NBR"/>
    <s v="A"/>
    <n v="2005"/>
    <x v="94"/>
    <m/>
  </r>
  <r>
    <x v="2"/>
    <s v="EMPLOYEE"/>
    <x v="0"/>
    <s v="NBR"/>
    <s v="A"/>
    <n v="2006"/>
    <x v="95"/>
    <m/>
  </r>
  <r>
    <x v="2"/>
    <s v="EMPLOYEE"/>
    <x v="0"/>
    <s v="NBR"/>
    <s v="A"/>
    <n v="2007"/>
    <x v="96"/>
    <m/>
  </r>
  <r>
    <x v="2"/>
    <s v="EMPLOYEE"/>
    <x v="0"/>
    <s v="NBR"/>
    <s v="A"/>
    <n v="2008"/>
    <x v="97"/>
    <m/>
  </r>
  <r>
    <x v="2"/>
    <s v="EMPLOYEE"/>
    <x v="0"/>
    <s v="NBR"/>
    <s v="A"/>
    <n v="2009"/>
    <x v="98"/>
    <m/>
  </r>
  <r>
    <x v="2"/>
    <s v="EMPLOYEE"/>
    <x v="0"/>
    <s v="NBR"/>
    <s v="A"/>
    <n v="2010"/>
    <x v="99"/>
    <m/>
  </r>
  <r>
    <x v="2"/>
    <s v="EMPLOYEE"/>
    <x v="0"/>
    <s v="NBR"/>
    <s v="A"/>
    <n v="2011"/>
    <x v="100"/>
    <m/>
  </r>
  <r>
    <x v="2"/>
    <s v="EMPLOYEE"/>
    <x v="0"/>
    <s v="NBR"/>
    <s v="A"/>
    <n v="2012"/>
    <x v="101"/>
    <m/>
  </r>
  <r>
    <x v="2"/>
    <s v="EMPLOYEE"/>
    <x v="0"/>
    <s v="NBR"/>
    <s v="A"/>
    <n v="2013"/>
    <x v="102"/>
    <m/>
  </r>
  <r>
    <x v="2"/>
    <s v="EMPLOYEE"/>
    <x v="0"/>
    <s v="NBR"/>
    <s v="A"/>
    <n v="2014"/>
    <x v="103"/>
    <m/>
  </r>
  <r>
    <x v="2"/>
    <s v="EMPLOYEE"/>
    <x v="0"/>
    <s v="NBR"/>
    <s v="A"/>
    <n v="2015"/>
    <x v="104"/>
    <m/>
  </r>
  <r>
    <x v="2"/>
    <s v="EMPLOYEE"/>
    <x v="0"/>
    <s v="NBR"/>
    <s v="A"/>
    <n v="2016"/>
    <x v="105"/>
    <m/>
  </r>
  <r>
    <x v="2"/>
    <s v="EMPLOYEE"/>
    <x v="1"/>
    <s v="NBR"/>
    <s v="A"/>
    <n v="2001"/>
    <x v="106"/>
    <m/>
  </r>
  <r>
    <x v="2"/>
    <s v="EMPLOYEE"/>
    <x v="1"/>
    <s v="NBR"/>
    <s v="A"/>
    <n v="2002"/>
    <x v="107"/>
    <m/>
  </r>
  <r>
    <x v="2"/>
    <s v="EMPLOYEE"/>
    <x v="1"/>
    <s v="NBR"/>
    <s v="A"/>
    <n v="2003"/>
    <x v="108"/>
    <m/>
  </r>
  <r>
    <x v="2"/>
    <s v="EMPLOYEE"/>
    <x v="1"/>
    <s v="NBR"/>
    <s v="A"/>
    <n v="2004"/>
    <x v="109"/>
    <m/>
  </r>
  <r>
    <x v="2"/>
    <s v="EMPLOYEE"/>
    <x v="1"/>
    <s v="NBR"/>
    <s v="A"/>
    <n v="2005"/>
    <x v="110"/>
    <m/>
  </r>
  <r>
    <x v="2"/>
    <s v="EMPLOYEE"/>
    <x v="1"/>
    <s v="NBR"/>
    <s v="A"/>
    <n v="2006"/>
    <x v="111"/>
    <m/>
  </r>
  <r>
    <x v="2"/>
    <s v="EMPLOYEE"/>
    <x v="1"/>
    <s v="NBR"/>
    <s v="A"/>
    <n v="2007"/>
    <x v="112"/>
    <m/>
  </r>
  <r>
    <x v="2"/>
    <s v="EMPLOYEE"/>
    <x v="1"/>
    <s v="NBR"/>
    <s v="A"/>
    <n v="2008"/>
    <x v="113"/>
    <m/>
  </r>
  <r>
    <x v="2"/>
    <s v="EMPLOYEE"/>
    <x v="1"/>
    <s v="NBR"/>
    <s v="A"/>
    <n v="2009"/>
    <x v="114"/>
    <m/>
  </r>
  <r>
    <x v="2"/>
    <s v="EMPLOYEE"/>
    <x v="1"/>
    <s v="NBR"/>
    <s v="A"/>
    <n v="2010"/>
    <x v="115"/>
    <m/>
  </r>
  <r>
    <x v="2"/>
    <s v="EMPLOYEE"/>
    <x v="1"/>
    <s v="NBR"/>
    <s v="A"/>
    <n v="2011"/>
    <x v="116"/>
    <m/>
  </r>
  <r>
    <x v="2"/>
    <s v="EMPLOYEE"/>
    <x v="1"/>
    <s v="NBR"/>
    <s v="A"/>
    <n v="2012"/>
    <x v="117"/>
    <m/>
  </r>
  <r>
    <x v="2"/>
    <s v="EMPLOYEE"/>
    <x v="1"/>
    <s v="NBR"/>
    <s v="A"/>
    <n v="2013"/>
    <x v="118"/>
    <m/>
  </r>
  <r>
    <x v="2"/>
    <s v="EMPLOYEE"/>
    <x v="1"/>
    <s v="NBR"/>
    <s v="A"/>
    <n v="2014"/>
    <x v="119"/>
    <m/>
  </r>
  <r>
    <x v="2"/>
    <s v="EMPLOYEE"/>
    <x v="1"/>
    <s v="NBR"/>
    <s v="A"/>
    <n v="2015"/>
    <x v="120"/>
    <m/>
  </r>
  <r>
    <x v="2"/>
    <s v="EMPLOYEE"/>
    <x v="1"/>
    <s v="NBR"/>
    <s v="A"/>
    <n v="2016"/>
    <x v="121"/>
    <m/>
  </r>
  <r>
    <x v="2"/>
    <s v="EMPLOYEE"/>
    <x v="2"/>
    <s v="NBR"/>
    <s v="A"/>
    <n v="2001"/>
    <x v="122"/>
    <m/>
  </r>
  <r>
    <x v="2"/>
    <s v="EMPLOYEE"/>
    <x v="2"/>
    <s v="NBR"/>
    <s v="A"/>
    <n v="2002"/>
    <x v="122"/>
    <m/>
  </r>
  <r>
    <x v="2"/>
    <s v="EMPLOYEE"/>
    <x v="2"/>
    <s v="NBR"/>
    <s v="A"/>
    <n v="2003"/>
    <x v="122"/>
    <m/>
  </r>
  <r>
    <x v="2"/>
    <s v="EMPLOYEE"/>
    <x v="2"/>
    <s v="NBR"/>
    <s v="A"/>
    <n v="2004"/>
    <x v="122"/>
    <m/>
  </r>
  <r>
    <x v="2"/>
    <s v="EMPLOYEE"/>
    <x v="2"/>
    <s v="NBR"/>
    <s v="A"/>
    <n v="2005"/>
    <x v="122"/>
    <m/>
  </r>
  <r>
    <x v="2"/>
    <s v="EMPLOYEE"/>
    <x v="2"/>
    <s v="NBR"/>
    <s v="A"/>
    <n v="2006"/>
    <x v="122"/>
    <m/>
  </r>
  <r>
    <x v="2"/>
    <s v="EMPLOYEE"/>
    <x v="2"/>
    <s v="NBR"/>
    <s v="A"/>
    <n v="2007"/>
    <x v="122"/>
    <m/>
  </r>
  <r>
    <x v="2"/>
    <s v="EMPLOYEE"/>
    <x v="2"/>
    <s v="NBR"/>
    <s v="A"/>
    <n v="2008"/>
    <x v="122"/>
    <m/>
  </r>
  <r>
    <x v="2"/>
    <s v="EMPLOYEE"/>
    <x v="2"/>
    <s v="NBR"/>
    <s v="A"/>
    <n v="2009"/>
    <x v="122"/>
    <m/>
  </r>
  <r>
    <x v="2"/>
    <s v="EMPLOYEE"/>
    <x v="2"/>
    <s v="NBR"/>
    <s v="A"/>
    <n v="2010"/>
    <x v="122"/>
    <m/>
  </r>
  <r>
    <x v="2"/>
    <s v="EMPLOYEE"/>
    <x v="2"/>
    <s v="NBR"/>
    <s v="A"/>
    <n v="2011"/>
    <x v="122"/>
    <m/>
  </r>
  <r>
    <x v="2"/>
    <s v="EMPLOYEE"/>
    <x v="2"/>
    <s v="NBR"/>
    <s v="A"/>
    <n v="2012"/>
    <x v="122"/>
    <m/>
  </r>
  <r>
    <x v="2"/>
    <s v="EMPLOYEE"/>
    <x v="2"/>
    <s v="NBR"/>
    <s v="A"/>
    <n v="2013"/>
    <x v="122"/>
    <m/>
  </r>
  <r>
    <x v="2"/>
    <s v="EMPLOYEE"/>
    <x v="2"/>
    <s v="NBR"/>
    <s v="A"/>
    <n v="2014"/>
    <x v="122"/>
    <m/>
  </r>
  <r>
    <x v="2"/>
    <s v="EMPLOYEE"/>
    <x v="2"/>
    <s v="NBR"/>
    <s v="A"/>
    <n v="2015"/>
    <x v="122"/>
    <m/>
  </r>
  <r>
    <x v="2"/>
    <s v="EMPLOYEE"/>
    <x v="2"/>
    <s v="NBR"/>
    <s v="A"/>
    <n v="2016"/>
    <x v="122"/>
    <m/>
  </r>
  <r>
    <x v="2"/>
    <s v="EMPLOYEE"/>
    <x v="3"/>
    <s v="NBR"/>
    <s v="A"/>
    <n v="2001"/>
    <x v="123"/>
    <m/>
  </r>
  <r>
    <x v="2"/>
    <s v="EMPLOYEE"/>
    <x v="3"/>
    <s v="NBR"/>
    <s v="A"/>
    <n v="2002"/>
    <x v="124"/>
    <m/>
  </r>
  <r>
    <x v="2"/>
    <s v="EMPLOYEE"/>
    <x v="3"/>
    <s v="NBR"/>
    <s v="A"/>
    <n v="2003"/>
    <x v="125"/>
    <m/>
  </r>
  <r>
    <x v="2"/>
    <s v="EMPLOYEE"/>
    <x v="3"/>
    <s v="NBR"/>
    <s v="A"/>
    <n v="2004"/>
    <x v="126"/>
    <m/>
  </r>
  <r>
    <x v="2"/>
    <s v="EMPLOYEE"/>
    <x v="3"/>
    <s v="NBR"/>
    <s v="A"/>
    <n v="2005"/>
    <x v="127"/>
    <m/>
  </r>
  <r>
    <x v="2"/>
    <s v="EMPLOYEE"/>
    <x v="3"/>
    <s v="NBR"/>
    <s v="A"/>
    <n v="2006"/>
    <x v="128"/>
    <m/>
  </r>
  <r>
    <x v="2"/>
    <s v="EMPLOYEE"/>
    <x v="3"/>
    <s v="NBR"/>
    <s v="A"/>
    <n v="2007"/>
    <x v="129"/>
    <m/>
  </r>
  <r>
    <x v="2"/>
    <s v="EMPLOYEE"/>
    <x v="3"/>
    <s v="NBR"/>
    <s v="A"/>
    <n v="2008"/>
    <x v="130"/>
    <m/>
  </r>
  <r>
    <x v="2"/>
    <s v="EMPLOYEE"/>
    <x v="3"/>
    <s v="NBR"/>
    <s v="A"/>
    <n v="2009"/>
    <x v="131"/>
    <m/>
  </r>
  <r>
    <x v="2"/>
    <s v="EMPLOYEE"/>
    <x v="3"/>
    <s v="NBR"/>
    <s v="A"/>
    <n v="2010"/>
    <x v="132"/>
    <m/>
  </r>
  <r>
    <x v="2"/>
    <s v="EMPLOYEE"/>
    <x v="3"/>
    <s v="NBR"/>
    <s v="A"/>
    <n v="2011"/>
    <x v="133"/>
    <m/>
  </r>
  <r>
    <x v="2"/>
    <s v="EMPLOYEE"/>
    <x v="3"/>
    <s v="NBR"/>
    <s v="A"/>
    <n v="2012"/>
    <x v="134"/>
    <m/>
  </r>
  <r>
    <x v="2"/>
    <s v="EMPLOYEE"/>
    <x v="3"/>
    <s v="NBR"/>
    <s v="A"/>
    <n v="2013"/>
    <x v="135"/>
    <m/>
  </r>
  <r>
    <x v="2"/>
    <s v="EMPLOYEE"/>
    <x v="3"/>
    <s v="NBR"/>
    <s v="A"/>
    <n v="2014"/>
    <x v="136"/>
    <m/>
  </r>
  <r>
    <x v="2"/>
    <s v="EMPLOYEE"/>
    <x v="3"/>
    <s v="NBR"/>
    <s v="A"/>
    <n v="2015"/>
    <x v="137"/>
    <m/>
  </r>
  <r>
    <x v="2"/>
    <s v="EMPLOYEE"/>
    <x v="3"/>
    <s v="NBR"/>
    <s v="A"/>
    <n v="2016"/>
    <x v="138"/>
    <m/>
  </r>
  <r>
    <x v="2"/>
    <s v="EMPLOYEE"/>
    <x v="4"/>
    <s v="NBR"/>
    <s v="A"/>
    <n v="2001"/>
    <x v="139"/>
    <m/>
  </r>
  <r>
    <x v="2"/>
    <s v="EMPLOYEE"/>
    <x v="4"/>
    <s v="NBR"/>
    <s v="A"/>
    <n v="2002"/>
    <x v="140"/>
    <m/>
  </r>
  <r>
    <x v="2"/>
    <s v="EMPLOYEE"/>
    <x v="4"/>
    <s v="NBR"/>
    <s v="A"/>
    <n v="2003"/>
    <x v="141"/>
    <m/>
  </r>
  <r>
    <x v="2"/>
    <s v="EMPLOYEE"/>
    <x v="4"/>
    <s v="NBR"/>
    <s v="A"/>
    <n v="2004"/>
    <x v="142"/>
    <m/>
  </r>
  <r>
    <x v="2"/>
    <s v="EMPLOYEE"/>
    <x v="4"/>
    <s v="NBR"/>
    <s v="A"/>
    <n v="2005"/>
    <x v="143"/>
    <m/>
  </r>
  <r>
    <x v="2"/>
    <s v="EMPLOYEE"/>
    <x v="4"/>
    <s v="NBR"/>
    <s v="A"/>
    <n v="2006"/>
    <x v="144"/>
    <m/>
  </r>
  <r>
    <x v="2"/>
    <s v="EMPLOYEE"/>
    <x v="4"/>
    <s v="NBR"/>
    <s v="A"/>
    <n v="2007"/>
    <x v="145"/>
    <m/>
  </r>
  <r>
    <x v="2"/>
    <s v="EMPLOYEE"/>
    <x v="4"/>
    <s v="NBR"/>
    <s v="A"/>
    <n v="2008"/>
    <x v="146"/>
    <m/>
  </r>
  <r>
    <x v="2"/>
    <s v="EMPLOYEE"/>
    <x v="4"/>
    <s v="NBR"/>
    <s v="A"/>
    <n v="2009"/>
    <x v="147"/>
    <m/>
  </r>
  <r>
    <x v="2"/>
    <s v="EMPLOYEE"/>
    <x v="4"/>
    <s v="NBR"/>
    <s v="A"/>
    <n v="2010"/>
    <x v="148"/>
    <m/>
  </r>
  <r>
    <x v="2"/>
    <s v="EMPLOYEE"/>
    <x v="4"/>
    <s v="NBR"/>
    <s v="A"/>
    <n v="2011"/>
    <x v="149"/>
    <m/>
  </r>
  <r>
    <x v="2"/>
    <s v="EMPLOYEE"/>
    <x v="4"/>
    <s v="NBR"/>
    <s v="A"/>
    <n v="2012"/>
    <x v="150"/>
    <m/>
  </r>
  <r>
    <x v="2"/>
    <s v="EMPLOYEE"/>
    <x v="4"/>
    <s v="NBR"/>
    <s v="A"/>
    <n v="2013"/>
    <x v="151"/>
    <m/>
  </r>
  <r>
    <x v="2"/>
    <s v="EMPLOYEE"/>
    <x v="4"/>
    <s v="NBR"/>
    <s v="A"/>
    <n v="2014"/>
    <x v="152"/>
    <m/>
  </r>
  <r>
    <x v="2"/>
    <s v="EMPLOYEE"/>
    <x v="4"/>
    <s v="NBR"/>
    <s v="A"/>
    <n v="2015"/>
    <x v="153"/>
    <m/>
  </r>
  <r>
    <x v="2"/>
    <s v="EMPLOYEE"/>
    <x v="4"/>
    <s v="NBR"/>
    <s v="A"/>
    <n v="2016"/>
    <x v="154"/>
    <m/>
  </r>
  <r>
    <x v="2"/>
    <s v="EMPLOYEE"/>
    <x v="5"/>
    <s v="NBR"/>
    <s v="A"/>
    <n v="2001"/>
    <x v="155"/>
    <m/>
  </r>
  <r>
    <x v="2"/>
    <s v="EMPLOYEE"/>
    <x v="5"/>
    <s v="NBR"/>
    <s v="A"/>
    <n v="2002"/>
    <x v="156"/>
    <m/>
  </r>
  <r>
    <x v="2"/>
    <s v="EMPLOYEE"/>
    <x v="5"/>
    <s v="NBR"/>
    <s v="A"/>
    <n v="2003"/>
    <x v="157"/>
    <m/>
  </r>
  <r>
    <x v="2"/>
    <s v="EMPLOYEE"/>
    <x v="5"/>
    <s v="NBR"/>
    <s v="A"/>
    <n v="2004"/>
    <x v="158"/>
    <m/>
  </r>
  <r>
    <x v="2"/>
    <s v="EMPLOYEE"/>
    <x v="5"/>
    <s v="NBR"/>
    <s v="A"/>
    <n v="2005"/>
    <x v="159"/>
    <m/>
  </r>
  <r>
    <x v="2"/>
    <s v="EMPLOYEE"/>
    <x v="5"/>
    <s v="NBR"/>
    <s v="A"/>
    <n v="2006"/>
    <x v="160"/>
    <m/>
  </r>
  <r>
    <x v="2"/>
    <s v="EMPLOYEE"/>
    <x v="5"/>
    <s v="NBR"/>
    <s v="A"/>
    <n v="2007"/>
    <x v="161"/>
    <m/>
  </r>
  <r>
    <x v="2"/>
    <s v="EMPLOYEE"/>
    <x v="5"/>
    <s v="NBR"/>
    <s v="A"/>
    <n v="2008"/>
    <x v="162"/>
    <m/>
  </r>
  <r>
    <x v="2"/>
    <s v="EMPLOYEE"/>
    <x v="5"/>
    <s v="NBR"/>
    <s v="A"/>
    <n v="2009"/>
    <x v="163"/>
    <m/>
  </r>
  <r>
    <x v="2"/>
    <s v="EMPLOYEE"/>
    <x v="5"/>
    <s v="NBR"/>
    <s v="A"/>
    <n v="2010"/>
    <x v="164"/>
    <m/>
  </r>
  <r>
    <x v="2"/>
    <s v="EMPLOYEE"/>
    <x v="5"/>
    <s v="NBR"/>
    <s v="A"/>
    <n v="2011"/>
    <x v="165"/>
    <m/>
  </r>
  <r>
    <x v="2"/>
    <s v="EMPLOYEE"/>
    <x v="5"/>
    <s v="NBR"/>
    <s v="A"/>
    <n v="2012"/>
    <x v="166"/>
    <m/>
  </r>
  <r>
    <x v="2"/>
    <s v="EMPLOYEE"/>
    <x v="5"/>
    <s v="NBR"/>
    <s v="A"/>
    <n v="2013"/>
    <x v="167"/>
    <m/>
  </r>
  <r>
    <x v="2"/>
    <s v="EMPLOYEE"/>
    <x v="5"/>
    <s v="NBR"/>
    <s v="A"/>
    <n v="2014"/>
    <x v="168"/>
    <m/>
  </r>
  <r>
    <x v="2"/>
    <s v="EMPLOYEE"/>
    <x v="5"/>
    <s v="NBR"/>
    <s v="A"/>
    <n v="2015"/>
    <x v="169"/>
    <m/>
  </r>
  <r>
    <x v="2"/>
    <s v="EMPLOYEE"/>
    <x v="5"/>
    <s v="NBR"/>
    <s v="A"/>
    <n v="2016"/>
    <x v="170"/>
    <m/>
  </r>
  <r>
    <x v="3"/>
    <s v="EMPLOYEE"/>
    <x v="0"/>
    <s v="NBR"/>
    <s v="A"/>
    <n v="2008"/>
    <x v="171"/>
    <m/>
  </r>
  <r>
    <x v="3"/>
    <s v="EMPLOYEE"/>
    <x v="0"/>
    <s v="NBR"/>
    <s v="A"/>
    <n v="2009"/>
    <x v="172"/>
    <m/>
  </r>
  <r>
    <x v="3"/>
    <s v="EMPLOYEE"/>
    <x v="0"/>
    <s v="NBR"/>
    <s v="A"/>
    <n v="2010"/>
    <x v="173"/>
    <m/>
  </r>
  <r>
    <x v="3"/>
    <s v="EMPLOYEE"/>
    <x v="0"/>
    <s v="NBR"/>
    <s v="A"/>
    <n v="2011"/>
    <x v="174"/>
    <m/>
  </r>
  <r>
    <x v="3"/>
    <s v="EMPLOYEE"/>
    <x v="0"/>
    <s v="NBR"/>
    <s v="A"/>
    <n v="2012"/>
    <x v="175"/>
    <m/>
  </r>
  <r>
    <x v="3"/>
    <s v="EMPLOYEE"/>
    <x v="0"/>
    <s v="NBR"/>
    <s v="A"/>
    <n v="2013"/>
    <x v="176"/>
    <m/>
  </r>
  <r>
    <x v="3"/>
    <s v="EMPLOYEE"/>
    <x v="0"/>
    <s v="NBR"/>
    <s v="A"/>
    <n v="2014"/>
    <x v="177"/>
    <m/>
  </r>
  <r>
    <x v="3"/>
    <s v="EMPLOYEE"/>
    <x v="0"/>
    <s v="NBR"/>
    <s v="A"/>
    <n v="2015"/>
    <x v="178"/>
    <m/>
  </r>
  <r>
    <x v="3"/>
    <s v="EMPLOYEE"/>
    <x v="1"/>
    <s v="NBR"/>
    <s v="A"/>
    <n v="2008"/>
    <x v="179"/>
    <m/>
  </r>
  <r>
    <x v="3"/>
    <s v="EMPLOYEE"/>
    <x v="1"/>
    <s v="NBR"/>
    <s v="A"/>
    <n v="2009"/>
    <x v="180"/>
    <m/>
  </r>
  <r>
    <x v="3"/>
    <s v="EMPLOYEE"/>
    <x v="1"/>
    <s v="NBR"/>
    <s v="A"/>
    <n v="2010"/>
    <x v="181"/>
    <m/>
  </r>
  <r>
    <x v="3"/>
    <s v="EMPLOYEE"/>
    <x v="1"/>
    <s v="NBR"/>
    <s v="A"/>
    <n v="2011"/>
    <x v="182"/>
    <m/>
  </r>
  <r>
    <x v="3"/>
    <s v="EMPLOYEE"/>
    <x v="1"/>
    <s v="NBR"/>
    <s v="A"/>
    <n v="2012"/>
    <x v="183"/>
    <m/>
  </r>
  <r>
    <x v="3"/>
    <s v="EMPLOYEE"/>
    <x v="1"/>
    <s v="NBR"/>
    <s v="A"/>
    <n v="2013"/>
    <x v="184"/>
    <m/>
  </r>
  <r>
    <x v="3"/>
    <s v="EMPLOYEE"/>
    <x v="1"/>
    <s v="NBR"/>
    <s v="A"/>
    <n v="2014"/>
    <x v="185"/>
    <m/>
  </r>
  <r>
    <x v="3"/>
    <s v="EMPLOYEE"/>
    <x v="1"/>
    <s v="NBR"/>
    <s v="A"/>
    <n v="2015"/>
    <x v="186"/>
    <m/>
  </r>
  <r>
    <x v="3"/>
    <s v="EMPLOYEE"/>
    <x v="2"/>
    <s v="NBR"/>
    <s v="A"/>
    <n v="2008"/>
    <x v="187"/>
    <m/>
  </r>
  <r>
    <x v="3"/>
    <s v="EMPLOYEE"/>
    <x v="2"/>
    <s v="NBR"/>
    <s v="A"/>
    <n v="2009"/>
    <x v="188"/>
    <m/>
  </r>
  <r>
    <x v="3"/>
    <s v="EMPLOYEE"/>
    <x v="2"/>
    <s v="NBR"/>
    <s v="A"/>
    <n v="2010"/>
    <x v="189"/>
    <m/>
  </r>
  <r>
    <x v="3"/>
    <s v="EMPLOYEE"/>
    <x v="2"/>
    <s v="NBR"/>
    <s v="A"/>
    <n v="2011"/>
    <x v="190"/>
    <m/>
  </r>
  <r>
    <x v="3"/>
    <s v="EMPLOYEE"/>
    <x v="2"/>
    <s v="NBR"/>
    <s v="A"/>
    <n v="2012"/>
    <x v="191"/>
    <m/>
  </r>
  <r>
    <x v="3"/>
    <s v="EMPLOYEE"/>
    <x v="2"/>
    <s v="NBR"/>
    <s v="A"/>
    <n v="2013"/>
    <x v="192"/>
    <m/>
  </r>
  <r>
    <x v="3"/>
    <s v="EMPLOYEE"/>
    <x v="2"/>
    <s v="NBR"/>
    <s v="A"/>
    <n v="2014"/>
    <x v="193"/>
    <m/>
  </r>
  <r>
    <x v="3"/>
    <s v="EMPLOYEE"/>
    <x v="2"/>
    <s v="NBR"/>
    <s v="A"/>
    <n v="2015"/>
    <x v="194"/>
    <m/>
  </r>
  <r>
    <x v="3"/>
    <s v="EMPLOYEE"/>
    <x v="3"/>
    <s v="NBR"/>
    <s v="A"/>
    <n v="2008"/>
    <x v="195"/>
    <m/>
  </r>
  <r>
    <x v="3"/>
    <s v="EMPLOYEE"/>
    <x v="3"/>
    <s v="NBR"/>
    <s v="A"/>
    <n v="2009"/>
    <x v="196"/>
    <m/>
  </r>
  <r>
    <x v="3"/>
    <s v="EMPLOYEE"/>
    <x v="3"/>
    <s v="NBR"/>
    <s v="A"/>
    <n v="2010"/>
    <x v="197"/>
    <m/>
  </r>
  <r>
    <x v="3"/>
    <s v="EMPLOYEE"/>
    <x v="3"/>
    <s v="NBR"/>
    <s v="A"/>
    <n v="2011"/>
    <x v="198"/>
    <m/>
  </r>
  <r>
    <x v="3"/>
    <s v="EMPLOYEE"/>
    <x v="3"/>
    <s v="NBR"/>
    <s v="A"/>
    <n v="2012"/>
    <x v="199"/>
    <m/>
  </r>
  <r>
    <x v="3"/>
    <s v="EMPLOYEE"/>
    <x v="3"/>
    <s v="NBR"/>
    <s v="A"/>
    <n v="2013"/>
    <x v="200"/>
    <m/>
  </r>
  <r>
    <x v="3"/>
    <s v="EMPLOYEE"/>
    <x v="3"/>
    <s v="NBR"/>
    <s v="A"/>
    <n v="2014"/>
    <x v="201"/>
    <m/>
  </r>
  <r>
    <x v="3"/>
    <s v="EMPLOYEE"/>
    <x v="3"/>
    <s v="NBR"/>
    <s v="A"/>
    <n v="2015"/>
    <x v="202"/>
    <m/>
  </r>
  <r>
    <x v="3"/>
    <s v="EMPLOYEE"/>
    <x v="4"/>
    <s v="NBR"/>
    <s v="A"/>
    <n v="2008"/>
    <x v="203"/>
    <m/>
  </r>
  <r>
    <x v="3"/>
    <s v="EMPLOYEE"/>
    <x v="4"/>
    <s v="NBR"/>
    <s v="A"/>
    <n v="2009"/>
    <x v="204"/>
    <m/>
  </r>
  <r>
    <x v="3"/>
    <s v="EMPLOYEE"/>
    <x v="4"/>
    <s v="NBR"/>
    <s v="A"/>
    <n v="2010"/>
    <x v="205"/>
    <m/>
  </r>
  <r>
    <x v="3"/>
    <s v="EMPLOYEE"/>
    <x v="4"/>
    <s v="NBR"/>
    <s v="A"/>
    <n v="2011"/>
    <x v="206"/>
    <m/>
  </r>
  <r>
    <x v="3"/>
    <s v="EMPLOYEE"/>
    <x v="4"/>
    <s v="NBR"/>
    <s v="A"/>
    <n v="2012"/>
    <x v="207"/>
    <m/>
  </r>
  <r>
    <x v="3"/>
    <s v="EMPLOYEE"/>
    <x v="4"/>
    <s v="NBR"/>
    <s v="A"/>
    <n v="2013"/>
    <x v="208"/>
    <m/>
  </r>
  <r>
    <x v="3"/>
    <s v="EMPLOYEE"/>
    <x v="4"/>
    <s v="NBR"/>
    <s v="A"/>
    <n v="2014"/>
    <x v="209"/>
    <m/>
  </r>
  <r>
    <x v="3"/>
    <s v="EMPLOYEE"/>
    <x v="4"/>
    <s v="NBR"/>
    <s v="A"/>
    <n v="2015"/>
    <x v="210"/>
    <m/>
  </r>
  <r>
    <x v="3"/>
    <s v="EMPLOYEE"/>
    <x v="5"/>
    <s v="NBR"/>
    <s v="A"/>
    <n v="2008"/>
    <x v="211"/>
    <m/>
  </r>
  <r>
    <x v="3"/>
    <s v="EMPLOYEE"/>
    <x v="5"/>
    <s v="NBR"/>
    <s v="A"/>
    <n v="2009"/>
    <x v="212"/>
    <m/>
  </r>
  <r>
    <x v="3"/>
    <s v="EMPLOYEE"/>
    <x v="5"/>
    <s v="NBR"/>
    <s v="A"/>
    <n v="2010"/>
    <x v="213"/>
    <m/>
  </r>
  <r>
    <x v="3"/>
    <s v="EMPLOYEE"/>
    <x v="5"/>
    <s v="NBR"/>
    <s v="A"/>
    <n v="2011"/>
    <x v="214"/>
    <m/>
  </r>
  <r>
    <x v="3"/>
    <s v="EMPLOYEE"/>
    <x v="5"/>
    <s v="NBR"/>
    <s v="A"/>
    <n v="2012"/>
    <x v="215"/>
    <m/>
  </r>
  <r>
    <x v="3"/>
    <s v="EMPLOYEE"/>
    <x v="5"/>
    <s v="NBR"/>
    <s v="A"/>
    <n v="2013"/>
    <x v="216"/>
    <m/>
  </r>
  <r>
    <x v="3"/>
    <s v="EMPLOYEE"/>
    <x v="5"/>
    <s v="NBR"/>
    <s v="A"/>
    <n v="2014"/>
    <x v="217"/>
    <m/>
  </r>
  <r>
    <x v="3"/>
    <s v="EMPLOYEE"/>
    <x v="5"/>
    <s v="NBR"/>
    <s v="A"/>
    <n v="2015"/>
    <x v="218"/>
    <m/>
  </r>
  <r>
    <x v="4"/>
    <s v="EMPLOYEE"/>
    <x v="0"/>
    <s v="NBR"/>
    <s v="A"/>
    <n v="2008"/>
    <x v="219"/>
    <m/>
  </r>
  <r>
    <x v="4"/>
    <s v="EMPLOYEE"/>
    <x v="0"/>
    <s v="NBR"/>
    <s v="A"/>
    <n v="2009"/>
    <x v="220"/>
    <m/>
  </r>
  <r>
    <x v="4"/>
    <s v="EMPLOYEE"/>
    <x v="0"/>
    <s v="NBR"/>
    <s v="A"/>
    <n v="2010"/>
    <x v="221"/>
    <m/>
  </r>
  <r>
    <x v="4"/>
    <s v="EMPLOYEE"/>
    <x v="0"/>
    <s v="NBR"/>
    <s v="A"/>
    <n v="2011"/>
    <x v="222"/>
    <m/>
  </r>
  <r>
    <x v="4"/>
    <s v="EMPLOYEE"/>
    <x v="0"/>
    <s v="NBR"/>
    <s v="A"/>
    <n v="2012"/>
    <x v="223"/>
    <m/>
  </r>
  <r>
    <x v="4"/>
    <s v="EMPLOYEE"/>
    <x v="0"/>
    <s v="NBR"/>
    <s v="A"/>
    <n v="2013"/>
    <x v="224"/>
    <m/>
  </r>
  <r>
    <x v="4"/>
    <s v="EMPLOYEE"/>
    <x v="0"/>
    <s v="NBR"/>
    <s v="A"/>
    <n v="2014"/>
    <x v="225"/>
    <m/>
  </r>
  <r>
    <x v="4"/>
    <s v="EMPLOYEE"/>
    <x v="0"/>
    <s v="NBR"/>
    <s v="A"/>
    <n v="2015"/>
    <x v="226"/>
    <m/>
  </r>
  <r>
    <x v="4"/>
    <s v="EMPLOYEE"/>
    <x v="1"/>
    <s v="NBR"/>
    <s v="A"/>
    <n v="2008"/>
    <x v="227"/>
    <m/>
  </r>
  <r>
    <x v="4"/>
    <s v="EMPLOYEE"/>
    <x v="1"/>
    <s v="NBR"/>
    <s v="A"/>
    <n v="2009"/>
    <x v="228"/>
    <m/>
  </r>
  <r>
    <x v="4"/>
    <s v="EMPLOYEE"/>
    <x v="1"/>
    <s v="NBR"/>
    <s v="A"/>
    <n v="2010"/>
    <x v="229"/>
    <m/>
  </r>
  <r>
    <x v="4"/>
    <s v="EMPLOYEE"/>
    <x v="1"/>
    <s v="NBR"/>
    <s v="A"/>
    <n v="2011"/>
    <x v="230"/>
    <m/>
  </r>
  <r>
    <x v="4"/>
    <s v="EMPLOYEE"/>
    <x v="1"/>
    <s v="NBR"/>
    <s v="A"/>
    <n v="2012"/>
    <x v="231"/>
    <m/>
  </r>
  <r>
    <x v="4"/>
    <s v="EMPLOYEE"/>
    <x v="1"/>
    <s v="NBR"/>
    <s v="A"/>
    <n v="2013"/>
    <x v="232"/>
    <m/>
  </r>
  <r>
    <x v="4"/>
    <s v="EMPLOYEE"/>
    <x v="1"/>
    <s v="NBR"/>
    <s v="A"/>
    <n v="2014"/>
    <x v="233"/>
    <m/>
  </r>
  <r>
    <x v="4"/>
    <s v="EMPLOYEE"/>
    <x v="1"/>
    <s v="NBR"/>
    <s v="A"/>
    <n v="2015"/>
    <x v="234"/>
    <m/>
  </r>
  <r>
    <x v="4"/>
    <s v="EMPLOYEE"/>
    <x v="2"/>
    <s v="NBR"/>
    <s v="A"/>
    <n v="2008"/>
    <x v="235"/>
    <m/>
  </r>
  <r>
    <x v="4"/>
    <s v="EMPLOYEE"/>
    <x v="2"/>
    <s v="NBR"/>
    <s v="A"/>
    <n v="2009"/>
    <x v="236"/>
    <m/>
  </r>
  <r>
    <x v="4"/>
    <s v="EMPLOYEE"/>
    <x v="2"/>
    <s v="NBR"/>
    <s v="A"/>
    <n v="2010"/>
    <x v="237"/>
    <m/>
  </r>
  <r>
    <x v="4"/>
    <s v="EMPLOYEE"/>
    <x v="2"/>
    <s v="NBR"/>
    <s v="A"/>
    <n v="2011"/>
    <x v="238"/>
    <m/>
  </r>
  <r>
    <x v="4"/>
    <s v="EMPLOYEE"/>
    <x v="2"/>
    <s v="NBR"/>
    <s v="A"/>
    <n v="2012"/>
    <x v="239"/>
    <m/>
  </r>
  <r>
    <x v="4"/>
    <s v="EMPLOYEE"/>
    <x v="2"/>
    <s v="NBR"/>
    <s v="A"/>
    <n v="2013"/>
    <x v="240"/>
    <m/>
  </r>
  <r>
    <x v="4"/>
    <s v="EMPLOYEE"/>
    <x v="2"/>
    <s v="NBR"/>
    <s v="A"/>
    <n v="2014"/>
    <x v="241"/>
    <m/>
  </r>
  <r>
    <x v="4"/>
    <s v="EMPLOYEE"/>
    <x v="2"/>
    <s v="NBR"/>
    <s v="A"/>
    <n v="2015"/>
    <x v="242"/>
    <m/>
  </r>
  <r>
    <x v="4"/>
    <s v="EMPLOYEE"/>
    <x v="3"/>
    <s v="NBR"/>
    <s v="A"/>
    <n v="2008"/>
    <x v="243"/>
    <m/>
  </r>
  <r>
    <x v="4"/>
    <s v="EMPLOYEE"/>
    <x v="3"/>
    <s v="NBR"/>
    <s v="A"/>
    <n v="2009"/>
    <x v="244"/>
    <m/>
  </r>
  <r>
    <x v="4"/>
    <s v="EMPLOYEE"/>
    <x v="3"/>
    <s v="NBR"/>
    <s v="A"/>
    <n v="2010"/>
    <x v="245"/>
    <m/>
  </r>
  <r>
    <x v="4"/>
    <s v="EMPLOYEE"/>
    <x v="3"/>
    <s v="NBR"/>
    <s v="A"/>
    <n v="2011"/>
    <x v="246"/>
    <m/>
  </r>
  <r>
    <x v="4"/>
    <s v="EMPLOYEE"/>
    <x v="3"/>
    <s v="NBR"/>
    <s v="A"/>
    <n v="2012"/>
    <x v="247"/>
    <m/>
  </r>
  <r>
    <x v="4"/>
    <s v="EMPLOYEE"/>
    <x v="3"/>
    <s v="NBR"/>
    <s v="A"/>
    <n v="2013"/>
    <x v="248"/>
    <m/>
  </r>
  <r>
    <x v="4"/>
    <s v="EMPLOYEE"/>
    <x v="3"/>
    <s v="NBR"/>
    <s v="A"/>
    <n v="2014"/>
    <x v="249"/>
    <m/>
  </r>
  <r>
    <x v="4"/>
    <s v="EMPLOYEE"/>
    <x v="3"/>
    <s v="NBR"/>
    <s v="A"/>
    <n v="2015"/>
    <x v="250"/>
    <m/>
  </r>
  <r>
    <x v="4"/>
    <s v="EMPLOYEE"/>
    <x v="4"/>
    <s v="NBR"/>
    <s v="A"/>
    <n v="2008"/>
    <x v="251"/>
    <m/>
  </r>
  <r>
    <x v="4"/>
    <s v="EMPLOYEE"/>
    <x v="4"/>
    <s v="NBR"/>
    <s v="A"/>
    <n v="2009"/>
    <x v="252"/>
    <m/>
  </r>
  <r>
    <x v="4"/>
    <s v="EMPLOYEE"/>
    <x v="4"/>
    <s v="NBR"/>
    <s v="A"/>
    <n v="2010"/>
    <x v="253"/>
    <m/>
  </r>
  <r>
    <x v="4"/>
    <s v="EMPLOYEE"/>
    <x v="4"/>
    <s v="NBR"/>
    <s v="A"/>
    <n v="2011"/>
    <x v="254"/>
    <m/>
  </r>
  <r>
    <x v="4"/>
    <s v="EMPLOYEE"/>
    <x v="4"/>
    <s v="NBR"/>
    <s v="A"/>
    <n v="2012"/>
    <x v="255"/>
    <m/>
  </r>
  <r>
    <x v="4"/>
    <s v="EMPLOYEE"/>
    <x v="4"/>
    <s v="NBR"/>
    <s v="A"/>
    <n v="2013"/>
    <x v="256"/>
    <m/>
  </r>
  <r>
    <x v="4"/>
    <s v="EMPLOYEE"/>
    <x v="4"/>
    <s v="NBR"/>
    <s v="A"/>
    <n v="2014"/>
    <x v="257"/>
    <m/>
  </r>
  <r>
    <x v="4"/>
    <s v="EMPLOYEE"/>
    <x v="4"/>
    <s v="NBR"/>
    <s v="A"/>
    <n v="2015"/>
    <x v="258"/>
    <m/>
  </r>
  <r>
    <x v="4"/>
    <s v="EMPLOYEE"/>
    <x v="5"/>
    <s v="NBR"/>
    <s v="A"/>
    <n v="2008"/>
    <x v="259"/>
    <m/>
  </r>
  <r>
    <x v="4"/>
    <s v="EMPLOYEE"/>
    <x v="5"/>
    <s v="NBR"/>
    <s v="A"/>
    <n v="2009"/>
    <x v="260"/>
    <m/>
  </r>
  <r>
    <x v="4"/>
    <s v="EMPLOYEE"/>
    <x v="5"/>
    <s v="NBR"/>
    <s v="A"/>
    <n v="2010"/>
    <x v="261"/>
    <m/>
  </r>
  <r>
    <x v="4"/>
    <s v="EMPLOYEE"/>
    <x v="5"/>
    <s v="NBR"/>
    <s v="A"/>
    <n v="2011"/>
    <x v="262"/>
    <m/>
  </r>
  <r>
    <x v="4"/>
    <s v="EMPLOYEE"/>
    <x v="5"/>
    <s v="NBR"/>
    <s v="A"/>
    <n v="2012"/>
    <x v="263"/>
    <m/>
  </r>
  <r>
    <x v="4"/>
    <s v="EMPLOYEE"/>
    <x v="5"/>
    <s v="NBR"/>
    <s v="A"/>
    <n v="2013"/>
    <x v="264"/>
    <m/>
  </r>
  <r>
    <x v="4"/>
    <s v="EMPLOYEE"/>
    <x v="5"/>
    <s v="NBR"/>
    <s v="A"/>
    <n v="2014"/>
    <x v="265"/>
    <m/>
  </r>
  <r>
    <x v="4"/>
    <s v="EMPLOYEE"/>
    <x v="5"/>
    <s v="NBR"/>
    <s v="A"/>
    <n v="2015"/>
    <x v="266"/>
    <m/>
  </r>
  <r>
    <x v="5"/>
    <s v="EMPLOYEE"/>
    <x v="0"/>
    <s v="NBR"/>
    <s v="A"/>
    <n v="2008"/>
    <x v="267"/>
    <m/>
  </r>
  <r>
    <x v="5"/>
    <s v="EMPLOYEE"/>
    <x v="0"/>
    <s v="NBR"/>
    <s v="A"/>
    <n v="2009"/>
    <x v="268"/>
    <m/>
  </r>
  <r>
    <x v="5"/>
    <s v="EMPLOYEE"/>
    <x v="0"/>
    <s v="NBR"/>
    <s v="A"/>
    <n v="2010"/>
    <x v="269"/>
    <m/>
  </r>
  <r>
    <x v="5"/>
    <s v="EMPLOYEE"/>
    <x v="0"/>
    <s v="NBR"/>
    <s v="A"/>
    <n v="2011"/>
    <x v="270"/>
    <m/>
  </r>
  <r>
    <x v="5"/>
    <s v="EMPLOYEE"/>
    <x v="0"/>
    <s v="NBR"/>
    <s v="A"/>
    <n v="2012"/>
    <x v="271"/>
    <m/>
  </r>
  <r>
    <x v="5"/>
    <s v="EMPLOYEE"/>
    <x v="0"/>
    <s v="NBR"/>
    <s v="A"/>
    <n v="2013"/>
    <x v="272"/>
    <s v="B"/>
  </r>
  <r>
    <x v="5"/>
    <s v="EMPLOYEE"/>
    <x v="0"/>
    <s v="NBR"/>
    <s v="A"/>
    <n v="2014"/>
    <x v="273"/>
    <m/>
  </r>
  <r>
    <x v="5"/>
    <s v="EMPLOYEE"/>
    <x v="0"/>
    <s v="NBR"/>
    <s v="A"/>
    <n v="2015"/>
    <x v="274"/>
    <m/>
  </r>
  <r>
    <x v="5"/>
    <s v="EMPLOYEE"/>
    <x v="1"/>
    <s v="NBR"/>
    <s v="A"/>
    <n v="2008"/>
    <x v="275"/>
    <m/>
  </r>
  <r>
    <x v="5"/>
    <s v="EMPLOYEE"/>
    <x v="1"/>
    <s v="NBR"/>
    <s v="A"/>
    <n v="2009"/>
    <x v="276"/>
    <m/>
  </r>
  <r>
    <x v="5"/>
    <s v="EMPLOYEE"/>
    <x v="1"/>
    <s v="NBR"/>
    <s v="A"/>
    <n v="2010"/>
    <x v="277"/>
    <m/>
  </r>
  <r>
    <x v="5"/>
    <s v="EMPLOYEE"/>
    <x v="1"/>
    <s v="NBR"/>
    <s v="A"/>
    <n v="2011"/>
    <x v="278"/>
    <m/>
  </r>
  <r>
    <x v="5"/>
    <s v="EMPLOYEE"/>
    <x v="1"/>
    <s v="NBR"/>
    <s v="A"/>
    <n v="2012"/>
    <x v="279"/>
    <m/>
  </r>
  <r>
    <x v="5"/>
    <s v="EMPLOYEE"/>
    <x v="1"/>
    <s v="NBR"/>
    <s v="A"/>
    <n v="2013"/>
    <x v="280"/>
    <s v="B"/>
  </r>
  <r>
    <x v="5"/>
    <s v="EMPLOYEE"/>
    <x v="1"/>
    <s v="NBR"/>
    <s v="A"/>
    <n v="2014"/>
    <x v="281"/>
    <m/>
  </r>
  <r>
    <x v="5"/>
    <s v="EMPLOYEE"/>
    <x v="1"/>
    <s v="NBR"/>
    <s v="A"/>
    <n v="2015"/>
    <x v="282"/>
    <m/>
  </r>
  <r>
    <x v="5"/>
    <s v="EMPLOYEE"/>
    <x v="2"/>
    <s v="NBR"/>
    <s v="A"/>
    <n v="2008"/>
    <x v="283"/>
    <m/>
  </r>
  <r>
    <x v="5"/>
    <s v="EMPLOYEE"/>
    <x v="2"/>
    <s v="NBR"/>
    <s v="A"/>
    <n v="2009"/>
    <x v="284"/>
    <m/>
  </r>
  <r>
    <x v="5"/>
    <s v="EMPLOYEE"/>
    <x v="2"/>
    <s v="NBR"/>
    <s v="A"/>
    <n v="2010"/>
    <x v="285"/>
    <m/>
  </r>
  <r>
    <x v="5"/>
    <s v="EMPLOYEE"/>
    <x v="2"/>
    <s v="NBR"/>
    <s v="A"/>
    <n v="2011"/>
    <x v="286"/>
    <m/>
  </r>
  <r>
    <x v="5"/>
    <s v="EMPLOYEE"/>
    <x v="2"/>
    <s v="NBR"/>
    <s v="A"/>
    <n v="2012"/>
    <x v="287"/>
    <m/>
  </r>
  <r>
    <x v="5"/>
    <s v="EMPLOYEE"/>
    <x v="2"/>
    <s v="NBR"/>
    <s v="A"/>
    <n v="2013"/>
    <x v="288"/>
    <s v="B"/>
  </r>
  <r>
    <x v="5"/>
    <s v="EMPLOYEE"/>
    <x v="2"/>
    <s v="NBR"/>
    <s v="A"/>
    <n v="2014"/>
    <x v="289"/>
    <m/>
  </r>
  <r>
    <x v="5"/>
    <s v="EMPLOYEE"/>
    <x v="2"/>
    <s v="NBR"/>
    <s v="A"/>
    <n v="2015"/>
    <x v="290"/>
    <m/>
  </r>
  <r>
    <x v="5"/>
    <s v="EMPLOYEE"/>
    <x v="3"/>
    <s v="NBR"/>
    <s v="A"/>
    <n v="2008"/>
    <x v="291"/>
    <m/>
  </r>
  <r>
    <x v="5"/>
    <s v="EMPLOYEE"/>
    <x v="3"/>
    <s v="NBR"/>
    <s v="A"/>
    <n v="2009"/>
    <x v="292"/>
    <m/>
  </r>
  <r>
    <x v="5"/>
    <s v="EMPLOYEE"/>
    <x v="3"/>
    <s v="NBR"/>
    <s v="A"/>
    <n v="2010"/>
    <x v="293"/>
    <m/>
  </r>
  <r>
    <x v="5"/>
    <s v="EMPLOYEE"/>
    <x v="3"/>
    <s v="NBR"/>
    <s v="A"/>
    <n v="2011"/>
    <x v="294"/>
    <m/>
  </r>
  <r>
    <x v="5"/>
    <s v="EMPLOYEE"/>
    <x v="3"/>
    <s v="NBR"/>
    <s v="A"/>
    <n v="2012"/>
    <x v="295"/>
    <m/>
  </r>
  <r>
    <x v="5"/>
    <s v="EMPLOYEE"/>
    <x v="3"/>
    <s v="NBR"/>
    <s v="A"/>
    <n v="2013"/>
    <x v="296"/>
    <s v="B"/>
  </r>
  <r>
    <x v="5"/>
    <s v="EMPLOYEE"/>
    <x v="3"/>
    <s v="NBR"/>
    <s v="A"/>
    <n v="2014"/>
    <x v="297"/>
    <m/>
  </r>
  <r>
    <x v="5"/>
    <s v="EMPLOYEE"/>
    <x v="3"/>
    <s v="NBR"/>
    <s v="A"/>
    <n v="2015"/>
    <x v="298"/>
    <m/>
  </r>
  <r>
    <x v="5"/>
    <s v="EMPLOYEE"/>
    <x v="4"/>
    <s v="NBR"/>
    <s v="A"/>
    <n v="2008"/>
    <x v="299"/>
    <m/>
  </r>
  <r>
    <x v="5"/>
    <s v="EMPLOYEE"/>
    <x v="4"/>
    <s v="NBR"/>
    <s v="A"/>
    <n v="2009"/>
    <x v="300"/>
    <m/>
  </r>
  <r>
    <x v="5"/>
    <s v="EMPLOYEE"/>
    <x v="4"/>
    <s v="NBR"/>
    <s v="A"/>
    <n v="2010"/>
    <x v="301"/>
    <m/>
  </r>
  <r>
    <x v="5"/>
    <s v="EMPLOYEE"/>
    <x v="4"/>
    <s v="NBR"/>
    <s v="A"/>
    <n v="2011"/>
    <x v="302"/>
    <m/>
  </r>
  <r>
    <x v="5"/>
    <s v="EMPLOYEE"/>
    <x v="4"/>
    <s v="NBR"/>
    <s v="A"/>
    <n v="2012"/>
    <x v="303"/>
    <m/>
  </r>
  <r>
    <x v="5"/>
    <s v="EMPLOYEE"/>
    <x v="4"/>
    <s v="NBR"/>
    <s v="A"/>
    <n v="2013"/>
    <x v="304"/>
    <s v="B"/>
  </r>
  <r>
    <x v="5"/>
    <s v="EMPLOYEE"/>
    <x v="4"/>
    <s v="NBR"/>
    <s v="A"/>
    <n v="2014"/>
    <x v="305"/>
    <m/>
  </r>
  <r>
    <x v="5"/>
    <s v="EMPLOYEE"/>
    <x v="4"/>
    <s v="NBR"/>
    <s v="A"/>
    <n v="2015"/>
    <x v="306"/>
    <m/>
  </r>
  <r>
    <x v="5"/>
    <s v="EMPLOYEE"/>
    <x v="5"/>
    <s v="NBR"/>
    <s v="A"/>
    <n v="2008"/>
    <x v="307"/>
    <m/>
  </r>
  <r>
    <x v="5"/>
    <s v="EMPLOYEE"/>
    <x v="5"/>
    <s v="NBR"/>
    <s v="A"/>
    <n v="2009"/>
    <x v="308"/>
    <m/>
  </r>
  <r>
    <x v="5"/>
    <s v="EMPLOYEE"/>
    <x v="5"/>
    <s v="NBR"/>
    <s v="A"/>
    <n v="2010"/>
    <x v="309"/>
    <m/>
  </r>
  <r>
    <x v="5"/>
    <s v="EMPLOYEE"/>
    <x v="5"/>
    <s v="NBR"/>
    <s v="A"/>
    <n v="2011"/>
    <x v="310"/>
    <m/>
  </r>
  <r>
    <x v="5"/>
    <s v="EMPLOYEE"/>
    <x v="5"/>
    <s v="NBR"/>
    <s v="A"/>
    <n v="2012"/>
    <x v="311"/>
    <m/>
  </r>
  <r>
    <x v="5"/>
    <s v="EMPLOYEE"/>
    <x v="5"/>
    <s v="NBR"/>
    <s v="A"/>
    <n v="2013"/>
    <x v="312"/>
    <s v="B"/>
  </r>
  <r>
    <x v="5"/>
    <s v="EMPLOYEE"/>
    <x v="5"/>
    <s v="NBR"/>
    <s v="A"/>
    <n v="2014"/>
    <x v="313"/>
    <m/>
  </r>
  <r>
    <x v="5"/>
    <s v="EMPLOYEE"/>
    <x v="5"/>
    <s v="NBR"/>
    <s v="A"/>
    <n v="2015"/>
    <x v="314"/>
    <m/>
  </r>
  <r>
    <x v="6"/>
    <s v="EMPLOYEE"/>
    <x v="0"/>
    <s v="NBR"/>
    <s v="A"/>
    <n v="2008"/>
    <x v="122"/>
    <s v="N"/>
  </r>
  <r>
    <x v="6"/>
    <s v="EMPLOYEE"/>
    <x v="0"/>
    <s v="NBR"/>
    <s v="A"/>
    <n v="2009"/>
    <x v="315"/>
    <m/>
  </r>
  <r>
    <x v="6"/>
    <s v="EMPLOYEE"/>
    <x v="0"/>
    <s v="NBR"/>
    <s v="A"/>
    <n v="2010"/>
    <x v="316"/>
    <m/>
  </r>
  <r>
    <x v="6"/>
    <s v="EMPLOYEE"/>
    <x v="0"/>
    <s v="NBR"/>
    <s v="A"/>
    <n v="2011"/>
    <x v="317"/>
    <m/>
  </r>
  <r>
    <x v="6"/>
    <s v="EMPLOYEE"/>
    <x v="0"/>
    <s v="NBR"/>
    <s v="A"/>
    <n v="2012"/>
    <x v="318"/>
    <m/>
  </r>
  <r>
    <x v="6"/>
    <s v="EMPLOYEE"/>
    <x v="0"/>
    <s v="NBR"/>
    <s v="A"/>
    <n v="2013"/>
    <x v="319"/>
    <m/>
  </r>
  <r>
    <x v="6"/>
    <s v="EMPLOYEE"/>
    <x v="0"/>
    <s v="NBR"/>
    <s v="A"/>
    <n v="2014"/>
    <x v="320"/>
    <s v="B"/>
  </r>
  <r>
    <x v="6"/>
    <s v="EMPLOYEE"/>
    <x v="0"/>
    <s v="NBR"/>
    <s v="A"/>
    <n v="2015"/>
    <x v="321"/>
    <s v="B"/>
  </r>
  <r>
    <x v="6"/>
    <s v="EMPLOYEE"/>
    <x v="1"/>
    <s v="NBR"/>
    <s v="A"/>
    <n v="2008"/>
    <x v="122"/>
    <s v="N"/>
  </r>
  <r>
    <x v="6"/>
    <s v="EMPLOYEE"/>
    <x v="1"/>
    <s v="NBR"/>
    <s v="A"/>
    <n v="2009"/>
    <x v="322"/>
    <m/>
  </r>
  <r>
    <x v="6"/>
    <s v="EMPLOYEE"/>
    <x v="1"/>
    <s v="NBR"/>
    <s v="A"/>
    <n v="2010"/>
    <x v="323"/>
    <m/>
  </r>
  <r>
    <x v="6"/>
    <s v="EMPLOYEE"/>
    <x v="1"/>
    <s v="NBR"/>
    <s v="A"/>
    <n v="2011"/>
    <x v="324"/>
    <m/>
  </r>
  <r>
    <x v="6"/>
    <s v="EMPLOYEE"/>
    <x v="1"/>
    <s v="NBR"/>
    <s v="A"/>
    <n v="2012"/>
    <x v="325"/>
    <m/>
  </r>
  <r>
    <x v="6"/>
    <s v="EMPLOYEE"/>
    <x v="1"/>
    <s v="NBR"/>
    <s v="A"/>
    <n v="2013"/>
    <x v="326"/>
    <m/>
  </r>
  <r>
    <x v="6"/>
    <s v="EMPLOYEE"/>
    <x v="1"/>
    <s v="NBR"/>
    <s v="A"/>
    <n v="2014"/>
    <x v="327"/>
    <s v="B"/>
  </r>
  <r>
    <x v="6"/>
    <s v="EMPLOYEE"/>
    <x v="1"/>
    <s v="NBR"/>
    <s v="A"/>
    <n v="2015"/>
    <x v="328"/>
    <s v="B"/>
  </r>
  <r>
    <x v="6"/>
    <s v="EMPLOYEE"/>
    <x v="2"/>
    <s v="NBR"/>
    <s v="A"/>
    <n v="2008"/>
    <x v="122"/>
    <s v="N"/>
  </r>
  <r>
    <x v="6"/>
    <s v="EMPLOYEE"/>
    <x v="2"/>
    <s v="NBR"/>
    <s v="A"/>
    <n v="2009"/>
    <x v="329"/>
    <m/>
  </r>
  <r>
    <x v="6"/>
    <s v="EMPLOYEE"/>
    <x v="2"/>
    <s v="NBR"/>
    <s v="A"/>
    <n v="2010"/>
    <x v="330"/>
    <m/>
  </r>
  <r>
    <x v="6"/>
    <s v="EMPLOYEE"/>
    <x v="2"/>
    <s v="NBR"/>
    <s v="A"/>
    <n v="2011"/>
    <x v="331"/>
    <m/>
  </r>
  <r>
    <x v="6"/>
    <s v="EMPLOYEE"/>
    <x v="2"/>
    <s v="NBR"/>
    <s v="A"/>
    <n v="2012"/>
    <x v="332"/>
    <m/>
  </r>
  <r>
    <x v="6"/>
    <s v="EMPLOYEE"/>
    <x v="2"/>
    <s v="NBR"/>
    <s v="A"/>
    <n v="2013"/>
    <x v="333"/>
    <m/>
  </r>
  <r>
    <x v="6"/>
    <s v="EMPLOYEE"/>
    <x v="2"/>
    <s v="NBR"/>
    <s v="A"/>
    <n v="2014"/>
    <x v="334"/>
    <s v="B"/>
  </r>
  <r>
    <x v="6"/>
    <s v="EMPLOYEE"/>
    <x v="2"/>
    <s v="NBR"/>
    <s v="A"/>
    <n v="2015"/>
    <x v="335"/>
    <s v="B"/>
  </r>
  <r>
    <x v="6"/>
    <s v="EMPLOYEE"/>
    <x v="3"/>
    <s v="NBR"/>
    <s v="A"/>
    <n v="2008"/>
    <x v="122"/>
    <s v="N"/>
  </r>
  <r>
    <x v="6"/>
    <s v="EMPLOYEE"/>
    <x v="3"/>
    <s v="NBR"/>
    <s v="A"/>
    <n v="2009"/>
    <x v="336"/>
    <m/>
  </r>
  <r>
    <x v="6"/>
    <s v="EMPLOYEE"/>
    <x v="3"/>
    <s v="NBR"/>
    <s v="A"/>
    <n v="2010"/>
    <x v="337"/>
    <m/>
  </r>
  <r>
    <x v="6"/>
    <s v="EMPLOYEE"/>
    <x v="3"/>
    <s v="NBR"/>
    <s v="A"/>
    <n v="2011"/>
    <x v="338"/>
    <m/>
  </r>
  <r>
    <x v="6"/>
    <s v="EMPLOYEE"/>
    <x v="3"/>
    <s v="NBR"/>
    <s v="A"/>
    <n v="2012"/>
    <x v="339"/>
    <m/>
  </r>
  <r>
    <x v="6"/>
    <s v="EMPLOYEE"/>
    <x v="3"/>
    <s v="NBR"/>
    <s v="A"/>
    <n v="2013"/>
    <x v="340"/>
    <m/>
  </r>
  <r>
    <x v="6"/>
    <s v="EMPLOYEE"/>
    <x v="3"/>
    <s v="NBR"/>
    <s v="A"/>
    <n v="2014"/>
    <x v="341"/>
    <s v="B"/>
  </r>
  <r>
    <x v="6"/>
    <s v="EMPLOYEE"/>
    <x v="3"/>
    <s v="NBR"/>
    <s v="A"/>
    <n v="2015"/>
    <x v="342"/>
    <s v="B"/>
  </r>
  <r>
    <x v="6"/>
    <s v="EMPLOYEE"/>
    <x v="4"/>
    <s v="NBR"/>
    <s v="A"/>
    <n v="2008"/>
    <x v="122"/>
    <s v="N"/>
  </r>
  <r>
    <x v="6"/>
    <s v="EMPLOYEE"/>
    <x v="4"/>
    <s v="NBR"/>
    <s v="A"/>
    <n v="2009"/>
    <x v="343"/>
    <m/>
  </r>
  <r>
    <x v="6"/>
    <s v="EMPLOYEE"/>
    <x v="4"/>
    <s v="NBR"/>
    <s v="A"/>
    <n v="2010"/>
    <x v="344"/>
    <m/>
  </r>
  <r>
    <x v="6"/>
    <s v="EMPLOYEE"/>
    <x v="4"/>
    <s v="NBR"/>
    <s v="A"/>
    <n v="2011"/>
    <x v="345"/>
    <m/>
  </r>
  <r>
    <x v="6"/>
    <s v="EMPLOYEE"/>
    <x v="4"/>
    <s v="NBR"/>
    <s v="A"/>
    <n v="2012"/>
    <x v="346"/>
    <m/>
  </r>
  <r>
    <x v="6"/>
    <s v="EMPLOYEE"/>
    <x v="4"/>
    <s v="NBR"/>
    <s v="A"/>
    <n v="2013"/>
    <x v="347"/>
    <m/>
  </r>
  <r>
    <x v="6"/>
    <s v="EMPLOYEE"/>
    <x v="4"/>
    <s v="NBR"/>
    <s v="A"/>
    <n v="2014"/>
    <x v="348"/>
    <s v="B"/>
  </r>
  <r>
    <x v="6"/>
    <s v="EMPLOYEE"/>
    <x v="4"/>
    <s v="NBR"/>
    <s v="A"/>
    <n v="2015"/>
    <x v="349"/>
    <s v="B"/>
  </r>
  <r>
    <x v="6"/>
    <s v="EMPLOYEE"/>
    <x v="5"/>
    <s v="NBR"/>
    <s v="A"/>
    <n v="2008"/>
    <x v="122"/>
    <s v="N"/>
  </r>
  <r>
    <x v="6"/>
    <s v="EMPLOYEE"/>
    <x v="5"/>
    <s v="NBR"/>
    <s v="A"/>
    <n v="2009"/>
    <x v="350"/>
    <m/>
  </r>
  <r>
    <x v="6"/>
    <s v="EMPLOYEE"/>
    <x v="5"/>
    <s v="NBR"/>
    <s v="A"/>
    <n v="2010"/>
    <x v="351"/>
    <m/>
  </r>
  <r>
    <x v="6"/>
    <s v="EMPLOYEE"/>
    <x v="5"/>
    <s v="NBR"/>
    <s v="A"/>
    <n v="2011"/>
    <x v="352"/>
    <m/>
  </r>
  <r>
    <x v="6"/>
    <s v="EMPLOYEE"/>
    <x v="5"/>
    <s v="NBR"/>
    <s v="A"/>
    <n v="2012"/>
    <x v="353"/>
    <m/>
  </r>
  <r>
    <x v="6"/>
    <s v="EMPLOYEE"/>
    <x v="5"/>
    <s v="NBR"/>
    <s v="A"/>
    <n v="2013"/>
    <x v="354"/>
    <m/>
  </r>
  <r>
    <x v="6"/>
    <s v="EMPLOYEE"/>
    <x v="5"/>
    <s v="NBR"/>
    <s v="A"/>
    <n v="2014"/>
    <x v="355"/>
    <s v="B"/>
  </r>
  <r>
    <x v="6"/>
    <s v="EMPLOYEE"/>
    <x v="5"/>
    <s v="NBR"/>
    <s v="A"/>
    <n v="2015"/>
    <x v="356"/>
    <s v="B"/>
  </r>
  <r>
    <x v="7"/>
    <s v="EMPLOYEE"/>
    <x v="0"/>
    <s v="NBR"/>
    <s v="A"/>
    <n v="2008"/>
    <x v="357"/>
    <m/>
  </r>
  <r>
    <x v="7"/>
    <s v="EMPLOYEE"/>
    <x v="0"/>
    <s v="NBR"/>
    <s v="A"/>
    <n v="2009"/>
    <x v="358"/>
    <m/>
  </r>
  <r>
    <x v="7"/>
    <s v="EMPLOYEE"/>
    <x v="0"/>
    <s v="NBR"/>
    <s v="A"/>
    <n v="2010"/>
    <x v="359"/>
    <m/>
  </r>
  <r>
    <x v="7"/>
    <s v="EMPLOYEE"/>
    <x v="0"/>
    <s v="NBR"/>
    <s v="A"/>
    <n v="2011"/>
    <x v="360"/>
    <m/>
  </r>
  <r>
    <x v="7"/>
    <s v="EMPLOYEE"/>
    <x v="0"/>
    <s v="NBR"/>
    <s v="A"/>
    <n v="2012"/>
    <x v="361"/>
    <m/>
  </r>
  <r>
    <x v="7"/>
    <s v="EMPLOYEE"/>
    <x v="0"/>
    <s v="NBR"/>
    <s v="A"/>
    <n v="2013"/>
    <x v="362"/>
    <m/>
  </r>
  <r>
    <x v="7"/>
    <s v="EMPLOYEE"/>
    <x v="0"/>
    <s v="NBR"/>
    <s v="A"/>
    <n v="2014"/>
    <x v="363"/>
    <m/>
  </r>
  <r>
    <x v="7"/>
    <s v="EMPLOYEE"/>
    <x v="0"/>
    <s v="NBR"/>
    <s v="A"/>
    <n v="2015"/>
    <x v="364"/>
    <m/>
  </r>
  <r>
    <x v="7"/>
    <s v="EMPLOYEE"/>
    <x v="1"/>
    <s v="NBR"/>
    <s v="A"/>
    <n v="2008"/>
    <x v="365"/>
    <m/>
  </r>
  <r>
    <x v="7"/>
    <s v="EMPLOYEE"/>
    <x v="1"/>
    <s v="NBR"/>
    <s v="A"/>
    <n v="2009"/>
    <x v="366"/>
    <m/>
  </r>
  <r>
    <x v="7"/>
    <s v="EMPLOYEE"/>
    <x v="1"/>
    <s v="NBR"/>
    <s v="A"/>
    <n v="2010"/>
    <x v="367"/>
    <m/>
  </r>
  <r>
    <x v="7"/>
    <s v="EMPLOYEE"/>
    <x v="1"/>
    <s v="NBR"/>
    <s v="A"/>
    <n v="2011"/>
    <x v="368"/>
    <m/>
  </r>
  <r>
    <x v="7"/>
    <s v="EMPLOYEE"/>
    <x v="1"/>
    <s v="NBR"/>
    <s v="A"/>
    <n v="2012"/>
    <x v="369"/>
    <m/>
  </r>
  <r>
    <x v="7"/>
    <s v="EMPLOYEE"/>
    <x v="1"/>
    <s v="NBR"/>
    <s v="A"/>
    <n v="2013"/>
    <x v="370"/>
    <m/>
  </r>
  <r>
    <x v="7"/>
    <s v="EMPLOYEE"/>
    <x v="1"/>
    <s v="NBR"/>
    <s v="A"/>
    <n v="2014"/>
    <x v="371"/>
    <m/>
  </r>
  <r>
    <x v="7"/>
    <s v="EMPLOYEE"/>
    <x v="1"/>
    <s v="NBR"/>
    <s v="A"/>
    <n v="2015"/>
    <x v="372"/>
    <m/>
  </r>
  <r>
    <x v="7"/>
    <s v="EMPLOYEE"/>
    <x v="2"/>
    <s v="NBR"/>
    <s v="A"/>
    <n v="2008"/>
    <x v="373"/>
    <m/>
  </r>
  <r>
    <x v="7"/>
    <s v="EMPLOYEE"/>
    <x v="2"/>
    <s v="NBR"/>
    <s v="A"/>
    <n v="2009"/>
    <x v="374"/>
    <m/>
  </r>
  <r>
    <x v="7"/>
    <s v="EMPLOYEE"/>
    <x v="2"/>
    <s v="NBR"/>
    <s v="A"/>
    <n v="2010"/>
    <x v="375"/>
    <m/>
  </r>
  <r>
    <x v="7"/>
    <s v="EMPLOYEE"/>
    <x v="2"/>
    <s v="NBR"/>
    <s v="A"/>
    <n v="2011"/>
    <x v="376"/>
    <m/>
  </r>
  <r>
    <x v="7"/>
    <s v="EMPLOYEE"/>
    <x v="2"/>
    <s v="NBR"/>
    <s v="A"/>
    <n v="2012"/>
    <x v="377"/>
    <m/>
  </r>
  <r>
    <x v="7"/>
    <s v="EMPLOYEE"/>
    <x v="2"/>
    <s v="NBR"/>
    <s v="A"/>
    <n v="2013"/>
    <x v="378"/>
    <m/>
  </r>
  <r>
    <x v="7"/>
    <s v="EMPLOYEE"/>
    <x v="2"/>
    <s v="NBR"/>
    <s v="A"/>
    <n v="2014"/>
    <x v="379"/>
    <m/>
  </r>
  <r>
    <x v="7"/>
    <s v="EMPLOYEE"/>
    <x v="2"/>
    <s v="NBR"/>
    <s v="A"/>
    <n v="2015"/>
    <x v="380"/>
    <m/>
  </r>
  <r>
    <x v="7"/>
    <s v="EMPLOYEE"/>
    <x v="3"/>
    <s v="NBR"/>
    <s v="A"/>
    <n v="2008"/>
    <x v="381"/>
    <m/>
  </r>
  <r>
    <x v="7"/>
    <s v="EMPLOYEE"/>
    <x v="3"/>
    <s v="NBR"/>
    <s v="A"/>
    <n v="2009"/>
    <x v="382"/>
    <m/>
  </r>
  <r>
    <x v="7"/>
    <s v="EMPLOYEE"/>
    <x v="3"/>
    <s v="NBR"/>
    <s v="A"/>
    <n v="2010"/>
    <x v="383"/>
    <m/>
  </r>
  <r>
    <x v="7"/>
    <s v="EMPLOYEE"/>
    <x v="3"/>
    <s v="NBR"/>
    <s v="A"/>
    <n v="2011"/>
    <x v="384"/>
    <m/>
  </r>
  <r>
    <x v="7"/>
    <s v="EMPLOYEE"/>
    <x v="3"/>
    <s v="NBR"/>
    <s v="A"/>
    <n v="2012"/>
    <x v="385"/>
    <m/>
  </r>
  <r>
    <x v="7"/>
    <s v="EMPLOYEE"/>
    <x v="3"/>
    <s v="NBR"/>
    <s v="A"/>
    <n v="2013"/>
    <x v="386"/>
    <m/>
  </r>
  <r>
    <x v="7"/>
    <s v="EMPLOYEE"/>
    <x v="3"/>
    <s v="NBR"/>
    <s v="A"/>
    <n v="2014"/>
    <x v="387"/>
    <m/>
  </r>
  <r>
    <x v="7"/>
    <s v="EMPLOYEE"/>
    <x v="3"/>
    <s v="NBR"/>
    <s v="A"/>
    <n v="2015"/>
    <x v="388"/>
    <m/>
  </r>
  <r>
    <x v="7"/>
    <s v="EMPLOYEE"/>
    <x v="4"/>
    <s v="NBR"/>
    <s v="A"/>
    <n v="2008"/>
    <x v="389"/>
    <m/>
  </r>
  <r>
    <x v="7"/>
    <s v="EMPLOYEE"/>
    <x v="4"/>
    <s v="NBR"/>
    <s v="A"/>
    <n v="2009"/>
    <x v="390"/>
    <m/>
  </r>
  <r>
    <x v="7"/>
    <s v="EMPLOYEE"/>
    <x v="4"/>
    <s v="NBR"/>
    <s v="A"/>
    <n v="2010"/>
    <x v="391"/>
    <m/>
  </r>
  <r>
    <x v="7"/>
    <s v="EMPLOYEE"/>
    <x v="4"/>
    <s v="NBR"/>
    <s v="A"/>
    <n v="2011"/>
    <x v="392"/>
    <m/>
  </r>
  <r>
    <x v="7"/>
    <s v="EMPLOYEE"/>
    <x v="4"/>
    <s v="NBR"/>
    <s v="A"/>
    <n v="2012"/>
    <x v="393"/>
    <m/>
  </r>
  <r>
    <x v="7"/>
    <s v="EMPLOYEE"/>
    <x v="4"/>
    <s v="NBR"/>
    <s v="A"/>
    <n v="2013"/>
    <x v="394"/>
    <m/>
  </r>
  <r>
    <x v="7"/>
    <s v="EMPLOYEE"/>
    <x v="4"/>
    <s v="NBR"/>
    <s v="A"/>
    <n v="2014"/>
    <x v="395"/>
    <m/>
  </r>
  <r>
    <x v="7"/>
    <s v="EMPLOYEE"/>
    <x v="4"/>
    <s v="NBR"/>
    <s v="A"/>
    <n v="2015"/>
    <x v="396"/>
    <m/>
  </r>
  <r>
    <x v="7"/>
    <s v="EMPLOYEE"/>
    <x v="5"/>
    <s v="NBR"/>
    <s v="A"/>
    <n v="2008"/>
    <x v="397"/>
    <m/>
  </r>
  <r>
    <x v="7"/>
    <s v="EMPLOYEE"/>
    <x v="5"/>
    <s v="NBR"/>
    <s v="A"/>
    <n v="2009"/>
    <x v="398"/>
    <m/>
  </r>
  <r>
    <x v="7"/>
    <s v="EMPLOYEE"/>
    <x v="5"/>
    <s v="NBR"/>
    <s v="A"/>
    <n v="2010"/>
    <x v="399"/>
    <m/>
  </r>
  <r>
    <x v="7"/>
    <s v="EMPLOYEE"/>
    <x v="5"/>
    <s v="NBR"/>
    <s v="A"/>
    <n v="2011"/>
    <x v="400"/>
    <m/>
  </r>
  <r>
    <x v="7"/>
    <s v="EMPLOYEE"/>
    <x v="5"/>
    <s v="NBR"/>
    <s v="A"/>
    <n v="2012"/>
    <x v="401"/>
    <m/>
  </r>
  <r>
    <x v="7"/>
    <s v="EMPLOYEE"/>
    <x v="5"/>
    <s v="NBR"/>
    <s v="A"/>
    <n v="2013"/>
    <x v="402"/>
    <m/>
  </r>
  <r>
    <x v="7"/>
    <s v="EMPLOYEE"/>
    <x v="5"/>
    <s v="NBR"/>
    <s v="A"/>
    <n v="2014"/>
    <x v="403"/>
    <m/>
  </r>
  <r>
    <x v="7"/>
    <s v="EMPLOYEE"/>
    <x v="5"/>
    <s v="NBR"/>
    <s v="A"/>
    <n v="2015"/>
    <x v="404"/>
    <m/>
  </r>
  <r>
    <x v="8"/>
    <s v="EMPLOYEE"/>
    <x v="0"/>
    <s v="NBR"/>
    <s v="A"/>
    <n v="2008"/>
    <x v="405"/>
    <m/>
  </r>
  <r>
    <x v="8"/>
    <s v="EMPLOYEE"/>
    <x v="0"/>
    <s v="NBR"/>
    <s v="A"/>
    <n v="2009"/>
    <x v="406"/>
    <m/>
  </r>
  <r>
    <x v="8"/>
    <s v="EMPLOYEE"/>
    <x v="0"/>
    <s v="NBR"/>
    <s v="A"/>
    <n v="2010"/>
    <x v="407"/>
    <m/>
  </r>
  <r>
    <x v="8"/>
    <s v="EMPLOYEE"/>
    <x v="0"/>
    <s v="NBR"/>
    <s v="A"/>
    <n v="2011"/>
    <x v="408"/>
    <m/>
  </r>
  <r>
    <x v="8"/>
    <s v="EMPLOYEE"/>
    <x v="0"/>
    <s v="NBR"/>
    <s v="A"/>
    <n v="2012"/>
    <x v="409"/>
    <m/>
  </r>
  <r>
    <x v="8"/>
    <s v="EMPLOYEE"/>
    <x v="0"/>
    <s v="NBR"/>
    <s v="A"/>
    <n v="2013"/>
    <x v="410"/>
    <m/>
  </r>
  <r>
    <x v="8"/>
    <s v="EMPLOYEE"/>
    <x v="0"/>
    <s v="NBR"/>
    <s v="A"/>
    <n v="2014"/>
    <x v="411"/>
    <m/>
  </r>
  <r>
    <x v="8"/>
    <s v="EMPLOYEE"/>
    <x v="0"/>
    <s v="NBR"/>
    <s v="A"/>
    <n v="2015"/>
    <x v="412"/>
    <s v="B"/>
  </r>
  <r>
    <x v="8"/>
    <s v="EMPLOYEE"/>
    <x v="1"/>
    <s v="NBR"/>
    <s v="A"/>
    <n v="2008"/>
    <x v="413"/>
    <m/>
  </r>
  <r>
    <x v="8"/>
    <s v="EMPLOYEE"/>
    <x v="1"/>
    <s v="NBR"/>
    <s v="A"/>
    <n v="2009"/>
    <x v="414"/>
    <m/>
  </r>
  <r>
    <x v="8"/>
    <s v="EMPLOYEE"/>
    <x v="1"/>
    <s v="NBR"/>
    <s v="A"/>
    <n v="2010"/>
    <x v="415"/>
    <m/>
  </r>
  <r>
    <x v="8"/>
    <s v="EMPLOYEE"/>
    <x v="1"/>
    <s v="NBR"/>
    <s v="A"/>
    <n v="2011"/>
    <x v="416"/>
    <m/>
  </r>
  <r>
    <x v="8"/>
    <s v="EMPLOYEE"/>
    <x v="1"/>
    <s v="NBR"/>
    <s v="A"/>
    <n v="2012"/>
    <x v="417"/>
    <m/>
  </r>
  <r>
    <x v="8"/>
    <s v="EMPLOYEE"/>
    <x v="1"/>
    <s v="NBR"/>
    <s v="A"/>
    <n v="2013"/>
    <x v="418"/>
    <m/>
  </r>
  <r>
    <x v="8"/>
    <s v="EMPLOYEE"/>
    <x v="1"/>
    <s v="NBR"/>
    <s v="A"/>
    <n v="2014"/>
    <x v="419"/>
    <m/>
  </r>
  <r>
    <x v="8"/>
    <s v="EMPLOYEE"/>
    <x v="1"/>
    <s v="NBR"/>
    <s v="A"/>
    <n v="2015"/>
    <x v="420"/>
    <s v="B"/>
  </r>
  <r>
    <x v="8"/>
    <s v="EMPLOYEE"/>
    <x v="2"/>
    <s v="NBR"/>
    <s v="A"/>
    <n v="2008"/>
    <x v="421"/>
    <m/>
  </r>
  <r>
    <x v="8"/>
    <s v="EMPLOYEE"/>
    <x v="2"/>
    <s v="NBR"/>
    <s v="A"/>
    <n v="2009"/>
    <x v="422"/>
    <m/>
  </r>
  <r>
    <x v="8"/>
    <s v="EMPLOYEE"/>
    <x v="2"/>
    <s v="NBR"/>
    <s v="A"/>
    <n v="2010"/>
    <x v="423"/>
    <m/>
  </r>
  <r>
    <x v="8"/>
    <s v="EMPLOYEE"/>
    <x v="2"/>
    <s v="NBR"/>
    <s v="A"/>
    <n v="2011"/>
    <x v="424"/>
    <m/>
  </r>
  <r>
    <x v="8"/>
    <s v="EMPLOYEE"/>
    <x v="2"/>
    <s v="NBR"/>
    <s v="A"/>
    <n v="2012"/>
    <x v="425"/>
    <m/>
  </r>
  <r>
    <x v="8"/>
    <s v="EMPLOYEE"/>
    <x v="2"/>
    <s v="NBR"/>
    <s v="A"/>
    <n v="2013"/>
    <x v="426"/>
    <m/>
  </r>
  <r>
    <x v="8"/>
    <s v="EMPLOYEE"/>
    <x v="2"/>
    <s v="NBR"/>
    <s v="A"/>
    <n v="2014"/>
    <x v="427"/>
    <m/>
  </r>
  <r>
    <x v="8"/>
    <s v="EMPLOYEE"/>
    <x v="2"/>
    <s v="NBR"/>
    <s v="A"/>
    <n v="2015"/>
    <x v="428"/>
    <s v="B"/>
  </r>
  <r>
    <x v="8"/>
    <s v="EMPLOYEE"/>
    <x v="3"/>
    <s v="NBR"/>
    <s v="A"/>
    <n v="2008"/>
    <x v="429"/>
    <m/>
  </r>
  <r>
    <x v="8"/>
    <s v="EMPLOYEE"/>
    <x v="3"/>
    <s v="NBR"/>
    <s v="A"/>
    <n v="2009"/>
    <x v="430"/>
    <m/>
  </r>
  <r>
    <x v="8"/>
    <s v="EMPLOYEE"/>
    <x v="3"/>
    <s v="NBR"/>
    <s v="A"/>
    <n v="2010"/>
    <x v="431"/>
    <m/>
  </r>
  <r>
    <x v="8"/>
    <s v="EMPLOYEE"/>
    <x v="3"/>
    <s v="NBR"/>
    <s v="A"/>
    <n v="2011"/>
    <x v="432"/>
    <m/>
  </r>
  <r>
    <x v="8"/>
    <s v="EMPLOYEE"/>
    <x v="3"/>
    <s v="NBR"/>
    <s v="A"/>
    <n v="2012"/>
    <x v="433"/>
    <m/>
  </r>
  <r>
    <x v="8"/>
    <s v="EMPLOYEE"/>
    <x v="3"/>
    <s v="NBR"/>
    <s v="A"/>
    <n v="2013"/>
    <x v="434"/>
    <m/>
  </r>
  <r>
    <x v="8"/>
    <s v="EMPLOYEE"/>
    <x v="3"/>
    <s v="NBR"/>
    <s v="A"/>
    <n v="2014"/>
    <x v="435"/>
    <m/>
  </r>
  <r>
    <x v="8"/>
    <s v="EMPLOYEE"/>
    <x v="3"/>
    <s v="NBR"/>
    <s v="A"/>
    <n v="2015"/>
    <x v="436"/>
    <s v="B"/>
  </r>
  <r>
    <x v="8"/>
    <s v="EMPLOYEE"/>
    <x v="4"/>
    <s v="NBR"/>
    <s v="A"/>
    <n v="2008"/>
    <x v="437"/>
    <m/>
  </r>
  <r>
    <x v="8"/>
    <s v="EMPLOYEE"/>
    <x v="4"/>
    <s v="NBR"/>
    <s v="A"/>
    <n v="2009"/>
    <x v="438"/>
    <m/>
  </r>
  <r>
    <x v="8"/>
    <s v="EMPLOYEE"/>
    <x v="4"/>
    <s v="NBR"/>
    <s v="A"/>
    <n v="2010"/>
    <x v="439"/>
    <m/>
  </r>
  <r>
    <x v="8"/>
    <s v="EMPLOYEE"/>
    <x v="4"/>
    <s v="NBR"/>
    <s v="A"/>
    <n v="2011"/>
    <x v="440"/>
    <m/>
  </r>
  <r>
    <x v="8"/>
    <s v="EMPLOYEE"/>
    <x v="4"/>
    <s v="NBR"/>
    <s v="A"/>
    <n v="2012"/>
    <x v="441"/>
    <m/>
  </r>
  <r>
    <x v="8"/>
    <s v="EMPLOYEE"/>
    <x v="4"/>
    <s v="NBR"/>
    <s v="A"/>
    <n v="2013"/>
    <x v="442"/>
    <m/>
  </r>
  <r>
    <x v="8"/>
    <s v="EMPLOYEE"/>
    <x v="4"/>
    <s v="NBR"/>
    <s v="A"/>
    <n v="2014"/>
    <x v="443"/>
    <m/>
  </r>
  <r>
    <x v="8"/>
    <s v="EMPLOYEE"/>
    <x v="4"/>
    <s v="NBR"/>
    <s v="A"/>
    <n v="2015"/>
    <x v="444"/>
    <s v="B"/>
  </r>
  <r>
    <x v="8"/>
    <s v="EMPLOYEE"/>
    <x v="5"/>
    <s v="NBR"/>
    <s v="A"/>
    <n v="2008"/>
    <x v="445"/>
    <m/>
  </r>
  <r>
    <x v="8"/>
    <s v="EMPLOYEE"/>
    <x v="5"/>
    <s v="NBR"/>
    <s v="A"/>
    <n v="2009"/>
    <x v="446"/>
    <m/>
  </r>
  <r>
    <x v="8"/>
    <s v="EMPLOYEE"/>
    <x v="5"/>
    <s v="NBR"/>
    <s v="A"/>
    <n v="2010"/>
    <x v="447"/>
    <m/>
  </r>
  <r>
    <x v="8"/>
    <s v="EMPLOYEE"/>
    <x v="5"/>
    <s v="NBR"/>
    <s v="A"/>
    <n v="2011"/>
    <x v="448"/>
    <m/>
  </r>
  <r>
    <x v="8"/>
    <s v="EMPLOYEE"/>
    <x v="5"/>
    <s v="NBR"/>
    <s v="A"/>
    <n v="2012"/>
    <x v="449"/>
    <m/>
  </r>
  <r>
    <x v="8"/>
    <s v="EMPLOYEE"/>
    <x v="5"/>
    <s v="NBR"/>
    <s v="A"/>
    <n v="2013"/>
    <x v="450"/>
    <m/>
  </r>
  <r>
    <x v="8"/>
    <s v="EMPLOYEE"/>
    <x v="5"/>
    <s v="NBR"/>
    <s v="A"/>
    <n v="2014"/>
    <x v="451"/>
    <m/>
  </r>
  <r>
    <x v="8"/>
    <s v="EMPLOYEE"/>
    <x v="5"/>
    <s v="NBR"/>
    <s v="A"/>
    <n v="2015"/>
    <x v="452"/>
    <s v="B"/>
  </r>
  <r>
    <x v="9"/>
    <s v="EMPLOYEE"/>
    <x v="0"/>
    <s v="NBR"/>
    <s v="A"/>
    <n v="2008"/>
    <x v="453"/>
    <m/>
  </r>
  <r>
    <x v="9"/>
    <s v="EMPLOYEE"/>
    <x v="0"/>
    <s v="NBR"/>
    <s v="A"/>
    <n v="2009"/>
    <x v="454"/>
    <m/>
  </r>
  <r>
    <x v="9"/>
    <s v="EMPLOYEE"/>
    <x v="0"/>
    <s v="NBR"/>
    <s v="A"/>
    <n v="2010"/>
    <x v="455"/>
    <m/>
  </r>
  <r>
    <x v="9"/>
    <s v="EMPLOYEE"/>
    <x v="0"/>
    <s v="NBR"/>
    <s v="A"/>
    <n v="2011"/>
    <x v="456"/>
    <m/>
  </r>
  <r>
    <x v="9"/>
    <s v="EMPLOYEE"/>
    <x v="0"/>
    <s v="NBR"/>
    <s v="A"/>
    <n v="2012"/>
    <x v="457"/>
    <m/>
  </r>
  <r>
    <x v="9"/>
    <s v="EMPLOYEE"/>
    <x v="0"/>
    <s v="NBR"/>
    <s v="A"/>
    <n v="2013"/>
    <x v="458"/>
    <m/>
  </r>
  <r>
    <x v="9"/>
    <s v="EMPLOYEE"/>
    <x v="0"/>
    <s v="NBR"/>
    <s v="A"/>
    <n v="2014"/>
    <x v="459"/>
    <m/>
  </r>
  <r>
    <x v="9"/>
    <s v="EMPLOYEE"/>
    <x v="0"/>
    <s v="NBR"/>
    <s v="A"/>
    <n v="2015"/>
    <x v="460"/>
    <m/>
  </r>
  <r>
    <x v="9"/>
    <s v="EMPLOYEE"/>
    <x v="1"/>
    <s v="NBR"/>
    <s v="A"/>
    <n v="2008"/>
    <x v="461"/>
    <m/>
  </r>
  <r>
    <x v="9"/>
    <s v="EMPLOYEE"/>
    <x v="1"/>
    <s v="NBR"/>
    <s v="A"/>
    <n v="2009"/>
    <x v="462"/>
    <m/>
  </r>
  <r>
    <x v="9"/>
    <s v="EMPLOYEE"/>
    <x v="1"/>
    <s v="NBR"/>
    <s v="A"/>
    <n v="2010"/>
    <x v="463"/>
    <m/>
  </r>
  <r>
    <x v="9"/>
    <s v="EMPLOYEE"/>
    <x v="1"/>
    <s v="NBR"/>
    <s v="A"/>
    <n v="2011"/>
    <x v="464"/>
    <m/>
  </r>
  <r>
    <x v="9"/>
    <s v="EMPLOYEE"/>
    <x v="1"/>
    <s v="NBR"/>
    <s v="A"/>
    <n v="2012"/>
    <x v="465"/>
    <m/>
  </r>
  <r>
    <x v="9"/>
    <s v="EMPLOYEE"/>
    <x v="1"/>
    <s v="NBR"/>
    <s v="A"/>
    <n v="2013"/>
    <x v="466"/>
    <m/>
  </r>
  <r>
    <x v="9"/>
    <s v="EMPLOYEE"/>
    <x v="1"/>
    <s v="NBR"/>
    <s v="A"/>
    <n v="2014"/>
    <x v="467"/>
    <m/>
  </r>
  <r>
    <x v="9"/>
    <s v="EMPLOYEE"/>
    <x v="1"/>
    <s v="NBR"/>
    <s v="A"/>
    <n v="2015"/>
    <x v="468"/>
    <m/>
  </r>
  <r>
    <x v="9"/>
    <s v="EMPLOYEE"/>
    <x v="2"/>
    <s v="NBR"/>
    <s v="A"/>
    <n v="2008"/>
    <x v="469"/>
    <m/>
  </r>
  <r>
    <x v="9"/>
    <s v="EMPLOYEE"/>
    <x v="2"/>
    <s v="NBR"/>
    <s v="A"/>
    <n v="2009"/>
    <x v="470"/>
    <m/>
  </r>
  <r>
    <x v="9"/>
    <s v="EMPLOYEE"/>
    <x v="2"/>
    <s v="NBR"/>
    <s v="A"/>
    <n v="2010"/>
    <x v="471"/>
    <m/>
  </r>
  <r>
    <x v="9"/>
    <s v="EMPLOYEE"/>
    <x v="2"/>
    <s v="NBR"/>
    <s v="A"/>
    <n v="2011"/>
    <x v="472"/>
    <m/>
  </r>
  <r>
    <x v="9"/>
    <s v="EMPLOYEE"/>
    <x v="2"/>
    <s v="NBR"/>
    <s v="A"/>
    <n v="2012"/>
    <x v="473"/>
    <m/>
  </r>
  <r>
    <x v="9"/>
    <s v="EMPLOYEE"/>
    <x v="2"/>
    <s v="NBR"/>
    <s v="A"/>
    <n v="2013"/>
    <x v="474"/>
    <m/>
  </r>
  <r>
    <x v="9"/>
    <s v="EMPLOYEE"/>
    <x v="2"/>
    <s v="NBR"/>
    <s v="A"/>
    <n v="2014"/>
    <x v="475"/>
    <m/>
  </r>
  <r>
    <x v="9"/>
    <s v="EMPLOYEE"/>
    <x v="2"/>
    <s v="NBR"/>
    <s v="A"/>
    <n v="2015"/>
    <x v="476"/>
    <m/>
  </r>
  <r>
    <x v="9"/>
    <s v="EMPLOYEE"/>
    <x v="3"/>
    <s v="NBR"/>
    <s v="A"/>
    <n v="2008"/>
    <x v="477"/>
    <m/>
  </r>
  <r>
    <x v="9"/>
    <s v="EMPLOYEE"/>
    <x v="3"/>
    <s v="NBR"/>
    <s v="A"/>
    <n v="2009"/>
    <x v="478"/>
    <m/>
  </r>
  <r>
    <x v="9"/>
    <s v="EMPLOYEE"/>
    <x v="3"/>
    <s v="NBR"/>
    <s v="A"/>
    <n v="2010"/>
    <x v="479"/>
    <m/>
  </r>
  <r>
    <x v="9"/>
    <s v="EMPLOYEE"/>
    <x v="3"/>
    <s v="NBR"/>
    <s v="A"/>
    <n v="2011"/>
    <x v="480"/>
    <m/>
  </r>
  <r>
    <x v="9"/>
    <s v="EMPLOYEE"/>
    <x v="3"/>
    <s v="NBR"/>
    <s v="A"/>
    <n v="2012"/>
    <x v="481"/>
    <m/>
  </r>
  <r>
    <x v="9"/>
    <s v="EMPLOYEE"/>
    <x v="3"/>
    <s v="NBR"/>
    <s v="A"/>
    <n v="2013"/>
    <x v="482"/>
    <m/>
  </r>
  <r>
    <x v="9"/>
    <s v="EMPLOYEE"/>
    <x v="3"/>
    <s v="NBR"/>
    <s v="A"/>
    <n v="2014"/>
    <x v="483"/>
    <m/>
  </r>
  <r>
    <x v="9"/>
    <s v="EMPLOYEE"/>
    <x v="3"/>
    <s v="NBR"/>
    <s v="A"/>
    <n v="2015"/>
    <x v="484"/>
    <m/>
  </r>
  <r>
    <x v="9"/>
    <s v="EMPLOYEE"/>
    <x v="4"/>
    <s v="NBR"/>
    <s v="A"/>
    <n v="2008"/>
    <x v="485"/>
    <m/>
  </r>
  <r>
    <x v="9"/>
    <s v="EMPLOYEE"/>
    <x v="4"/>
    <s v="NBR"/>
    <s v="A"/>
    <n v="2009"/>
    <x v="486"/>
    <m/>
  </r>
  <r>
    <x v="9"/>
    <s v="EMPLOYEE"/>
    <x v="4"/>
    <s v="NBR"/>
    <s v="A"/>
    <n v="2010"/>
    <x v="487"/>
    <m/>
  </r>
  <r>
    <x v="9"/>
    <s v="EMPLOYEE"/>
    <x v="4"/>
    <s v="NBR"/>
    <s v="A"/>
    <n v="2011"/>
    <x v="488"/>
    <m/>
  </r>
  <r>
    <x v="9"/>
    <s v="EMPLOYEE"/>
    <x v="4"/>
    <s v="NBR"/>
    <s v="A"/>
    <n v="2012"/>
    <x v="489"/>
    <m/>
  </r>
  <r>
    <x v="9"/>
    <s v="EMPLOYEE"/>
    <x v="4"/>
    <s v="NBR"/>
    <s v="A"/>
    <n v="2013"/>
    <x v="490"/>
    <m/>
  </r>
  <r>
    <x v="9"/>
    <s v="EMPLOYEE"/>
    <x v="4"/>
    <s v="NBR"/>
    <s v="A"/>
    <n v="2014"/>
    <x v="491"/>
    <m/>
  </r>
  <r>
    <x v="9"/>
    <s v="EMPLOYEE"/>
    <x v="4"/>
    <s v="NBR"/>
    <s v="A"/>
    <n v="2015"/>
    <x v="492"/>
    <m/>
  </r>
  <r>
    <x v="9"/>
    <s v="EMPLOYEE"/>
    <x v="5"/>
    <s v="NBR"/>
    <s v="A"/>
    <n v="2008"/>
    <x v="493"/>
    <m/>
  </r>
  <r>
    <x v="9"/>
    <s v="EMPLOYEE"/>
    <x v="5"/>
    <s v="NBR"/>
    <s v="A"/>
    <n v="2009"/>
    <x v="494"/>
    <m/>
  </r>
  <r>
    <x v="9"/>
    <s v="EMPLOYEE"/>
    <x v="5"/>
    <s v="NBR"/>
    <s v="A"/>
    <n v="2010"/>
    <x v="495"/>
    <m/>
  </r>
  <r>
    <x v="9"/>
    <s v="EMPLOYEE"/>
    <x v="5"/>
    <s v="NBR"/>
    <s v="A"/>
    <n v="2011"/>
    <x v="496"/>
    <m/>
  </r>
  <r>
    <x v="9"/>
    <s v="EMPLOYEE"/>
    <x v="5"/>
    <s v="NBR"/>
    <s v="A"/>
    <n v="2012"/>
    <x v="497"/>
    <m/>
  </r>
  <r>
    <x v="9"/>
    <s v="EMPLOYEE"/>
    <x v="5"/>
    <s v="NBR"/>
    <s v="A"/>
    <n v="2013"/>
    <x v="498"/>
    <m/>
  </r>
  <r>
    <x v="9"/>
    <s v="EMPLOYEE"/>
    <x v="5"/>
    <s v="NBR"/>
    <s v="A"/>
    <n v="2014"/>
    <x v="499"/>
    <m/>
  </r>
  <r>
    <x v="9"/>
    <s v="EMPLOYEE"/>
    <x v="5"/>
    <s v="NBR"/>
    <s v="A"/>
    <n v="2015"/>
    <x v="500"/>
    <m/>
  </r>
  <r>
    <x v="10"/>
    <s v="EMPLOYEE"/>
    <x v="0"/>
    <s v="NBR"/>
    <s v="A"/>
    <n v="2015"/>
    <x v="501"/>
    <m/>
  </r>
  <r>
    <x v="10"/>
    <s v="EMPLOYEE"/>
    <x v="1"/>
    <s v="NBR"/>
    <s v="A"/>
    <n v="2015"/>
    <x v="502"/>
    <m/>
  </r>
  <r>
    <x v="10"/>
    <s v="EMPLOYEE"/>
    <x v="2"/>
    <s v="NBR"/>
    <s v="A"/>
    <n v="2015"/>
    <x v="503"/>
    <m/>
  </r>
  <r>
    <x v="10"/>
    <s v="EMPLOYEE"/>
    <x v="3"/>
    <s v="NBR"/>
    <s v="A"/>
    <n v="2015"/>
    <x v="504"/>
    <m/>
  </r>
  <r>
    <x v="10"/>
    <s v="EMPLOYEE"/>
    <x v="4"/>
    <s v="NBR"/>
    <s v="A"/>
    <n v="2015"/>
    <x v="505"/>
    <m/>
  </r>
  <r>
    <x v="10"/>
    <s v="EMPLOYEE"/>
    <x v="5"/>
    <s v="NBR"/>
    <s v="A"/>
    <n v="2015"/>
    <x v="506"/>
    <m/>
  </r>
  <r>
    <x v="11"/>
    <s v="EMPLOYEE"/>
    <x v="0"/>
    <s v="NBR"/>
    <s v="A"/>
    <n v="2008"/>
    <x v="507"/>
    <m/>
  </r>
  <r>
    <x v="11"/>
    <s v="EMPLOYEE"/>
    <x v="0"/>
    <s v="NBR"/>
    <s v="A"/>
    <n v="2009"/>
    <x v="508"/>
    <m/>
  </r>
  <r>
    <x v="11"/>
    <s v="EMPLOYEE"/>
    <x v="0"/>
    <s v="NBR"/>
    <s v="A"/>
    <n v="2010"/>
    <x v="509"/>
    <m/>
  </r>
  <r>
    <x v="11"/>
    <s v="EMPLOYEE"/>
    <x v="0"/>
    <s v="NBR"/>
    <s v="A"/>
    <n v="2011"/>
    <x v="510"/>
    <m/>
  </r>
  <r>
    <x v="11"/>
    <s v="EMPLOYEE"/>
    <x v="0"/>
    <s v="NBR"/>
    <s v="A"/>
    <n v="2012"/>
    <x v="511"/>
    <m/>
  </r>
  <r>
    <x v="11"/>
    <s v="EMPLOYEE"/>
    <x v="0"/>
    <s v="NBR"/>
    <s v="A"/>
    <n v="2013"/>
    <x v="512"/>
    <m/>
  </r>
  <r>
    <x v="11"/>
    <s v="EMPLOYEE"/>
    <x v="0"/>
    <s v="NBR"/>
    <s v="A"/>
    <n v="2014"/>
    <x v="513"/>
    <m/>
  </r>
  <r>
    <x v="11"/>
    <s v="EMPLOYEE"/>
    <x v="0"/>
    <s v="NBR"/>
    <s v="A"/>
    <n v="2015"/>
    <x v="514"/>
    <m/>
  </r>
  <r>
    <x v="11"/>
    <s v="EMPLOYEE"/>
    <x v="1"/>
    <s v="NBR"/>
    <s v="A"/>
    <n v="2008"/>
    <x v="515"/>
    <m/>
  </r>
  <r>
    <x v="11"/>
    <s v="EMPLOYEE"/>
    <x v="1"/>
    <s v="NBR"/>
    <s v="A"/>
    <n v="2009"/>
    <x v="516"/>
    <m/>
  </r>
  <r>
    <x v="11"/>
    <s v="EMPLOYEE"/>
    <x v="1"/>
    <s v="NBR"/>
    <s v="A"/>
    <n v="2010"/>
    <x v="517"/>
    <m/>
  </r>
  <r>
    <x v="11"/>
    <s v="EMPLOYEE"/>
    <x v="1"/>
    <s v="NBR"/>
    <s v="A"/>
    <n v="2011"/>
    <x v="518"/>
    <m/>
  </r>
  <r>
    <x v="11"/>
    <s v="EMPLOYEE"/>
    <x v="1"/>
    <s v="NBR"/>
    <s v="A"/>
    <n v="2012"/>
    <x v="519"/>
    <m/>
  </r>
  <r>
    <x v="11"/>
    <s v="EMPLOYEE"/>
    <x v="1"/>
    <s v="NBR"/>
    <s v="A"/>
    <n v="2013"/>
    <x v="520"/>
    <m/>
  </r>
  <r>
    <x v="11"/>
    <s v="EMPLOYEE"/>
    <x v="1"/>
    <s v="NBR"/>
    <s v="A"/>
    <n v="2014"/>
    <x v="521"/>
    <m/>
  </r>
  <r>
    <x v="11"/>
    <s v="EMPLOYEE"/>
    <x v="1"/>
    <s v="NBR"/>
    <s v="A"/>
    <n v="2015"/>
    <x v="522"/>
    <m/>
  </r>
  <r>
    <x v="11"/>
    <s v="EMPLOYEE"/>
    <x v="2"/>
    <s v="NBR"/>
    <s v="A"/>
    <n v="2008"/>
    <x v="523"/>
    <m/>
  </r>
  <r>
    <x v="11"/>
    <s v="EMPLOYEE"/>
    <x v="2"/>
    <s v="NBR"/>
    <s v="A"/>
    <n v="2009"/>
    <x v="524"/>
    <m/>
  </r>
  <r>
    <x v="11"/>
    <s v="EMPLOYEE"/>
    <x v="2"/>
    <s v="NBR"/>
    <s v="A"/>
    <n v="2010"/>
    <x v="525"/>
    <m/>
  </r>
  <r>
    <x v="11"/>
    <s v="EMPLOYEE"/>
    <x v="2"/>
    <s v="NBR"/>
    <s v="A"/>
    <n v="2011"/>
    <x v="526"/>
    <m/>
  </r>
  <r>
    <x v="11"/>
    <s v="EMPLOYEE"/>
    <x v="2"/>
    <s v="NBR"/>
    <s v="A"/>
    <n v="2012"/>
    <x v="527"/>
    <m/>
  </r>
  <r>
    <x v="11"/>
    <s v="EMPLOYEE"/>
    <x v="2"/>
    <s v="NBR"/>
    <s v="A"/>
    <n v="2013"/>
    <x v="528"/>
    <m/>
  </r>
  <r>
    <x v="11"/>
    <s v="EMPLOYEE"/>
    <x v="2"/>
    <s v="NBR"/>
    <s v="A"/>
    <n v="2014"/>
    <x v="529"/>
    <m/>
  </r>
  <r>
    <x v="11"/>
    <s v="EMPLOYEE"/>
    <x v="2"/>
    <s v="NBR"/>
    <s v="A"/>
    <n v="2015"/>
    <x v="530"/>
    <m/>
  </r>
  <r>
    <x v="11"/>
    <s v="EMPLOYEE"/>
    <x v="3"/>
    <s v="NBR"/>
    <s v="A"/>
    <n v="2008"/>
    <x v="531"/>
    <m/>
  </r>
  <r>
    <x v="11"/>
    <s v="EMPLOYEE"/>
    <x v="3"/>
    <s v="NBR"/>
    <s v="A"/>
    <n v="2009"/>
    <x v="532"/>
    <m/>
  </r>
  <r>
    <x v="11"/>
    <s v="EMPLOYEE"/>
    <x v="3"/>
    <s v="NBR"/>
    <s v="A"/>
    <n v="2010"/>
    <x v="533"/>
    <m/>
  </r>
  <r>
    <x v="11"/>
    <s v="EMPLOYEE"/>
    <x v="3"/>
    <s v="NBR"/>
    <s v="A"/>
    <n v="2011"/>
    <x v="534"/>
    <m/>
  </r>
  <r>
    <x v="11"/>
    <s v="EMPLOYEE"/>
    <x v="3"/>
    <s v="NBR"/>
    <s v="A"/>
    <n v="2012"/>
    <x v="535"/>
    <m/>
  </r>
  <r>
    <x v="11"/>
    <s v="EMPLOYEE"/>
    <x v="3"/>
    <s v="NBR"/>
    <s v="A"/>
    <n v="2013"/>
    <x v="536"/>
    <m/>
  </r>
  <r>
    <x v="11"/>
    <s v="EMPLOYEE"/>
    <x v="3"/>
    <s v="NBR"/>
    <s v="A"/>
    <n v="2014"/>
    <x v="537"/>
    <m/>
  </r>
  <r>
    <x v="11"/>
    <s v="EMPLOYEE"/>
    <x v="3"/>
    <s v="NBR"/>
    <s v="A"/>
    <n v="2015"/>
    <x v="538"/>
    <m/>
  </r>
  <r>
    <x v="11"/>
    <s v="EMPLOYEE"/>
    <x v="4"/>
    <s v="NBR"/>
    <s v="A"/>
    <n v="2008"/>
    <x v="539"/>
    <m/>
  </r>
  <r>
    <x v="11"/>
    <s v="EMPLOYEE"/>
    <x v="4"/>
    <s v="NBR"/>
    <s v="A"/>
    <n v="2009"/>
    <x v="540"/>
    <m/>
  </r>
  <r>
    <x v="11"/>
    <s v="EMPLOYEE"/>
    <x v="4"/>
    <s v="NBR"/>
    <s v="A"/>
    <n v="2010"/>
    <x v="541"/>
    <m/>
  </r>
  <r>
    <x v="11"/>
    <s v="EMPLOYEE"/>
    <x v="4"/>
    <s v="NBR"/>
    <s v="A"/>
    <n v="2011"/>
    <x v="542"/>
    <m/>
  </r>
  <r>
    <x v="11"/>
    <s v="EMPLOYEE"/>
    <x v="4"/>
    <s v="NBR"/>
    <s v="A"/>
    <n v="2012"/>
    <x v="543"/>
    <m/>
  </r>
  <r>
    <x v="11"/>
    <s v="EMPLOYEE"/>
    <x v="4"/>
    <s v="NBR"/>
    <s v="A"/>
    <n v="2013"/>
    <x v="544"/>
    <m/>
  </r>
  <r>
    <x v="11"/>
    <s v="EMPLOYEE"/>
    <x v="4"/>
    <s v="NBR"/>
    <s v="A"/>
    <n v="2014"/>
    <x v="545"/>
    <m/>
  </r>
  <r>
    <x v="11"/>
    <s v="EMPLOYEE"/>
    <x v="4"/>
    <s v="NBR"/>
    <s v="A"/>
    <n v="2015"/>
    <x v="546"/>
    <m/>
  </r>
  <r>
    <x v="11"/>
    <s v="EMPLOYEE"/>
    <x v="5"/>
    <s v="NBR"/>
    <s v="A"/>
    <n v="2008"/>
    <x v="547"/>
    <m/>
  </r>
  <r>
    <x v="11"/>
    <s v="EMPLOYEE"/>
    <x v="5"/>
    <s v="NBR"/>
    <s v="A"/>
    <n v="2009"/>
    <x v="548"/>
    <m/>
  </r>
  <r>
    <x v="11"/>
    <s v="EMPLOYEE"/>
    <x v="5"/>
    <s v="NBR"/>
    <s v="A"/>
    <n v="2010"/>
    <x v="549"/>
    <m/>
  </r>
  <r>
    <x v="11"/>
    <s v="EMPLOYEE"/>
    <x v="5"/>
    <s v="NBR"/>
    <s v="A"/>
    <n v="2011"/>
    <x v="550"/>
    <m/>
  </r>
  <r>
    <x v="11"/>
    <s v="EMPLOYEE"/>
    <x v="5"/>
    <s v="NBR"/>
    <s v="A"/>
    <n v="2012"/>
    <x v="551"/>
    <m/>
  </r>
  <r>
    <x v="11"/>
    <s v="EMPLOYEE"/>
    <x v="5"/>
    <s v="NBR"/>
    <s v="A"/>
    <n v="2013"/>
    <x v="552"/>
    <m/>
  </r>
  <r>
    <x v="11"/>
    <s v="EMPLOYEE"/>
    <x v="5"/>
    <s v="NBR"/>
    <s v="A"/>
    <n v="2014"/>
    <x v="553"/>
    <m/>
  </r>
  <r>
    <x v="11"/>
    <s v="EMPLOYEE"/>
    <x v="5"/>
    <s v="NBR"/>
    <s v="A"/>
    <n v="2015"/>
    <x v="554"/>
    <m/>
  </r>
  <r>
    <x v="12"/>
    <s v="EMPLOYEE"/>
    <x v="0"/>
    <s v="NBR"/>
    <s v="A"/>
    <n v="2008"/>
    <x v="555"/>
    <m/>
  </r>
  <r>
    <x v="12"/>
    <s v="EMPLOYEE"/>
    <x v="0"/>
    <s v="NBR"/>
    <s v="A"/>
    <n v="2009"/>
    <x v="556"/>
    <m/>
  </r>
  <r>
    <x v="12"/>
    <s v="EMPLOYEE"/>
    <x v="0"/>
    <s v="NBR"/>
    <s v="A"/>
    <n v="2010"/>
    <x v="557"/>
    <m/>
  </r>
  <r>
    <x v="12"/>
    <s v="EMPLOYEE"/>
    <x v="0"/>
    <s v="NBR"/>
    <s v="A"/>
    <n v="2011"/>
    <x v="558"/>
    <m/>
  </r>
  <r>
    <x v="12"/>
    <s v="EMPLOYEE"/>
    <x v="0"/>
    <s v="NBR"/>
    <s v="A"/>
    <n v="2012"/>
    <x v="559"/>
    <m/>
  </r>
  <r>
    <x v="12"/>
    <s v="EMPLOYEE"/>
    <x v="0"/>
    <s v="NBR"/>
    <s v="A"/>
    <n v="2013"/>
    <x v="560"/>
    <m/>
  </r>
  <r>
    <x v="12"/>
    <s v="EMPLOYEE"/>
    <x v="0"/>
    <s v="NBR"/>
    <s v="A"/>
    <n v="2014"/>
    <x v="561"/>
    <m/>
  </r>
  <r>
    <x v="12"/>
    <s v="EMPLOYEE"/>
    <x v="0"/>
    <s v="NBR"/>
    <s v="A"/>
    <n v="2015"/>
    <x v="562"/>
    <m/>
  </r>
  <r>
    <x v="12"/>
    <s v="EMPLOYEE"/>
    <x v="1"/>
    <s v="NBR"/>
    <s v="A"/>
    <n v="2008"/>
    <x v="563"/>
    <m/>
  </r>
  <r>
    <x v="12"/>
    <s v="EMPLOYEE"/>
    <x v="1"/>
    <s v="NBR"/>
    <s v="A"/>
    <n v="2009"/>
    <x v="564"/>
    <m/>
  </r>
  <r>
    <x v="12"/>
    <s v="EMPLOYEE"/>
    <x v="1"/>
    <s v="NBR"/>
    <s v="A"/>
    <n v="2010"/>
    <x v="565"/>
    <m/>
  </r>
  <r>
    <x v="12"/>
    <s v="EMPLOYEE"/>
    <x v="1"/>
    <s v="NBR"/>
    <s v="A"/>
    <n v="2011"/>
    <x v="566"/>
    <m/>
  </r>
  <r>
    <x v="12"/>
    <s v="EMPLOYEE"/>
    <x v="1"/>
    <s v="NBR"/>
    <s v="A"/>
    <n v="2012"/>
    <x v="567"/>
    <m/>
  </r>
  <r>
    <x v="12"/>
    <s v="EMPLOYEE"/>
    <x v="1"/>
    <s v="NBR"/>
    <s v="A"/>
    <n v="2013"/>
    <x v="568"/>
    <m/>
  </r>
  <r>
    <x v="12"/>
    <s v="EMPLOYEE"/>
    <x v="1"/>
    <s v="NBR"/>
    <s v="A"/>
    <n v="2014"/>
    <x v="569"/>
    <m/>
  </r>
  <r>
    <x v="12"/>
    <s v="EMPLOYEE"/>
    <x v="1"/>
    <s v="NBR"/>
    <s v="A"/>
    <n v="2015"/>
    <x v="570"/>
    <m/>
  </r>
  <r>
    <x v="12"/>
    <s v="EMPLOYEE"/>
    <x v="2"/>
    <s v="NBR"/>
    <s v="A"/>
    <n v="2008"/>
    <x v="571"/>
    <m/>
  </r>
  <r>
    <x v="12"/>
    <s v="EMPLOYEE"/>
    <x v="2"/>
    <s v="NBR"/>
    <s v="A"/>
    <n v="2009"/>
    <x v="572"/>
    <m/>
  </r>
  <r>
    <x v="12"/>
    <s v="EMPLOYEE"/>
    <x v="2"/>
    <s v="NBR"/>
    <s v="A"/>
    <n v="2010"/>
    <x v="573"/>
    <m/>
  </r>
  <r>
    <x v="12"/>
    <s v="EMPLOYEE"/>
    <x v="2"/>
    <s v="NBR"/>
    <s v="A"/>
    <n v="2011"/>
    <x v="574"/>
    <m/>
  </r>
  <r>
    <x v="12"/>
    <s v="EMPLOYEE"/>
    <x v="2"/>
    <s v="NBR"/>
    <s v="A"/>
    <n v="2012"/>
    <x v="575"/>
    <m/>
  </r>
  <r>
    <x v="12"/>
    <s v="EMPLOYEE"/>
    <x v="2"/>
    <s v="NBR"/>
    <s v="A"/>
    <n v="2013"/>
    <x v="576"/>
    <m/>
  </r>
  <r>
    <x v="12"/>
    <s v="EMPLOYEE"/>
    <x v="2"/>
    <s v="NBR"/>
    <s v="A"/>
    <n v="2014"/>
    <x v="577"/>
    <m/>
  </r>
  <r>
    <x v="12"/>
    <s v="EMPLOYEE"/>
    <x v="2"/>
    <s v="NBR"/>
    <s v="A"/>
    <n v="2015"/>
    <x v="578"/>
    <m/>
  </r>
  <r>
    <x v="12"/>
    <s v="EMPLOYEE"/>
    <x v="3"/>
    <s v="NBR"/>
    <s v="A"/>
    <n v="2008"/>
    <x v="579"/>
    <m/>
  </r>
  <r>
    <x v="12"/>
    <s v="EMPLOYEE"/>
    <x v="3"/>
    <s v="NBR"/>
    <s v="A"/>
    <n v="2009"/>
    <x v="580"/>
    <m/>
  </r>
  <r>
    <x v="12"/>
    <s v="EMPLOYEE"/>
    <x v="3"/>
    <s v="NBR"/>
    <s v="A"/>
    <n v="2010"/>
    <x v="581"/>
    <m/>
  </r>
  <r>
    <x v="12"/>
    <s v="EMPLOYEE"/>
    <x v="3"/>
    <s v="NBR"/>
    <s v="A"/>
    <n v="2011"/>
    <x v="582"/>
    <m/>
  </r>
  <r>
    <x v="12"/>
    <s v="EMPLOYEE"/>
    <x v="3"/>
    <s v="NBR"/>
    <s v="A"/>
    <n v="2012"/>
    <x v="583"/>
    <m/>
  </r>
  <r>
    <x v="12"/>
    <s v="EMPLOYEE"/>
    <x v="3"/>
    <s v="NBR"/>
    <s v="A"/>
    <n v="2013"/>
    <x v="584"/>
    <m/>
  </r>
  <r>
    <x v="12"/>
    <s v="EMPLOYEE"/>
    <x v="3"/>
    <s v="NBR"/>
    <s v="A"/>
    <n v="2014"/>
    <x v="585"/>
    <m/>
  </r>
  <r>
    <x v="12"/>
    <s v="EMPLOYEE"/>
    <x v="3"/>
    <s v="NBR"/>
    <s v="A"/>
    <n v="2015"/>
    <x v="586"/>
    <m/>
  </r>
  <r>
    <x v="12"/>
    <s v="EMPLOYEE"/>
    <x v="4"/>
    <s v="NBR"/>
    <s v="A"/>
    <n v="2008"/>
    <x v="587"/>
    <m/>
  </r>
  <r>
    <x v="12"/>
    <s v="EMPLOYEE"/>
    <x v="4"/>
    <s v="NBR"/>
    <s v="A"/>
    <n v="2009"/>
    <x v="588"/>
    <m/>
  </r>
  <r>
    <x v="12"/>
    <s v="EMPLOYEE"/>
    <x v="4"/>
    <s v="NBR"/>
    <s v="A"/>
    <n v="2010"/>
    <x v="589"/>
    <m/>
  </r>
  <r>
    <x v="12"/>
    <s v="EMPLOYEE"/>
    <x v="4"/>
    <s v="NBR"/>
    <s v="A"/>
    <n v="2011"/>
    <x v="590"/>
    <m/>
  </r>
  <r>
    <x v="12"/>
    <s v="EMPLOYEE"/>
    <x v="4"/>
    <s v="NBR"/>
    <s v="A"/>
    <n v="2012"/>
    <x v="591"/>
    <m/>
  </r>
  <r>
    <x v="12"/>
    <s v="EMPLOYEE"/>
    <x v="4"/>
    <s v="NBR"/>
    <s v="A"/>
    <n v="2013"/>
    <x v="592"/>
    <m/>
  </r>
  <r>
    <x v="12"/>
    <s v="EMPLOYEE"/>
    <x v="4"/>
    <s v="NBR"/>
    <s v="A"/>
    <n v="2014"/>
    <x v="593"/>
    <m/>
  </r>
  <r>
    <x v="12"/>
    <s v="EMPLOYEE"/>
    <x v="4"/>
    <s v="NBR"/>
    <s v="A"/>
    <n v="2015"/>
    <x v="594"/>
    <m/>
  </r>
  <r>
    <x v="12"/>
    <s v="EMPLOYEE"/>
    <x v="5"/>
    <s v="NBR"/>
    <s v="A"/>
    <n v="2008"/>
    <x v="595"/>
    <m/>
  </r>
  <r>
    <x v="12"/>
    <s v="EMPLOYEE"/>
    <x v="5"/>
    <s v="NBR"/>
    <s v="A"/>
    <n v="2009"/>
    <x v="596"/>
    <m/>
  </r>
  <r>
    <x v="12"/>
    <s v="EMPLOYEE"/>
    <x v="5"/>
    <s v="NBR"/>
    <s v="A"/>
    <n v="2010"/>
    <x v="597"/>
    <m/>
  </r>
  <r>
    <x v="12"/>
    <s v="EMPLOYEE"/>
    <x v="5"/>
    <s v="NBR"/>
    <s v="A"/>
    <n v="2011"/>
    <x v="598"/>
    <m/>
  </r>
  <r>
    <x v="12"/>
    <s v="EMPLOYEE"/>
    <x v="5"/>
    <s v="NBR"/>
    <s v="A"/>
    <n v="2012"/>
    <x v="599"/>
    <m/>
  </r>
  <r>
    <x v="12"/>
    <s v="EMPLOYEE"/>
    <x v="5"/>
    <s v="NBR"/>
    <s v="A"/>
    <n v="2013"/>
    <x v="600"/>
    <m/>
  </r>
  <r>
    <x v="12"/>
    <s v="EMPLOYEE"/>
    <x v="5"/>
    <s v="NBR"/>
    <s v="A"/>
    <n v="2014"/>
    <x v="601"/>
    <m/>
  </r>
  <r>
    <x v="12"/>
    <s v="EMPLOYEE"/>
    <x v="5"/>
    <s v="NBR"/>
    <s v="A"/>
    <n v="2015"/>
    <x v="602"/>
    <m/>
  </r>
  <r>
    <x v="13"/>
    <s v="EMPLOYEE"/>
    <x v="0"/>
    <s v="NBR"/>
    <s v="A"/>
    <n v="2001"/>
    <x v="603"/>
    <m/>
  </r>
  <r>
    <x v="13"/>
    <s v="EMPLOYEE"/>
    <x v="0"/>
    <s v="NBR"/>
    <s v="A"/>
    <n v="2006"/>
    <x v="604"/>
    <m/>
  </r>
  <r>
    <x v="13"/>
    <s v="EMPLOYEE"/>
    <x v="0"/>
    <s v="NBR"/>
    <s v="A"/>
    <n v="2008"/>
    <x v="605"/>
    <m/>
  </r>
  <r>
    <x v="13"/>
    <s v="EMPLOYEE"/>
    <x v="0"/>
    <s v="NBR"/>
    <s v="A"/>
    <n v="2009"/>
    <x v="606"/>
    <m/>
  </r>
  <r>
    <x v="13"/>
    <s v="EMPLOYEE"/>
    <x v="0"/>
    <s v="NBR"/>
    <s v="A"/>
    <n v="2010"/>
    <x v="607"/>
    <m/>
  </r>
  <r>
    <x v="13"/>
    <s v="EMPLOYEE"/>
    <x v="0"/>
    <s v="NBR"/>
    <s v="A"/>
    <n v="2011"/>
    <x v="608"/>
    <m/>
  </r>
  <r>
    <x v="13"/>
    <s v="EMPLOYEE"/>
    <x v="0"/>
    <s v="NBR"/>
    <s v="A"/>
    <n v="2012"/>
    <x v="609"/>
    <m/>
  </r>
  <r>
    <x v="13"/>
    <s v="EMPLOYEE"/>
    <x v="0"/>
    <s v="NBR"/>
    <s v="A"/>
    <n v="2013"/>
    <x v="610"/>
    <m/>
  </r>
  <r>
    <x v="13"/>
    <s v="EMPLOYEE"/>
    <x v="0"/>
    <s v="NBR"/>
    <s v="A"/>
    <n v="2014"/>
    <x v="611"/>
    <m/>
  </r>
  <r>
    <x v="13"/>
    <s v="EMPLOYEE"/>
    <x v="1"/>
    <s v="NBR"/>
    <s v="A"/>
    <n v="2001"/>
    <x v="612"/>
    <m/>
  </r>
  <r>
    <x v="13"/>
    <s v="EMPLOYEE"/>
    <x v="1"/>
    <s v="NBR"/>
    <s v="A"/>
    <n v="2006"/>
    <x v="613"/>
    <m/>
  </r>
  <r>
    <x v="13"/>
    <s v="EMPLOYEE"/>
    <x v="1"/>
    <s v="NBR"/>
    <s v="A"/>
    <n v="2011"/>
    <x v="614"/>
    <m/>
  </r>
  <r>
    <x v="13"/>
    <s v="EMPLOYEE"/>
    <x v="1"/>
    <s v="NBR"/>
    <s v="A"/>
    <n v="2012"/>
    <x v="615"/>
    <m/>
  </r>
  <r>
    <x v="13"/>
    <s v="EMPLOYEE"/>
    <x v="1"/>
    <s v="NBR"/>
    <s v="A"/>
    <n v="2013"/>
    <x v="616"/>
    <m/>
  </r>
  <r>
    <x v="13"/>
    <s v="EMPLOYEE"/>
    <x v="1"/>
    <s v="NBR"/>
    <s v="A"/>
    <n v="2014"/>
    <x v="617"/>
    <m/>
  </r>
  <r>
    <x v="13"/>
    <s v="EMPLOYEE"/>
    <x v="2"/>
    <s v="NBR"/>
    <s v="A"/>
    <n v="2001"/>
    <x v="618"/>
    <m/>
  </r>
  <r>
    <x v="13"/>
    <s v="EMPLOYEE"/>
    <x v="2"/>
    <s v="NBR"/>
    <s v="A"/>
    <n v="2006"/>
    <x v="619"/>
    <m/>
  </r>
  <r>
    <x v="13"/>
    <s v="EMPLOYEE"/>
    <x v="2"/>
    <s v="NBR"/>
    <s v="A"/>
    <n v="2011"/>
    <x v="620"/>
    <m/>
  </r>
  <r>
    <x v="13"/>
    <s v="EMPLOYEE"/>
    <x v="2"/>
    <s v="NBR"/>
    <s v="A"/>
    <n v="2012"/>
    <x v="621"/>
    <m/>
  </r>
  <r>
    <x v="13"/>
    <s v="EMPLOYEE"/>
    <x v="2"/>
    <s v="NBR"/>
    <s v="A"/>
    <n v="2013"/>
    <x v="622"/>
    <m/>
  </r>
  <r>
    <x v="13"/>
    <s v="EMPLOYEE"/>
    <x v="2"/>
    <s v="NBR"/>
    <s v="A"/>
    <n v="2014"/>
    <x v="623"/>
    <m/>
  </r>
  <r>
    <x v="13"/>
    <s v="EMPLOYEE"/>
    <x v="3"/>
    <s v="NBR"/>
    <s v="A"/>
    <n v="2001"/>
    <x v="624"/>
    <m/>
  </r>
  <r>
    <x v="13"/>
    <s v="EMPLOYEE"/>
    <x v="3"/>
    <s v="NBR"/>
    <s v="A"/>
    <n v="2006"/>
    <x v="625"/>
    <m/>
  </r>
  <r>
    <x v="13"/>
    <s v="EMPLOYEE"/>
    <x v="3"/>
    <s v="NBR"/>
    <s v="A"/>
    <n v="2011"/>
    <x v="626"/>
    <m/>
  </r>
  <r>
    <x v="13"/>
    <s v="EMPLOYEE"/>
    <x v="3"/>
    <s v="NBR"/>
    <s v="A"/>
    <n v="2012"/>
    <x v="627"/>
    <m/>
  </r>
  <r>
    <x v="13"/>
    <s v="EMPLOYEE"/>
    <x v="3"/>
    <s v="NBR"/>
    <s v="A"/>
    <n v="2013"/>
    <x v="628"/>
    <m/>
  </r>
  <r>
    <x v="13"/>
    <s v="EMPLOYEE"/>
    <x v="3"/>
    <s v="NBR"/>
    <s v="A"/>
    <n v="2014"/>
    <x v="629"/>
    <m/>
  </r>
  <r>
    <x v="13"/>
    <s v="EMPLOYEE"/>
    <x v="4"/>
    <s v="NBR"/>
    <s v="A"/>
    <n v="2001"/>
    <x v="630"/>
    <m/>
  </r>
  <r>
    <x v="13"/>
    <s v="EMPLOYEE"/>
    <x v="4"/>
    <s v="NBR"/>
    <s v="A"/>
    <n v="2006"/>
    <x v="631"/>
    <m/>
  </r>
  <r>
    <x v="13"/>
    <s v="EMPLOYEE"/>
    <x v="4"/>
    <s v="NBR"/>
    <s v="A"/>
    <n v="2012"/>
    <x v="632"/>
    <m/>
  </r>
  <r>
    <x v="13"/>
    <s v="EMPLOYEE"/>
    <x v="4"/>
    <s v="NBR"/>
    <s v="A"/>
    <n v="2013"/>
    <x v="633"/>
    <m/>
  </r>
  <r>
    <x v="13"/>
    <s v="EMPLOYEE"/>
    <x v="4"/>
    <s v="NBR"/>
    <s v="A"/>
    <n v="2014"/>
    <x v="634"/>
    <m/>
  </r>
  <r>
    <x v="13"/>
    <s v="EMPLOYEE"/>
    <x v="5"/>
    <s v="NBR"/>
    <s v="A"/>
    <n v="2001"/>
    <x v="635"/>
    <m/>
  </r>
  <r>
    <x v="13"/>
    <s v="EMPLOYEE"/>
    <x v="5"/>
    <s v="NBR"/>
    <s v="A"/>
    <n v="2006"/>
    <x v="636"/>
    <m/>
  </r>
  <r>
    <x v="13"/>
    <s v="EMPLOYEE"/>
    <x v="5"/>
    <s v="NBR"/>
    <s v="A"/>
    <n v="2012"/>
    <x v="637"/>
    <m/>
  </r>
  <r>
    <x v="13"/>
    <s v="EMPLOYEE"/>
    <x v="5"/>
    <s v="NBR"/>
    <s v="A"/>
    <n v="2013"/>
    <x v="638"/>
    <m/>
  </r>
  <r>
    <x v="13"/>
    <s v="EMPLOYEE"/>
    <x v="5"/>
    <s v="NBR"/>
    <s v="A"/>
    <n v="2014"/>
    <x v="639"/>
    <m/>
  </r>
  <r>
    <x v="14"/>
    <s v="EMPLOYEE"/>
    <x v="0"/>
    <s v="NBR"/>
    <s v="A"/>
    <n v="2006"/>
    <x v="640"/>
    <m/>
  </r>
  <r>
    <x v="14"/>
    <s v="EMPLOYEE"/>
    <x v="0"/>
    <s v="NBR"/>
    <s v="A"/>
    <n v="2007"/>
    <x v="641"/>
    <m/>
  </r>
  <r>
    <x v="14"/>
    <s v="EMPLOYEE"/>
    <x v="0"/>
    <s v="NBR"/>
    <s v="A"/>
    <n v="2008"/>
    <x v="642"/>
    <m/>
  </r>
  <r>
    <x v="14"/>
    <s v="EMPLOYEE"/>
    <x v="0"/>
    <s v="NBR"/>
    <s v="A"/>
    <n v="2009"/>
    <x v="643"/>
    <m/>
  </r>
  <r>
    <x v="14"/>
    <s v="EMPLOYEE"/>
    <x v="0"/>
    <s v="NBR"/>
    <s v="A"/>
    <n v="2010"/>
    <x v="644"/>
    <m/>
  </r>
  <r>
    <x v="14"/>
    <s v="EMPLOYEE"/>
    <x v="0"/>
    <s v="NBR"/>
    <s v="A"/>
    <n v="2011"/>
    <x v="645"/>
    <m/>
  </r>
  <r>
    <x v="14"/>
    <s v="EMPLOYEE"/>
    <x v="0"/>
    <s v="NBR"/>
    <s v="A"/>
    <n v="2012"/>
    <x v="646"/>
    <m/>
  </r>
  <r>
    <x v="14"/>
    <s v="EMPLOYEE"/>
    <x v="0"/>
    <s v="NBR"/>
    <s v="A"/>
    <n v="2013"/>
    <x v="647"/>
    <m/>
  </r>
  <r>
    <x v="14"/>
    <s v="EMPLOYEE"/>
    <x v="0"/>
    <s v="NBR"/>
    <s v="A"/>
    <n v="2014"/>
    <x v="648"/>
    <m/>
  </r>
  <r>
    <x v="14"/>
    <s v="EMPLOYEE"/>
    <x v="1"/>
    <s v="NBR"/>
    <s v="A"/>
    <n v="2006"/>
    <x v="649"/>
    <m/>
  </r>
  <r>
    <x v="14"/>
    <s v="EMPLOYEE"/>
    <x v="1"/>
    <s v="NBR"/>
    <s v="A"/>
    <n v="2007"/>
    <x v="650"/>
    <m/>
  </r>
  <r>
    <x v="14"/>
    <s v="EMPLOYEE"/>
    <x v="1"/>
    <s v="NBR"/>
    <s v="A"/>
    <n v="2008"/>
    <x v="651"/>
    <m/>
  </r>
  <r>
    <x v="14"/>
    <s v="EMPLOYEE"/>
    <x v="1"/>
    <s v="NBR"/>
    <s v="A"/>
    <n v="2009"/>
    <x v="652"/>
    <m/>
  </r>
  <r>
    <x v="14"/>
    <s v="EMPLOYEE"/>
    <x v="1"/>
    <s v="NBR"/>
    <s v="A"/>
    <n v="2010"/>
    <x v="653"/>
    <m/>
  </r>
  <r>
    <x v="14"/>
    <s v="EMPLOYEE"/>
    <x v="1"/>
    <s v="NBR"/>
    <s v="A"/>
    <n v="2011"/>
    <x v="654"/>
    <m/>
  </r>
  <r>
    <x v="14"/>
    <s v="EMPLOYEE"/>
    <x v="1"/>
    <s v="NBR"/>
    <s v="A"/>
    <n v="2012"/>
    <x v="655"/>
    <m/>
  </r>
  <r>
    <x v="14"/>
    <s v="EMPLOYEE"/>
    <x v="1"/>
    <s v="NBR"/>
    <s v="A"/>
    <n v="2013"/>
    <x v="656"/>
    <m/>
  </r>
  <r>
    <x v="14"/>
    <s v="EMPLOYEE"/>
    <x v="1"/>
    <s v="NBR"/>
    <s v="A"/>
    <n v="2014"/>
    <x v="657"/>
    <m/>
  </r>
  <r>
    <x v="14"/>
    <s v="EMPLOYEE"/>
    <x v="2"/>
    <s v="NBR"/>
    <s v="A"/>
    <n v="2006"/>
    <x v="658"/>
    <m/>
  </r>
  <r>
    <x v="14"/>
    <s v="EMPLOYEE"/>
    <x v="2"/>
    <s v="NBR"/>
    <s v="A"/>
    <n v="2007"/>
    <x v="659"/>
    <m/>
  </r>
  <r>
    <x v="14"/>
    <s v="EMPLOYEE"/>
    <x v="2"/>
    <s v="NBR"/>
    <s v="A"/>
    <n v="2008"/>
    <x v="660"/>
    <m/>
  </r>
  <r>
    <x v="14"/>
    <s v="EMPLOYEE"/>
    <x v="2"/>
    <s v="NBR"/>
    <s v="A"/>
    <n v="2009"/>
    <x v="661"/>
    <m/>
  </r>
  <r>
    <x v="14"/>
    <s v="EMPLOYEE"/>
    <x v="2"/>
    <s v="NBR"/>
    <s v="A"/>
    <n v="2010"/>
    <x v="662"/>
    <m/>
  </r>
  <r>
    <x v="14"/>
    <s v="EMPLOYEE"/>
    <x v="2"/>
    <s v="NBR"/>
    <s v="A"/>
    <n v="2011"/>
    <x v="663"/>
    <m/>
  </r>
  <r>
    <x v="14"/>
    <s v="EMPLOYEE"/>
    <x v="2"/>
    <s v="NBR"/>
    <s v="A"/>
    <n v="2012"/>
    <x v="664"/>
    <m/>
  </r>
  <r>
    <x v="14"/>
    <s v="EMPLOYEE"/>
    <x v="2"/>
    <s v="NBR"/>
    <s v="A"/>
    <n v="2013"/>
    <x v="665"/>
    <m/>
  </r>
  <r>
    <x v="14"/>
    <s v="EMPLOYEE"/>
    <x v="2"/>
    <s v="NBR"/>
    <s v="A"/>
    <n v="2014"/>
    <x v="666"/>
    <m/>
  </r>
  <r>
    <x v="14"/>
    <s v="EMPLOYEE"/>
    <x v="3"/>
    <s v="NBR"/>
    <s v="A"/>
    <n v="2006"/>
    <x v="667"/>
    <m/>
  </r>
  <r>
    <x v="14"/>
    <s v="EMPLOYEE"/>
    <x v="3"/>
    <s v="NBR"/>
    <s v="A"/>
    <n v="2007"/>
    <x v="668"/>
    <m/>
  </r>
  <r>
    <x v="14"/>
    <s v="EMPLOYEE"/>
    <x v="3"/>
    <s v="NBR"/>
    <s v="A"/>
    <n v="2008"/>
    <x v="669"/>
    <m/>
  </r>
  <r>
    <x v="14"/>
    <s v="EMPLOYEE"/>
    <x v="3"/>
    <s v="NBR"/>
    <s v="A"/>
    <n v="2009"/>
    <x v="670"/>
    <m/>
  </r>
  <r>
    <x v="14"/>
    <s v="EMPLOYEE"/>
    <x v="3"/>
    <s v="NBR"/>
    <s v="A"/>
    <n v="2010"/>
    <x v="671"/>
    <m/>
  </r>
  <r>
    <x v="14"/>
    <s v="EMPLOYEE"/>
    <x v="3"/>
    <s v="NBR"/>
    <s v="A"/>
    <n v="2011"/>
    <x v="672"/>
    <m/>
  </r>
  <r>
    <x v="14"/>
    <s v="EMPLOYEE"/>
    <x v="3"/>
    <s v="NBR"/>
    <s v="A"/>
    <n v="2012"/>
    <x v="673"/>
    <m/>
  </r>
  <r>
    <x v="14"/>
    <s v="EMPLOYEE"/>
    <x v="3"/>
    <s v="NBR"/>
    <s v="A"/>
    <n v="2013"/>
    <x v="674"/>
    <m/>
  </r>
  <r>
    <x v="14"/>
    <s v="EMPLOYEE"/>
    <x v="3"/>
    <s v="NBR"/>
    <s v="A"/>
    <n v="2014"/>
    <x v="675"/>
    <m/>
  </r>
  <r>
    <x v="14"/>
    <s v="EMPLOYEE"/>
    <x v="4"/>
    <s v="NBR"/>
    <s v="A"/>
    <n v="2006"/>
    <x v="676"/>
    <m/>
  </r>
  <r>
    <x v="14"/>
    <s v="EMPLOYEE"/>
    <x v="4"/>
    <s v="NBR"/>
    <s v="A"/>
    <n v="2007"/>
    <x v="677"/>
    <m/>
  </r>
  <r>
    <x v="14"/>
    <s v="EMPLOYEE"/>
    <x v="4"/>
    <s v="NBR"/>
    <s v="A"/>
    <n v="2008"/>
    <x v="678"/>
    <m/>
  </r>
  <r>
    <x v="14"/>
    <s v="EMPLOYEE"/>
    <x v="4"/>
    <s v="NBR"/>
    <s v="A"/>
    <n v="2009"/>
    <x v="679"/>
    <m/>
  </r>
  <r>
    <x v="14"/>
    <s v="EMPLOYEE"/>
    <x v="4"/>
    <s v="NBR"/>
    <s v="A"/>
    <n v="2010"/>
    <x v="680"/>
    <m/>
  </r>
  <r>
    <x v="14"/>
    <s v="EMPLOYEE"/>
    <x v="4"/>
    <s v="NBR"/>
    <s v="A"/>
    <n v="2011"/>
    <x v="681"/>
    <m/>
  </r>
  <r>
    <x v="14"/>
    <s v="EMPLOYEE"/>
    <x v="4"/>
    <s v="NBR"/>
    <s v="A"/>
    <n v="2012"/>
    <x v="682"/>
    <m/>
  </r>
  <r>
    <x v="14"/>
    <s v="EMPLOYEE"/>
    <x v="4"/>
    <s v="NBR"/>
    <s v="A"/>
    <n v="2013"/>
    <x v="683"/>
    <m/>
  </r>
  <r>
    <x v="14"/>
    <s v="EMPLOYEE"/>
    <x v="4"/>
    <s v="NBR"/>
    <s v="A"/>
    <n v="2014"/>
    <x v="684"/>
    <m/>
  </r>
  <r>
    <x v="14"/>
    <s v="EMPLOYEE"/>
    <x v="5"/>
    <s v="NBR"/>
    <s v="A"/>
    <n v="2006"/>
    <x v="685"/>
    <m/>
  </r>
  <r>
    <x v="14"/>
    <s v="EMPLOYEE"/>
    <x v="5"/>
    <s v="NBR"/>
    <s v="A"/>
    <n v="2007"/>
    <x v="686"/>
    <m/>
  </r>
  <r>
    <x v="14"/>
    <s v="EMPLOYEE"/>
    <x v="5"/>
    <s v="NBR"/>
    <s v="A"/>
    <n v="2008"/>
    <x v="687"/>
    <m/>
  </r>
  <r>
    <x v="14"/>
    <s v="EMPLOYEE"/>
    <x v="5"/>
    <s v="NBR"/>
    <s v="A"/>
    <n v="2009"/>
    <x v="688"/>
    <m/>
  </r>
  <r>
    <x v="14"/>
    <s v="EMPLOYEE"/>
    <x v="5"/>
    <s v="NBR"/>
    <s v="A"/>
    <n v="2010"/>
    <x v="689"/>
    <m/>
  </r>
  <r>
    <x v="14"/>
    <s v="EMPLOYEE"/>
    <x v="5"/>
    <s v="NBR"/>
    <s v="A"/>
    <n v="2011"/>
    <x v="690"/>
    <m/>
  </r>
  <r>
    <x v="14"/>
    <s v="EMPLOYEE"/>
    <x v="5"/>
    <s v="NBR"/>
    <s v="A"/>
    <n v="2012"/>
    <x v="691"/>
    <m/>
  </r>
  <r>
    <x v="14"/>
    <s v="EMPLOYEE"/>
    <x v="5"/>
    <s v="NBR"/>
    <s v="A"/>
    <n v="2013"/>
    <x v="692"/>
    <m/>
  </r>
  <r>
    <x v="14"/>
    <s v="EMPLOYEE"/>
    <x v="5"/>
    <s v="NBR"/>
    <s v="A"/>
    <n v="2014"/>
    <x v="693"/>
    <m/>
  </r>
  <r>
    <x v="15"/>
    <s v="EMPLOYEE"/>
    <x v="0"/>
    <s v="NBR"/>
    <s v="A"/>
    <n v="2008"/>
    <x v="694"/>
    <m/>
  </r>
  <r>
    <x v="15"/>
    <s v="EMPLOYEE"/>
    <x v="0"/>
    <s v="NBR"/>
    <s v="A"/>
    <n v="2009"/>
    <x v="695"/>
    <m/>
  </r>
  <r>
    <x v="15"/>
    <s v="EMPLOYEE"/>
    <x v="0"/>
    <s v="NBR"/>
    <s v="A"/>
    <n v="2010"/>
    <x v="696"/>
    <m/>
  </r>
  <r>
    <x v="15"/>
    <s v="EMPLOYEE"/>
    <x v="0"/>
    <s v="NBR"/>
    <s v="A"/>
    <n v="2011"/>
    <x v="697"/>
    <m/>
  </r>
  <r>
    <x v="15"/>
    <s v="EMPLOYEE"/>
    <x v="0"/>
    <s v="NBR"/>
    <s v="A"/>
    <n v="2012"/>
    <x v="698"/>
    <m/>
  </r>
  <r>
    <x v="15"/>
    <s v="EMPLOYEE"/>
    <x v="0"/>
    <s v="NBR"/>
    <s v="A"/>
    <n v="2013"/>
    <x v="699"/>
    <m/>
  </r>
  <r>
    <x v="15"/>
    <s v="EMPLOYEE"/>
    <x v="0"/>
    <s v="NBR"/>
    <s v="A"/>
    <n v="2014"/>
    <x v="700"/>
    <m/>
  </r>
  <r>
    <x v="15"/>
    <s v="EMPLOYEE"/>
    <x v="0"/>
    <s v="NBR"/>
    <s v="A"/>
    <n v="2015"/>
    <x v="701"/>
    <m/>
  </r>
  <r>
    <x v="15"/>
    <s v="EMPLOYEE"/>
    <x v="1"/>
    <s v="NBR"/>
    <s v="A"/>
    <n v="2008"/>
    <x v="702"/>
    <m/>
  </r>
  <r>
    <x v="15"/>
    <s v="EMPLOYEE"/>
    <x v="1"/>
    <s v="NBR"/>
    <s v="A"/>
    <n v="2009"/>
    <x v="703"/>
    <m/>
  </r>
  <r>
    <x v="15"/>
    <s v="EMPLOYEE"/>
    <x v="1"/>
    <s v="NBR"/>
    <s v="A"/>
    <n v="2010"/>
    <x v="704"/>
    <m/>
  </r>
  <r>
    <x v="15"/>
    <s v="EMPLOYEE"/>
    <x v="1"/>
    <s v="NBR"/>
    <s v="A"/>
    <n v="2011"/>
    <x v="705"/>
    <m/>
  </r>
  <r>
    <x v="15"/>
    <s v="EMPLOYEE"/>
    <x v="1"/>
    <s v="NBR"/>
    <s v="A"/>
    <n v="2012"/>
    <x v="706"/>
    <m/>
  </r>
  <r>
    <x v="15"/>
    <s v="EMPLOYEE"/>
    <x v="1"/>
    <s v="NBR"/>
    <s v="A"/>
    <n v="2013"/>
    <x v="707"/>
    <m/>
  </r>
  <r>
    <x v="15"/>
    <s v="EMPLOYEE"/>
    <x v="1"/>
    <s v="NBR"/>
    <s v="A"/>
    <n v="2014"/>
    <x v="708"/>
    <m/>
  </r>
  <r>
    <x v="15"/>
    <s v="EMPLOYEE"/>
    <x v="1"/>
    <s v="NBR"/>
    <s v="A"/>
    <n v="2015"/>
    <x v="709"/>
    <m/>
  </r>
  <r>
    <x v="15"/>
    <s v="EMPLOYEE"/>
    <x v="2"/>
    <s v="NBR"/>
    <s v="A"/>
    <n v="2008"/>
    <x v="710"/>
    <m/>
  </r>
  <r>
    <x v="15"/>
    <s v="EMPLOYEE"/>
    <x v="2"/>
    <s v="NBR"/>
    <s v="A"/>
    <n v="2009"/>
    <x v="711"/>
    <m/>
  </r>
  <r>
    <x v="15"/>
    <s v="EMPLOYEE"/>
    <x v="2"/>
    <s v="NBR"/>
    <s v="A"/>
    <n v="2010"/>
    <x v="712"/>
    <m/>
  </r>
  <r>
    <x v="15"/>
    <s v="EMPLOYEE"/>
    <x v="2"/>
    <s v="NBR"/>
    <s v="A"/>
    <n v="2011"/>
    <x v="713"/>
    <m/>
  </r>
  <r>
    <x v="15"/>
    <s v="EMPLOYEE"/>
    <x v="2"/>
    <s v="NBR"/>
    <s v="A"/>
    <n v="2012"/>
    <x v="714"/>
    <m/>
  </r>
  <r>
    <x v="15"/>
    <s v="EMPLOYEE"/>
    <x v="2"/>
    <s v="NBR"/>
    <s v="A"/>
    <n v="2013"/>
    <x v="715"/>
    <m/>
  </r>
  <r>
    <x v="15"/>
    <s v="EMPLOYEE"/>
    <x v="2"/>
    <s v="NBR"/>
    <s v="A"/>
    <n v="2014"/>
    <x v="716"/>
    <m/>
  </r>
  <r>
    <x v="15"/>
    <s v="EMPLOYEE"/>
    <x v="2"/>
    <s v="NBR"/>
    <s v="A"/>
    <n v="2015"/>
    <x v="717"/>
    <m/>
  </r>
  <r>
    <x v="15"/>
    <s v="EMPLOYEE"/>
    <x v="3"/>
    <s v="NBR"/>
    <s v="A"/>
    <n v="2008"/>
    <x v="718"/>
    <m/>
  </r>
  <r>
    <x v="15"/>
    <s v="EMPLOYEE"/>
    <x v="3"/>
    <s v="NBR"/>
    <s v="A"/>
    <n v="2009"/>
    <x v="719"/>
    <m/>
  </r>
  <r>
    <x v="15"/>
    <s v="EMPLOYEE"/>
    <x v="3"/>
    <s v="NBR"/>
    <s v="A"/>
    <n v="2010"/>
    <x v="720"/>
    <m/>
  </r>
  <r>
    <x v="15"/>
    <s v="EMPLOYEE"/>
    <x v="3"/>
    <s v="NBR"/>
    <s v="A"/>
    <n v="2011"/>
    <x v="721"/>
    <m/>
  </r>
  <r>
    <x v="15"/>
    <s v="EMPLOYEE"/>
    <x v="3"/>
    <s v="NBR"/>
    <s v="A"/>
    <n v="2012"/>
    <x v="722"/>
    <m/>
  </r>
  <r>
    <x v="15"/>
    <s v="EMPLOYEE"/>
    <x v="3"/>
    <s v="NBR"/>
    <s v="A"/>
    <n v="2013"/>
    <x v="723"/>
    <m/>
  </r>
  <r>
    <x v="15"/>
    <s v="EMPLOYEE"/>
    <x v="3"/>
    <s v="NBR"/>
    <s v="A"/>
    <n v="2014"/>
    <x v="724"/>
    <m/>
  </r>
  <r>
    <x v="15"/>
    <s v="EMPLOYEE"/>
    <x v="3"/>
    <s v="NBR"/>
    <s v="A"/>
    <n v="2015"/>
    <x v="725"/>
    <m/>
  </r>
  <r>
    <x v="15"/>
    <s v="EMPLOYEE"/>
    <x v="4"/>
    <s v="NBR"/>
    <s v="A"/>
    <n v="2008"/>
    <x v="726"/>
    <m/>
  </r>
  <r>
    <x v="15"/>
    <s v="EMPLOYEE"/>
    <x v="4"/>
    <s v="NBR"/>
    <s v="A"/>
    <n v="2009"/>
    <x v="727"/>
    <m/>
  </r>
  <r>
    <x v="15"/>
    <s v="EMPLOYEE"/>
    <x v="4"/>
    <s v="NBR"/>
    <s v="A"/>
    <n v="2010"/>
    <x v="728"/>
    <m/>
  </r>
  <r>
    <x v="15"/>
    <s v="EMPLOYEE"/>
    <x v="4"/>
    <s v="NBR"/>
    <s v="A"/>
    <n v="2011"/>
    <x v="729"/>
    <m/>
  </r>
  <r>
    <x v="15"/>
    <s v="EMPLOYEE"/>
    <x v="4"/>
    <s v="NBR"/>
    <s v="A"/>
    <n v="2012"/>
    <x v="730"/>
    <m/>
  </r>
  <r>
    <x v="15"/>
    <s v="EMPLOYEE"/>
    <x v="4"/>
    <s v="NBR"/>
    <s v="A"/>
    <n v="2013"/>
    <x v="731"/>
    <m/>
  </r>
  <r>
    <x v="15"/>
    <s v="EMPLOYEE"/>
    <x v="4"/>
    <s v="NBR"/>
    <s v="A"/>
    <n v="2014"/>
    <x v="732"/>
    <m/>
  </r>
  <r>
    <x v="15"/>
    <s v="EMPLOYEE"/>
    <x v="4"/>
    <s v="NBR"/>
    <s v="A"/>
    <n v="2015"/>
    <x v="733"/>
    <m/>
  </r>
  <r>
    <x v="15"/>
    <s v="EMPLOYEE"/>
    <x v="5"/>
    <s v="NBR"/>
    <s v="A"/>
    <n v="2008"/>
    <x v="734"/>
    <m/>
  </r>
  <r>
    <x v="15"/>
    <s v="EMPLOYEE"/>
    <x v="5"/>
    <s v="NBR"/>
    <s v="A"/>
    <n v="2009"/>
    <x v="735"/>
    <m/>
  </r>
  <r>
    <x v="15"/>
    <s v="EMPLOYEE"/>
    <x v="5"/>
    <s v="NBR"/>
    <s v="A"/>
    <n v="2010"/>
    <x v="736"/>
    <m/>
  </r>
  <r>
    <x v="15"/>
    <s v="EMPLOYEE"/>
    <x v="5"/>
    <s v="NBR"/>
    <s v="A"/>
    <n v="2011"/>
    <x v="737"/>
    <m/>
  </r>
  <r>
    <x v="15"/>
    <s v="EMPLOYEE"/>
    <x v="5"/>
    <s v="NBR"/>
    <s v="A"/>
    <n v="2012"/>
    <x v="738"/>
    <m/>
  </r>
  <r>
    <x v="15"/>
    <s v="EMPLOYEE"/>
    <x v="5"/>
    <s v="NBR"/>
    <s v="A"/>
    <n v="2013"/>
    <x v="739"/>
    <m/>
  </r>
  <r>
    <x v="15"/>
    <s v="EMPLOYEE"/>
    <x v="5"/>
    <s v="NBR"/>
    <s v="A"/>
    <n v="2014"/>
    <x v="740"/>
    <m/>
  </r>
  <r>
    <x v="15"/>
    <s v="EMPLOYEE"/>
    <x v="5"/>
    <s v="NBR"/>
    <s v="A"/>
    <n v="2015"/>
    <x v="741"/>
    <m/>
  </r>
  <r>
    <x v="16"/>
    <s v="EMPLOYEE"/>
    <x v="0"/>
    <s v="NBR"/>
    <s v="A"/>
    <n v="2004"/>
    <x v="742"/>
    <m/>
  </r>
  <r>
    <x v="16"/>
    <s v="EMPLOYEE"/>
    <x v="0"/>
    <s v="NBR"/>
    <s v="A"/>
    <n v="2009"/>
    <x v="743"/>
    <m/>
  </r>
  <r>
    <x v="16"/>
    <s v="EMPLOYEE"/>
    <x v="0"/>
    <s v="NBR"/>
    <s v="A"/>
    <n v="2013"/>
    <x v="744"/>
    <m/>
  </r>
  <r>
    <x v="16"/>
    <s v="EMPLOYEE"/>
    <x v="1"/>
    <s v="NBR"/>
    <s v="A"/>
    <n v="2004"/>
    <x v="745"/>
    <m/>
  </r>
  <r>
    <x v="16"/>
    <s v="EMPLOYEE"/>
    <x v="1"/>
    <s v="NBR"/>
    <s v="A"/>
    <n v="2009"/>
    <x v="746"/>
    <m/>
  </r>
  <r>
    <x v="16"/>
    <s v="EMPLOYEE"/>
    <x v="1"/>
    <s v="NBR"/>
    <s v="A"/>
    <n v="2013"/>
    <x v="747"/>
    <m/>
  </r>
  <r>
    <x v="16"/>
    <s v="EMPLOYEE"/>
    <x v="2"/>
    <s v="NBR"/>
    <s v="A"/>
    <n v="2004"/>
    <x v="748"/>
    <m/>
  </r>
  <r>
    <x v="16"/>
    <s v="EMPLOYEE"/>
    <x v="2"/>
    <s v="NBR"/>
    <s v="A"/>
    <n v="2009"/>
    <x v="749"/>
    <m/>
  </r>
  <r>
    <x v="16"/>
    <s v="EMPLOYEE"/>
    <x v="2"/>
    <s v="NBR"/>
    <s v="A"/>
    <n v="2013"/>
    <x v="750"/>
    <m/>
  </r>
  <r>
    <x v="16"/>
    <s v="EMPLOYEE"/>
    <x v="3"/>
    <s v="NBR"/>
    <s v="A"/>
    <n v="2004"/>
    <x v="751"/>
    <m/>
  </r>
  <r>
    <x v="16"/>
    <s v="EMPLOYEE"/>
    <x v="3"/>
    <s v="NBR"/>
    <s v="A"/>
    <n v="2009"/>
    <x v="752"/>
    <m/>
  </r>
  <r>
    <x v="16"/>
    <s v="EMPLOYEE"/>
    <x v="3"/>
    <s v="NBR"/>
    <s v="A"/>
    <n v="2013"/>
    <x v="753"/>
    <m/>
  </r>
  <r>
    <x v="16"/>
    <s v="EMPLOYEE"/>
    <x v="4"/>
    <s v="NBR"/>
    <s v="A"/>
    <n v="2004"/>
    <x v="754"/>
    <m/>
  </r>
  <r>
    <x v="16"/>
    <s v="EMPLOYEE"/>
    <x v="4"/>
    <s v="NBR"/>
    <s v="A"/>
    <n v="2009"/>
    <x v="755"/>
    <m/>
  </r>
  <r>
    <x v="16"/>
    <s v="EMPLOYEE"/>
    <x v="4"/>
    <s v="NBR"/>
    <s v="A"/>
    <n v="2013"/>
    <x v="756"/>
    <m/>
  </r>
  <r>
    <x v="16"/>
    <s v="EMPLOYEE"/>
    <x v="5"/>
    <s v="NBR"/>
    <s v="A"/>
    <n v="2004"/>
    <x v="757"/>
    <m/>
  </r>
  <r>
    <x v="16"/>
    <s v="EMPLOYEE"/>
    <x v="5"/>
    <s v="NBR"/>
    <s v="A"/>
    <n v="2009"/>
    <x v="758"/>
    <m/>
  </r>
  <r>
    <x v="16"/>
    <s v="EMPLOYEE"/>
    <x v="5"/>
    <s v="NBR"/>
    <s v="A"/>
    <n v="2013"/>
    <x v="759"/>
    <m/>
  </r>
  <r>
    <x v="17"/>
    <s v="EMPLOYEE"/>
    <x v="0"/>
    <s v="NBR"/>
    <s v="A"/>
    <n v="2008"/>
    <x v="760"/>
    <m/>
  </r>
  <r>
    <x v="17"/>
    <s v="EMPLOYEE"/>
    <x v="0"/>
    <s v="NBR"/>
    <s v="A"/>
    <n v="2009"/>
    <x v="761"/>
    <m/>
  </r>
  <r>
    <x v="17"/>
    <s v="EMPLOYEE"/>
    <x v="0"/>
    <s v="NBR"/>
    <s v="A"/>
    <n v="2010"/>
    <x v="762"/>
    <m/>
  </r>
  <r>
    <x v="17"/>
    <s v="EMPLOYEE"/>
    <x v="0"/>
    <s v="NBR"/>
    <s v="A"/>
    <n v="2011"/>
    <x v="763"/>
    <m/>
  </r>
  <r>
    <x v="17"/>
    <s v="EMPLOYEE"/>
    <x v="0"/>
    <s v="NBR"/>
    <s v="A"/>
    <n v="2012"/>
    <x v="764"/>
    <m/>
  </r>
  <r>
    <x v="17"/>
    <s v="EMPLOYEE"/>
    <x v="0"/>
    <s v="NBR"/>
    <s v="A"/>
    <n v="2013"/>
    <x v="765"/>
    <m/>
  </r>
  <r>
    <x v="17"/>
    <s v="EMPLOYEE"/>
    <x v="0"/>
    <s v="NBR"/>
    <s v="A"/>
    <n v="2014"/>
    <x v="766"/>
    <m/>
  </r>
  <r>
    <x v="17"/>
    <s v="EMPLOYEE"/>
    <x v="0"/>
    <s v="NBR"/>
    <s v="A"/>
    <n v="2015"/>
    <x v="767"/>
    <m/>
  </r>
  <r>
    <x v="17"/>
    <s v="EMPLOYEE"/>
    <x v="1"/>
    <s v="NBR"/>
    <s v="A"/>
    <n v="2008"/>
    <x v="768"/>
    <m/>
  </r>
  <r>
    <x v="17"/>
    <s v="EMPLOYEE"/>
    <x v="1"/>
    <s v="NBR"/>
    <s v="A"/>
    <n v="2009"/>
    <x v="769"/>
    <m/>
  </r>
  <r>
    <x v="17"/>
    <s v="EMPLOYEE"/>
    <x v="1"/>
    <s v="NBR"/>
    <s v="A"/>
    <n v="2010"/>
    <x v="770"/>
    <m/>
  </r>
  <r>
    <x v="17"/>
    <s v="EMPLOYEE"/>
    <x v="1"/>
    <s v="NBR"/>
    <s v="A"/>
    <n v="2011"/>
    <x v="771"/>
    <m/>
  </r>
  <r>
    <x v="17"/>
    <s v="EMPLOYEE"/>
    <x v="1"/>
    <s v="NBR"/>
    <s v="A"/>
    <n v="2012"/>
    <x v="772"/>
    <m/>
  </r>
  <r>
    <x v="17"/>
    <s v="EMPLOYEE"/>
    <x v="1"/>
    <s v="NBR"/>
    <s v="A"/>
    <n v="2013"/>
    <x v="773"/>
    <m/>
  </r>
  <r>
    <x v="17"/>
    <s v="EMPLOYEE"/>
    <x v="1"/>
    <s v="NBR"/>
    <s v="A"/>
    <n v="2014"/>
    <x v="774"/>
    <m/>
  </r>
  <r>
    <x v="17"/>
    <s v="EMPLOYEE"/>
    <x v="1"/>
    <s v="NBR"/>
    <s v="A"/>
    <n v="2015"/>
    <x v="775"/>
    <m/>
  </r>
  <r>
    <x v="17"/>
    <s v="EMPLOYEE"/>
    <x v="2"/>
    <s v="NBR"/>
    <s v="A"/>
    <n v="2008"/>
    <x v="776"/>
    <m/>
  </r>
  <r>
    <x v="17"/>
    <s v="EMPLOYEE"/>
    <x v="2"/>
    <s v="NBR"/>
    <s v="A"/>
    <n v="2009"/>
    <x v="777"/>
    <m/>
  </r>
  <r>
    <x v="17"/>
    <s v="EMPLOYEE"/>
    <x v="2"/>
    <s v="NBR"/>
    <s v="A"/>
    <n v="2010"/>
    <x v="778"/>
    <m/>
  </r>
  <r>
    <x v="17"/>
    <s v="EMPLOYEE"/>
    <x v="2"/>
    <s v="NBR"/>
    <s v="A"/>
    <n v="2011"/>
    <x v="779"/>
    <m/>
  </r>
  <r>
    <x v="17"/>
    <s v="EMPLOYEE"/>
    <x v="2"/>
    <s v="NBR"/>
    <s v="A"/>
    <n v="2012"/>
    <x v="780"/>
    <m/>
  </r>
  <r>
    <x v="17"/>
    <s v="EMPLOYEE"/>
    <x v="2"/>
    <s v="NBR"/>
    <s v="A"/>
    <n v="2013"/>
    <x v="781"/>
    <m/>
  </r>
  <r>
    <x v="17"/>
    <s v="EMPLOYEE"/>
    <x v="2"/>
    <s v="NBR"/>
    <s v="A"/>
    <n v="2014"/>
    <x v="782"/>
    <m/>
  </r>
  <r>
    <x v="17"/>
    <s v="EMPLOYEE"/>
    <x v="2"/>
    <s v="NBR"/>
    <s v="A"/>
    <n v="2015"/>
    <x v="783"/>
    <m/>
  </r>
  <r>
    <x v="17"/>
    <s v="EMPLOYEE"/>
    <x v="3"/>
    <s v="NBR"/>
    <s v="A"/>
    <n v="2008"/>
    <x v="784"/>
    <m/>
  </r>
  <r>
    <x v="17"/>
    <s v="EMPLOYEE"/>
    <x v="3"/>
    <s v="NBR"/>
    <s v="A"/>
    <n v="2009"/>
    <x v="785"/>
    <m/>
  </r>
  <r>
    <x v="17"/>
    <s v="EMPLOYEE"/>
    <x v="3"/>
    <s v="NBR"/>
    <s v="A"/>
    <n v="2010"/>
    <x v="786"/>
    <m/>
  </r>
  <r>
    <x v="17"/>
    <s v="EMPLOYEE"/>
    <x v="3"/>
    <s v="NBR"/>
    <s v="A"/>
    <n v="2011"/>
    <x v="787"/>
    <m/>
  </r>
  <r>
    <x v="17"/>
    <s v="EMPLOYEE"/>
    <x v="3"/>
    <s v="NBR"/>
    <s v="A"/>
    <n v="2012"/>
    <x v="788"/>
    <m/>
  </r>
  <r>
    <x v="17"/>
    <s v="EMPLOYEE"/>
    <x v="3"/>
    <s v="NBR"/>
    <s v="A"/>
    <n v="2013"/>
    <x v="789"/>
    <m/>
  </r>
  <r>
    <x v="17"/>
    <s v="EMPLOYEE"/>
    <x v="3"/>
    <s v="NBR"/>
    <s v="A"/>
    <n v="2014"/>
    <x v="790"/>
    <m/>
  </r>
  <r>
    <x v="17"/>
    <s v="EMPLOYEE"/>
    <x v="3"/>
    <s v="NBR"/>
    <s v="A"/>
    <n v="2015"/>
    <x v="791"/>
    <m/>
  </r>
  <r>
    <x v="17"/>
    <s v="EMPLOYEE"/>
    <x v="4"/>
    <s v="NBR"/>
    <s v="A"/>
    <n v="2008"/>
    <x v="792"/>
    <m/>
  </r>
  <r>
    <x v="17"/>
    <s v="EMPLOYEE"/>
    <x v="4"/>
    <s v="NBR"/>
    <s v="A"/>
    <n v="2009"/>
    <x v="793"/>
    <m/>
  </r>
  <r>
    <x v="17"/>
    <s v="EMPLOYEE"/>
    <x v="4"/>
    <s v="NBR"/>
    <s v="A"/>
    <n v="2010"/>
    <x v="794"/>
    <m/>
  </r>
  <r>
    <x v="17"/>
    <s v="EMPLOYEE"/>
    <x v="4"/>
    <s v="NBR"/>
    <s v="A"/>
    <n v="2011"/>
    <x v="795"/>
    <m/>
  </r>
  <r>
    <x v="17"/>
    <s v="EMPLOYEE"/>
    <x v="4"/>
    <s v="NBR"/>
    <s v="A"/>
    <n v="2012"/>
    <x v="796"/>
    <m/>
  </r>
  <r>
    <x v="17"/>
    <s v="EMPLOYEE"/>
    <x v="4"/>
    <s v="NBR"/>
    <s v="A"/>
    <n v="2013"/>
    <x v="797"/>
    <m/>
  </r>
  <r>
    <x v="17"/>
    <s v="EMPLOYEE"/>
    <x v="4"/>
    <s v="NBR"/>
    <s v="A"/>
    <n v="2014"/>
    <x v="798"/>
    <m/>
  </r>
  <r>
    <x v="17"/>
    <s v="EMPLOYEE"/>
    <x v="4"/>
    <s v="NBR"/>
    <s v="A"/>
    <n v="2015"/>
    <x v="799"/>
    <m/>
  </r>
  <r>
    <x v="17"/>
    <s v="EMPLOYEE"/>
    <x v="5"/>
    <s v="NBR"/>
    <s v="A"/>
    <n v="2008"/>
    <x v="800"/>
    <m/>
  </r>
  <r>
    <x v="17"/>
    <s v="EMPLOYEE"/>
    <x v="5"/>
    <s v="NBR"/>
    <s v="A"/>
    <n v="2009"/>
    <x v="801"/>
    <m/>
  </r>
  <r>
    <x v="17"/>
    <s v="EMPLOYEE"/>
    <x v="5"/>
    <s v="NBR"/>
    <s v="A"/>
    <n v="2010"/>
    <x v="802"/>
    <m/>
  </r>
  <r>
    <x v="17"/>
    <s v="EMPLOYEE"/>
    <x v="5"/>
    <s v="NBR"/>
    <s v="A"/>
    <n v="2011"/>
    <x v="803"/>
    <m/>
  </r>
  <r>
    <x v="17"/>
    <s v="EMPLOYEE"/>
    <x v="5"/>
    <s v="NBR"/>
    <s v="A"/>
    <n v="2012"/>
    <x v="804"/>
    <m/>
  </r>
  <r>
    <x v="17"/>
    <s v="EMPLOYEE"/>
    <x v="5"/>
    <s v="NBR"/>
    <s v="A"/>
    <n v="2013"/>
    <x v="805"/>
    <m/>
  </r>
  <r>
    <x v="17"/>
    <s v="EMPLOYEE"/>
    <x v="5"/>
    <s v="NBR"/>
    <s v="A"/>
    <n v="2014"/>
    <x v="806"/>
    <m/>
  </r>
  <r>
    <x v="17"/>
    <s v="EMPLOYEE"/>
    <x v="5"/>
    <s v="NBR"/>
    <s v="A"/>
    <n v="2015"/>
    <x v="807"/>
    <m/>
  </r>
  <r>
    <x v="18"/>
    <s v="EMPLOYEE"/>
    <x v="0"/>
    <s v="NBR"/>
    <s v="A"/>
    <n v="2008"/>
    <x v="808"/>
    <m/>
  </r>
  <r>
    <x v="18"/>
    <s v="EMPLOYEE"/>
    <x v="0"/>
    <s v="NBR"/>
    <s v="A"/>
    <n v="2009"/>
    <x v="809"/>
    <m/>
  </r>
  <r>
    <x v="18"/>
    <s v="EMPLOYEE"/>
    <x v="0"/>
    <s v="NBR"/>
    <s v="A"/>
    <n v="2010"/>
    <x v="810"/>
    <m/>
  </r>
  <r>
    <x v="18"/>
    <s v="EMPLOYEE"/>
    <x v="0"/>
    <s v="NBR"/>
    <s v="A"/>
    <n v="2011"/>
    <x v="811"/>
    <m/>
  </r>
  <r>
    <x v="18"/>
    <s v="EMPLOYEE"/>
    <x v="0"/>
    <s v="NBR"/>
    <s v="A"/>
    <n v="2012"/>
    <x v="812"/>
    <m/>
  </r>
  <r>
    <x v="18"/>
    <s v="EMPLOYEE"/>
    <x v="0"/>
    <s v="NBR"/>
    <s v="A"/>
    <n v="2013"/>
    <x v="813"/>
    <m/>
  </r>
  <r>
    <x v="18"/>
    <s v="EMPLOYEE"/>
    <x v="0"/>
    <s v="NBR"/>
    <s v="A"/>
    <n v="2014"/>
    <x v="814"/>
    <m/>
  </r>
  <r>
    <x v="18"/>
    <s v="EMPLOYEE"/>
    <x v="0"/>
    <s v="NBR"/>
    <s v="A"/>
    <n v="2015"/>
    <x v="815"/>
    <m/>
  </r>
  <r>
    <x v="18"/>
    <s v="EMPLOYEE"/>
    <x v="1"/>
    <s v="NBR"/>
    <s v="A"/>
    <n v="2008"/>
    <x v="816"/>
    <m/>
  </r>
  <r>
    <x v="18"/>
    <s v="EMPLOYEE"/>
    <x v="1"/>
    <s v="NBR"/>
    <s v="A"/>
    <n v="2009"/>
    <x v="817"/>
    <m/>
  </r>
  <r>
    <x v="18"/>
    <s v="EMPLOYEE"/>
    <x v="1"/>
    <s v="NBR"/>
    <s v="A"/>
    <n v="2010"/>
    <x v="818"/>
    <m/>
  </r>
  <r>
    <x v="18"/>
    <s v="EMPLOYEE"/>
    <x v="1"/>
    <s v="NBR"/>
    <s v="A"/>
    <n v="2011"/>
    <x v="819"/>
    <m/>
  </r>
  <r>
    <x v="18"/>
    <s v="EMPLOYEE"/>
    <x v="1"/>
    <s v="NBR"/>
    <s v="A"/>
    <n v="2012"/>
    <x v="820"/>
    <m/>
  </r>
  <r>
    <x v="18"/>
    <s v="EMPLOYEE"/>
    <x v="1"/>
    <s v="NBR"/>
    <s v="A"/>
    <n v="2013"/>
    <x v="821"/>
    <m/>
  </r>
  <r>
    <x v="18"/>
    <s v="EMPLOYEE"/>
    <x v="1"/>
    <s v="NBR"/>
    <s v="A"/>
    <n v="2014"/>
    <x v="822"/>
    <m/>
  </r>
  <r>
    <x v="18"/>
    <s v="EMPLOYEE"/>
    <x v="1"/>
    <s v="NBR"/>
    <s v="A"/>
    <n v="2015"/>
    <x v="823"/>
    <m/>
  </r>
  <r>
    <x v="18"/>
    <s v="EMPLOYEE"/>
    <x v="2"/>
    <s v="NBR"/>
    <s v="A"/>
    <n v="2008"/>
    <x v="824"/>
    <m/>
  </r>
  <r>
    <x v="18"/>
    <s v="EMPLOYEE"/>
    <x v="2"/>
    <s v="NBR"/>
    <s v="A"/>
    <n v="2009"/>
    <x v="825"/>
    <m/>
  </r>
  <r>
    <x v="18"/>
    <s v="EMPLOYEE"/>
    <x v="2"/>
    <s v="NBR"/>
    <s v="A"/>
    <n v="2010"/>
    <x v="826"/>
    <m/>
  </r>
  <r>
    <x v="18"/>
    <s v="EMPLOYEE"/>
    <x v="2"/>
    <s v="NBR"/>
    <s v="A"/>
    <n v="2011"/>
    <x v="827"/>
    <m/>
  </r>
  <r>
    <x v="18"/>
    <s v="EMPLOYEE"/>
    <x v="2"/>
    <s v="NBR"/>
    <s v="A"/>
    <n v="2012"/>
    <x v="828"/>
    <m/>
  </r>
  <r>
    <x v="18"/>
    <s v="EMPLOYEE"/>
    <x v="2"/>
    <s v="NBR"/>
    <s v="A"/>
    <n v="2013"/>
    <x v="829"/>
    <m/>
  </r>
  <r>
    <x v="18"/>
    <s v="EMPLOYEE"/>
    <x v="2"/>
    <s v="NBR"/>
    <s v="A"/>
    <n v="2014"/>
    <x v="830"/>
    <m/>
  </r>
  <r>
    <x v="18"/>
    <s v="EMPLOYEE"/>
    <x v="2"/>
    <s v="NBR"/>
    <s v="A"/>
    <n v="2015"/>
    <x v="831"/>
    <m/>
  </r>
  <r>
    <x v="18"/>
    <s v="EMPLOYEE"/>
    <x v="3"/>
    <s v="NBR"/>
    <s v="A"/>
    <n v="2008"/>
    <x v="832"/>
    <m/>
  </r>
  <r>
    <x v="18"/>
    <s v="EMPLOYEE"/>
    <x v="3"/>
    <s v="NBR"/>
    <s v="A"/>
    <n v="2009"/>
    <x v="833"/>
    <m/>
  </r>
  <r>
    <x v="18"/>
    <s v="EMPLOYEE"/>
    <x v="3"/>
    <s v="NBR"/>
    <s v="A"/>
    <n v="2010"/>
    <x v="834"/>
    <m/>
  </r>
  <r>
    <x v="18"/>
    <s v="EMPLOYEE"/>
    <x v="3"/>
    <s v="NBR"/>
    <s v="A"/>
    <n v="2011"/>
    <x v="835"/>
    <m/>
  </r>
  <r>
    <x v="18"/>
    <s v="EMPLOYEE"/>
    <x v="3"/>
    <s v="NBR"/>
    <s v="A"/>
    <n v="2012"/>
    <x v="836"/>
    <m/>
  </r>
  <r>
    <x v="18"/>
    <s v="EMPLOYEE"/>
    <x v="3"/>
    <s v="NBR"/>
    <s v="A"/>
    <n v="2013"/>
    <x v="837"/>
    <m/>
  </r>
  <r>
    <x v="18"/>
    <s v="EMPLOYEE"/>
    <x v="3"/>
    <s v="NBR"/>
    <s v="A"/>
    <n v="2014"/>
    <x v="838"/>
    <m/>
  </r>
  <r>
    <x v="18"/>
    <s v="EMPLOYEE"/>
    <x v="3"/>
    <s v="NBR"/>
    <s v="A"/>
    <n v="2015"/>
    <x v="839"/>
    <m/>
  </r>
  <r>
    <x v="18"/>
    <s v="EMPLOYEE"/>
    <x v="4"/>
    <s v="NBR"/>
    <s v="A"/>
    <n v="2008"/>
    <x v="840"/>
    <m/>
  </r>
  <r>
    <x v="18"/>
    <s v="EMPLOYEE"/>
    <x v="4"/>
    <s v="NBR"/>
    <s v="A"/>
    <n v="2009"/>
    <x v="841"/>
    <m/>
  </r>
  <r>
    <x v="18"/>
    <s v="EMPLOYEE"/>
    <x v="4"/>
    <s v="NBR"/>
    <s v="A"/>
    <n v="2010"/>
    <x v="842"/>
    <m/>
  </r>
  <r>
    <x v="18"/>
    <s v="EMPLOYEE"/>
    <x v="4"/>
    <s v="NBR"/>
    <s v="A"/>
    <n v="2011"/>
    <x v="843"/>
    <m/>
  </r>
  <r>
    <x v="18"/>
    <s v="EMPLOYEE"/>
    <x v="4"/>
    <s v="NBR"/>
    <s v="A"/>
    <n v="2012"/>
    <x v="844"/>
    <m/>
  </r>
  <r>
    <x v="18"/>
    <s v="EMPLOYEE"/>
    <x v="4"/>
    <s v="NBR"/>
    <s v="A"/>
    <n v="2013"/>
    <x v="845"/>
    <m/>
  </r>
  <r>
    <x v="18"/>
    <s v="EMPLOYEE"/>
    <x v="4"/>
    <s v="NBR"/>
    <s v="A"/>
    <n v="2014"/>
    <x v="846"/>
    <m/>
  </r>
  <r>
    <x v="18"/>
    <s v="EMPLOYEE"/>
    <x v="4"/>
    <s v="NBR"/>
    <s v="A"/>
    <n v="2015"/>
    <x v="847"/>
    <m/>
  </r>
  <r>
    <x v="18"/>
    <s v="EMPLOYEE"/>
    <x v="5"/>
    <s v="NBR"/>
    <s v="A"/>
    <n v="2008"/>
    <x v="848"/>
    <m/>
  </r>
  <r>
    <x v="18"/>
    <s v="EMPLOYEE"/>
    <x v="5"/>
    <s v="NBR"/>
    <s v="A"/>
    <n v="2009"/>
    <x v="849"/>
    <m/>
  </r>
  <r>
    <x v="18"/>
    <s v="EMPLOYEE"/>
    <x v="5"/>
    <s v="NBR"/>
    <s v="A"/>
    <n v="2010"/>
    <x v="850"/>
    <m/>
  </r>
  <r>
    <x v="18"/>
    <s v="EMPLOYEE"/>
    <x v="5"/>
    <s v="NBR"/>
    <s v="A"/>
    <n v="2011"/>
    <x v="851"/>
    <m/>
  </r>
  <r>
    <x v="18"/>
    <s v="EMPLOYEE"/>
    <x v="5"/>
    <s v="NBR"/>
    <s v="A"/>
    <n v="2012"/>
    <x v="852"/>
    <m/>
  </r>
  <r>
    <x v="18"/>
    <s v="EMPLOYEE"/>
    <x v="5"/>
    <s v="NBR"/>
    <s v="A"/>
    <n v="2013"/>
    <x v="853"/>
    <m/>
  </r>
  <r>
    <x v="18"/>
    <s v="EMPLOYEE"/>
    <x v="5"/>
    <s v="NBR"/>
    <s v="A"/>
    <n v="2014"/>
    <x v="854"/>
    <m/>
  </r>
  <r>
    <x v="18"/>
    <s v="EMPLOYEE"/>
    <x v="5"/>
    <s v="NBR"/>
    <s v="A"/>
    <n v="2015"/>
    <x v="855"/>
    <m/>
  </r>
  <r>
    <x v="19"/>
    <s v="EMPLOYEE"/>
    <x v="0"/>
    <s v="NBR"/>
    <s v="A"/>
    <n v="2008"/>
    <x v="856"/>
    <m/>
  </r>
  <r>
    <x v="19"/>
    <s v="EMPLOYEE"/>
    <x v="0"/>
    <s v="NBR"/>
    <s v="A"/>
    <n v="2009"/>
    <x v="857"/>
    <m/>
  </r>
  <r>
    <x v="19"/>
    <s v="EMPLOYEE"/>
    <x v="0"/>
    <s v="NBR"/>
    <s v="A"/>
    <n v="2010"/>
    <x v="858"/>
    <m/>
  </r>
  <r>
    <x v="19"/>
    <s v="EMPLOYEE"/>
    <x v="0"/>
    <s v="NBR"/>
    <s v="A"/>
    <n v="2011"/>
    <x v="859"/>
    <m/>
  </r>
  <r>
    <x v="19"/>
    <s v="EMPLOYEE"/>
    <x v="0"/>
    <s v="NBR"/>
    <s v="A"/>
    <n v="2012"/>
    <x v="860"/>
    <m/>
  </r>
  <r>
    <x v="19"/>
    <s v="EMPLOYEE"/>
    <x v="0"/>
    <s v="NBR"/>
    <s v="A"/>
    <n v="2013"/>
    <x v="861"/>
    <m/>
  </r>
  <r>
    <x v="19"/>
    <s v="EMPLOYEE"/>
    <x v="0"/>
    <s v="NBR"/>
    <s v="A"/>
    <n v="2014"/>
    <x v="862"/>
    <m/>
  </r>
  <r>
    <x v="19"/>
    <s v="EMPLOYEE"/>
    <x v="0"/>
    <s v="NBR"/>
    <s v="A"/>
    <n v="2015"/>
    <x v="863"/>
    <m/>
  </r>
  <r>
    <x v="19"/>
    <s v="EMPLOYEE"/>
    <x v="1"/>
    <s v="NBR"/>
    <s v="A"/>
    <n v="2008"/>
    <x v="864"/>
    <m/>
  </r>
  <r>
    <x v="19"/>
    <s v="EMPLOYEE"/>
    <x v="1"/>
    <s v="NBR"/>
    <s v="A"/>
    <n v="2009"/>
    <x v="865"/>
    <m/>
  </r>
  <r>
    <x v="19"/>
    <s v="EMPLOYEE"/>
    <x v="1"/>
    <s v="NBR"/>
    <s v="A"/>
    <n v="2010"/>
    <x v="866"/>
    <m/>
  </r>
  <r>
    <x v="19"/>
    <s v="EMPLOYEE"/>
    <x v="1"/>
    <s v="NBR"/>
    <s v="A"/>
    <n v="2011"/>
    <x v="867"/>
    <m/>
  </r>
  <r>
    <x v="19"/>
    <s v="EMPLOYEE"/>
    <x v="1"/>
    <s v="NBR"/>
    <s v="A"/>
    <n v="2012"/>
    <x v="868"/>
    <m/>
  </r>
  <r>
    <x v="19"/>
    <s v="EMPLOYEE"/>
    <x v="1"/>
    <s v="NBR"/>
    <s v="A"/>
    <n v="2013"/>
    <x v="869"/>
    <m/>
  </r>
  <r>
    <x v="19"/>
    <s v="EMPLOYEE"/>
    <x v="1"/>
    <s v="NBR"/>
    <s v="A"/>
    <n v="2014"/>
    <x v="870"/>
    <m/>
  </r>
  <r>
    <x v="19"/>
    <s v="EMPLOYEE"/>
    <x v="1"/>
    <s v="NBR"/>
    <s v="A"/>
    <n v="2015"/>
    <x v="871"/>
    <m/>
  </r>
  <r>
    <x v="19"/>
    <s v="EMPLOYEE"/>
    <x v="2"/>
    <s v="NBR"/>
    <s v="A"/>
    <n v="2008"/>
    <x v="872"/>
    <m/>
  </r>
  <r>
    <x v="19"/>
    <s v="EMPLOYEE"/>
    <x v="2"/>
    <s v="NBR"/>
    <s v="A"/>
    <n v="2009"/>
    <x v="873"/>
    <m/>
  </r>
  <r>
    <x v="19"/>
    <s v="EMPLOYEE"/>
    <x v="2"/>
    <s v="NBR"/>
    <s v="A"/>
    <n v="2010"/>
    <x v="874"/>
    <m/>
  </r>
  <r>
    <x v="19"/>
    <s v="EMPLOYEE"/>
    <x v="2"/>
    <s v="NBR"/>
    <s v="A"/>
    <n v="2011"/>
    <x v="875"/>
    <m/>
  </r>
  <r>
    <x v="19"/>
    <s v="EMPLOYEE"/>
    <x v="2"/>
    <s v="NBR"/>
    <s v="A"/>
    <n v="2012"/>
    <x v="876"/>
    <m/>
  </r>
  <r>
    <x v="19"/>
    <s v="EMPLOYEE"/>
    <x v="2"/>
    <s v="NBR"/>
    <s v="A"/>
    <n v="2013"/>
    <x v="877"/>
    <m/>
  </r>
  <r>
    <x v="19"/>
    <s v="EMPLOYEE"/>
    <x v="2"/>
    <s v="NBR"/>
    <s v="A"/>
    <n v="2014"/>
    <x v="878"/>
    <m/>
  </r>
  <r>
    <x v="19"/>
    <s v="EMPLOYEE"/>
    <x v="2"/>
    <s v="NBR"/>
    <s v="A"/>
    <n v="2015"/>
    <x v="879"/>
    <m/>
  </r>
  <r>
    <x v="19"/>
    <s v="EMPLOYEE"/>
    <x v="3"/>
    <s v="NBR"/>
    <s v="A"/>
    <n v="2008"/>
    <x v="880"/>
    <m/>
  </r>
  <r>
    <x v="19"/>
    <s v="EMPLOYEE"/>
    <x v="3"/>
    <s v="NBR"/>
    <s v="A"/>
    <n v="2009"/>
    <x v="881"/>
    <m/>
  </r>
  <r>
    <x v="19"/>
    <s v="EMPLOYEE"/>
    <x v="3"/>
    <s v="NBR"/>
    <s v="A"/>
    <n v="2010"/>
    <x v="882"/>
    <m/>
  </r>
  <r>
    <x v="19"/>
    <s v="EMPLOYEE"/>
    <x v="3"/>
    <s v="NBR"/>
    <s v="A"/>
    <n v="2011"/>
    <x v="883"/>
    <m/>
  </r>
  <r>
    <x v="19"/>
    <s v="EMPLOYEE"/>
    <x v="3"/>
    <s v="NBR"/>
    <s v="A"/>
    <n v="2012"/>
    <x v="884"/>
    <m/>
  </r>
  <r>
    <x v="19"/>
    <s v="EMPLOYEE"/>
    <x v="3"/>
    <s v="NBR"/>
    <s v="A"/>
    <n v="2013"/>
    <x v="885"/>
    <m/>
  </r>
  <r>
    <x v="19"/>
    <s v="EMPLOYEE"/>
    <x v="3"/>
    <s v="NBR"/>
    <s v="A"/>
    <n v="2014"/>
    <x v="886"/>
    <m/>
  </r>
  <r>
    <x v="19"/>
    <s v="EMPLOYEE"/>
    <x v="3"/>
    <s v="NBR"/>
    <s v="A"/>
    <n v="2015"/>
    <x v="887"/>
    <m/>
  </r>
  <r>
    <x v="19"/>
    <s v="EMPLOYEE"/>
    <x v="4"/>
    <s v="NBR"/>
    <s v="A"/>
    <n v="2008"/>
    <x v="888"/>
    <m/>
  </r>
  <r>
    <x v="19"/>
    <s v="EMPLOYEE"/>
    <x v="4"/>
    <s v="NBR"/>
    <s v="A"/>
    <n v="2009"/>
    <x v="889"/>
    <m/>
  </r>
  <r>
    <x v="19"/>
    <s v="EMPLOYEE"/>
    <x v="4"/>
    <s v="NBR"/>
    <s v="A"/>
    <n v="2010"/>
    <x v="890"/>
    <m/>
  </r>
  <r>
    <x v="19"/>
    <s v="EMPLOYEE"/>
    <x v="4"/>
    <s v="NBR"/>
    <s v="A"/>
    <n v="2011"/>
    <x v="891"/>
    <m/>
  </r>
  <r>
    <x v="19"/>
    <s v="EMPLOYEE"/>
    <x v="4"/>
    <s v="NBR"/>
    <s v="A"/>
    <n v="2012"/>
    <x v="892"/>
    <m/>
  </r>
  <r>
    <x v="19"/>
    <s v="EMPLOYEE"/>
    <x v="4"/>
    <s v="NBR"/>
    <s v="A"/>
    <n v="2013"/>
    <x v="893"/>
    <m/>
  </r>
  <r>
    <x v="19"/>
    <s v="EMPLOYEE"/>
    <x v="4"/>
    <s v="NBR"/>
    <s v="A"/>
    <n v="2014"/>
    <x v="894"/>
    <m/>
  </r>
  <r>
    <x v="19"/>
    <s v="EMPLOYEE"/>
    <x v="4"/>
    <s v="NBR"/>
    <s v="A"/>
    <n v="2015"/>
    <x v="895"/>
    <m/>
  </r>
  <r>
    <x v="19"/>
    <s v="EMPLOYEE"/>
    <x v="5"/>
    <s v="NBR"/>
    <s v="A"/>
    <n v="2008"/>
    <x v="896"/>
    <m/>
  </r>
  <r>
    <x v="19"/>
    <s v="EMPLOYEE"/>
    <x v="5"/>
    <s v="NBR"/>
    <s v="A"/>
    <n v="2009"/>
    <x v="897"/>
    <m/>
  </r>
  <r>
    <x v="19"/>
    <s v="EMPLOYEE"/>
    <x v="5"/>
    <s v="NBR"/>
    <s v="A"/>
    <n v="2010"/>
    <x v="898"/>
    <m/>
  </r>
  <r>
    <x v="19"/>
    <s v="EMPLOYEE"/>
    <x v="5"/>
    <s v="NBR"/>
    <s v="A"/>
    <n v="2011"/>
    <x v="899"/>
    <m/>
  </r>
  <r>
    <x v="19"/>
    <s v="EMPLOYEE"/>
    <x v="5"/>
    <s v="NBR"/>
    <s v="A"/>
    <n v="2012"/>
    <x v="900"/>
    <m/>
  </r>
  <r>
    <x v="19"/>
    <s v="EMPLOYEE"/>
    <x v="5"/>
    <s v="NBR"/>
    <s v="A"/>
    <n v="2013"/>
    <x v="901"/>
    <m/>
  </r>
  <r>
    <x v="19"/>
    <s v="EMPLOYEE"/>
    <x v="5"/>
    <s v="NBR"/>
    <s v="A"/>
    <n v="2014"/>
    <x v="902"/>
    <m/>
  </r>
  <r>
    <x v="19"/>
    <s v="EMPLOYEE"/>
    <x v="5"/>
    <s v="NBR"/>
    <s v="A"/>
    <n v="2015"/>
    <x v="903"/>
    <m/>
  </r>
  <r>
    <x v="20"/>
    <s v="EMPLOYEE"/>
    <x v="0"/>
    <s v="NBR"/>
    <s v="A"/>
    <n v="2008"/>
    <x v="904"/>
    <m/>
  </r>
  <r>
    <x v="20"/>
    <s v="EMPLOYEE"/>
    <x v="0"/>
    <s v="NBR"/>
    <s v="A"/>
    <n v="2009"/>
    <x v="905"/>
    <m/>
  </r>
  <r>
    <x v="20"/>
    <s v="EMPLOYEE"/>
    <x v="0"/>
    <s v="NBR"/>
    <s v="A"/>
    <n v="2010"/>
    <x v="906"/>
    <m/>
  </r>
  <r>
    <x v="20"/>
    <s v="EMPLOYEE"/>
    <x v="0"/>
    <s v="NBR"/>
    <s v="A"/>
    <n v="2011"/>
    <x v="907"/>
    <m/>
  </r>
  <r>
    <x v="20"/>
    <s v="EMPLOYEE"/>
    <x v="0"/>
    <s v="NBR"/>
    <s v="A"/>
    <n v="2012"/>
    <x v="908"/>
    <m/>
  </r>
  <r>
    <x v="20"/>
    <s v="EMPLOYEE"/>
    <x v="0"/>
    <s v="NBR"/>
    <s v="A"/>
    <n v="2013"/>
    <x v="909"/>
    <m/>
  </r>
  <r>
    <x v="20"/>
    <s v="EMPLOYEE"/>
    <x v="0"/>
    <s v="NBR"/>
    <s v="A"/>
    <n v="2014"/>
    <x v="910"/>
    <m/>
  </r>
  <r>
    <x v="20"/>
    <s v="EMPLOYEE"/>
    <x v="0"/>
    <s v="NBR"/>
    <s v="A"/>
    <n v="2015"/>
    <x v="911"/>
    <m/>
  </r>
  <r>
    <x v="20"/>
    <s v="EMPLOYEE"/>
    <x v="1"/>
    <s v="NBR"/>
    <s v="A"/>
    <n v="2008"/>
    <x v="912"/>
    <m/>
  </r>
  <r>
    <x v="20"/>
    <s v="EMPLOYEE"/>
    <x v="1"/>
    <s v="NBR"/>
    <s v="A"/>
    <n v="2009"/>
    <x v="913"/>
    <m/>
  </r>
  <r>
    <x v="20"/>
    <s v="EMPLOYEE"/>
    <x v="1"/>
    <s v="NBR"/>
    <s v="A"/>
    <n v="2010"/>
    <x v="914"/>
    <m/>
  </r>
  <r>
    <x v="20"/>
    <s v="EMPLOYEE"/>
    <x v="1"/>
    <s v="NBR"/>
    <s v="A"/>
    <n v="2011"/>
    <x v="915"/>
    <m/>
  </r>
  <r>
    <x v="20"/>
    <s v="EMPLOYEE"/>
    <x v="1"/>
    <s v="NBR"/>
    <s v="A"/>
    <n v="2012"/>
    <x v="916"/>
    <m/>
  </r>
  <r>
    <x v="20"/>
    <s v="EMPLOYEE"/>
    <x v="1"/>
    <s v="NBR"/>
    <s v="A"/>
    <n v="2013"/>
    <x v="917"/>
    <m/>
  </r>
  <r>
    <x v="20"/>
    <s v="EMPLOYEE"/>
    <x v="1"/>
    <s v="NBR"/>
    <s v="A"/>
    <n v="2014"/>
    <x v="918"/>
    <m/>
  </r>
  <r>
    <x v="20"/>
    <s v="EMPLOYEE"/>
    <x v="1"/>
    <s v="NBR"/>
    <s v="A"/>
    <n v="2015"/>
    <x v="919"/>
    <m/>
  </r>
  <r>
    <x v="20"/>
    <s v="EMPLOYEE"/>
    <x v="2"/>
    <s v="NBR"/>
    <s v="A"/>
    <n v="2008"/>
    <x v="920"/>
    <m/>
  </r>
  <r>
    <x v="20"/>
    <s v="EMPLOYEE"/>
    <x v="2"/>
    <s v="NBR"/>
    <s v="A"/>
    <n v="2009"/>
    <x v="921"/>
    <m/>
  </r>
  <r>
    <x v="20"/>
    <s v="EMPLOYEE"/>
    <x v="2"/>
    <s v="NBR"/>
    <s v="A"/>
    <n v="2010"/>
    <x v="922"/>
    <m/>
  </r>
  <r>
    <x v="20"/>
    <s v="EMPLOYEE"/>
    <x v="2"/>
    <s v="NBR"/>
    <s v="A"/>
    <n v="2011"/>
    <x v="923"/>
    <m/>
  </r>
  <r>
    <x v="20"/>
    <s v="EMPLOYEE"/>
    <x v="2"/>
    <s v="NBR"/>
    <s v="A"/>
    <n v="2012"/>
    <x v="924"/>
    <m/>
  </r>
  <r>
    <x v="20"/>
    <s v="EMPLOYEE"/>
    <x v="2"/>
    <s v="NBR"/>
    <s v="A"/>
    <n v="2013"/>
    <x v="925"/>
    <m/>
  </r>
  <r>
    <x v="20"/>
    <s v="EMPLOYEE"/>
    <x v="2"/>
    <s v="NBR"/>
    <s v="A"/>
    <n v="2014"/>
    <x v="926"/>
    <m/>
  </r>
  <r>
    <x v="20"/>
    <s v="EMPLOYEE"/>
    <x v="2"/>
    <s v="NBR"/>
    <s v="A"/>
    <n v="2015"/>
    <x v="927"/>
    <m/>
  </r>
  <r>
    <x v="20"/>
    <s v="EMPLOYEE"/>
    <x v="3"/>
    <s v="NBR"/>
    <s v="A"/>
    <n v="2008"/>
    <x v="928"/>
    <m/>
  </r>
  <r>
    <x v="20"/>
    <s v="EMPLOYEE"/>
    <x v="3"/>
    <s v="NBR"/>
    <s v="A"/>
    <n v="2009"/>
    <x v="929"/>
    <m/>
  </r>
  <r>
    <x v="20"/>
    <s v="EMPLOYEE"/>
    <x v="3"/>
    <s v="NBR"/>
    <s v="A"/>
    <n v="2010"/>
    <x v="930"/>
    <m/>
  </r>
  <r>
    <x v="20"/>
    <s v="EMPLOYEE"/>
    <x v="3"/>
    <s v="NBR"/>
    <s v="A"/>
    <n v="2011"/>
    <x v="931"/>
    <m/>
  </r>
  <r>
    <x v="20"/>
    <s v="EMPLOYEE"/>
    <x v="3"/>
    <s v="NBR"/>
    <s v="A"/>
    <n v="2012"/>
    <x v="932"/>
    <m/>
  </r>
  <r>
    <x v="20"/>
    <s v="EMPLOYEE"/>
    <x v="3"/>
    <s v="NBR"/>
    <s v="A"/>
    <n v="2013"/>
    <x v="933"/>
    <m/>
  </r>
  <r>
    <x v="20"/>
    <s v="EMPLOYEE"/>
    <x v="3"/>
    <s v="NBR"/>
    <s v="A"/>
    <n v="2014"/>
    <x v="934"/>
    <m/>
  </r>
  <r>
    <x v="20"/>
    <s v="EMPLOYEE"/>
    <x v="3"/>
    <s v="NBR"/>
    <s v="A"/>
    <n v="2015"/>
    <x v="935"/>
    <m/>
  </r>
  <r>
    <x v="20"/>
    <s v="EMPLOYEE"/>
    <x v="4"/>
    <s v="NBR"/>
    <s v="A"/>
    <n v="2008"/>
    <x v="936"/>
    <m/>
  </r>
  <r>
    <x v="20"/>
    <s v="EMPLOYEE"/>
    <x v="4"/>
    <s v="NBR"/>
    <s v="A"/>
    <n v="2009"/>
    <x v="937"/>
    <m/>
  </r>
  <r>
    <x v="20"/>
    <s v="EMPLOYEE"/>
    <x v="4"/>
    <s v="NBR"/>
    <s v="A"/>
    <n v="2010"/>
    <x v="938"/>
    <m/>
  </r>
  <r>
    <x v="20"/>
    <s v="EMPLOYEE"/>
    <x v="4"/>
    <s v="NBR"/>
    <s v="A"/>
    <n v="2011"/>
    <x v="939"/>
    <m/>
  </r>
  <r>
    <x v="20"/>
    <s v="EMPLOYEE"/>
    <x v="4"/>
    <s v="NBR"/>
    <s v="A"/>
    <n v="2012"/>
    <x v="940"/>
    <m/>
  </r>
  <r>
    <x v="20"/>
    <s v="EMPLOYEE"/>
    <x v="4"/>
    <s v="NBR"/>
    <s v="A"/>
    <n v="2013"/>
    <x v="941"/>
    <m/>
  </r>
  <r>
    <x v="20"/>
    <s v="EMPLOYEE"/>
    <x v="4"/>
    <s v="NBR"/>
    <s v="A"/>
    <n v="2014"/>
    <x v="942"/>
    <m/>
  </r>
  <r>
    <x v="20"/>
    <s v="EMPLOYEE"/>
    <x v="4"/>
    <s v="NBR"/>
    <s v="A"/>
    <n v="2015"/>
    <x v="943"/>
    <m/>
  </r>
  <r>
    <x v="20"/>
    <s v="EMPLOYEE"/>
    <x v="5"/>
    <s v="NBR"/>
    <s v="A"/>
    <n v="2008"/>
    <x v="944"/>
    <m/>
  </r>
  <r>
    <x v="20"/>
    <s v="EMPLOYEE"/>
    <x v="5"/>
    <s v="NBR"/>
    <s v="A"/>
    <n v="2009"/>
    <x v="945"/>
    <m/>
  </r>
  <r>
    <x v="20"/>
    <s v="EMPLOYEE"/>
    <x v="5"/>
    <s v="NBR"/>
    <s v="A"/>
    <n v="2010"/>
    <x v="946"/>
    <m/>
  </r>
  <r>
    <x v="20"/>
    <s v="EMPLOYEE"/>
    <x v="5"/>
    <s v="NBR"/>
    <s v="A"/>
    <n v="2011"/>
    <x v="947"/>
    <m/>
  </r>
  <r>
    <x v="20"/>
    <s v="EMPLOYEE"/>
    <x v="5"/>
    <s v="NBR"/>
    <s v="A"/>
    <n v="2012"/>
    <x v="948"/>
    <m/>
  </r>
  <r>
    <x v="20"/>
    <s v="EMPLOYEE"/>
    <x v="5"/>
    <s v="NBR"/>
    <s v="A"/>
    <n v="2013"/>
    <x v="949"/>
    <m/>
  </r>
  <r>
    <x v="20"/>
    <s v="EMPLOYEE"/>
    <x v="5"/>
    <s v="NBR"/>
    <s v="A"/>
    <n v="2014"/>
    <x v="950"/>
    <m/>
  </r>
  <r>
    <x v="20"/>
    <s v="EMPLOYEE"/>
    <x v="5"/>
    <s v="NBR"/>
    <s v="A"/>
    <n v="2015"/>
    <x v="951"/>
    <m/>
  </r>
  <r>
    <x v="21"/>
    <s v="EMPLOYEE"/>
    <x v="0"/>
    <s v="NBR"/>
    <s v="A"/>
    <n v="2008"/>
    <x v="952"/>
    <m/>
  </r>
  <r>
    <x v="21"/>
    <s v="EMPLOYEE"/>
    <x v="0"/>
    <s v="NBR"/>
    <s v="A"/>
    <n v="2009"/>
    <x v="953"/>
    <m/>
  </r>
  <r>
    <x v="21"/>
    <s v="EMPLOYEE"/>
    <x v="0"/>
    <s v="NBR"/>
    <s v="A"/>
    <n v="2010"/>
    <x v="954"/>
    <m/>
  </r>
  <r>
    <x v="21"/>
    <s v="EMPLOYEE"/>
    <x v="0"/>
    <s v="NBR"/>
    <s v="A"/>
    <n v="2011"/>
    <x v="955"/>
    <m/>
  </r>
  <r>
    <x v="21"/>
    <s v="EMPLOYEE"/>
    <x v="0"/>
    <s v="NBR"/>
    <s v="A"/>
    <n v="2012"/>
    <x v="956"/>
    <m/>
  </r>
  <r>
    <x v="21"/>
    <s v="EMPLOYEE"/>
    <x v="0"/>
    <s v="NBR"/>
    <s v="A"/>
    <n v="2013"/>
    <x v="957"/>
    <m/>
  </r>
  <r>
    <x v="21"/>
    <s v="EMPLOYEE"/>
    <x v="0"/>
    <s v="NBR"/>
    <s v="A"/>
    <n v="2014"/>
    <x v="958"/>
    <m/>
  </r>
  <r>
    <x v="21"/>
    <s v="EMPLOYEE"/>
    <x v="0"/>
    <s v="NBR"/>
    <s v="A"/>
    <n v="2015"/>
    <x v="959"/>
    <m/>
  </r>
  <r>
    <x v="21"/>
    <s v="EMPLOYEE"/>
    <x v="1"/>
    <s v="NBR"/>
    <s v="A"/>
    <n v="2008"/>
    <x v="960"/>
    <m/>
  </r>
  <r>
    <x v="21"/>
    <s v="EMPLOYEE"/>
    <x v="1"/>
    <s v="NBR"/>
    <s v="A"/>
    <n v="2009"/>
    <x v="961"/>
    <m/>
  </r>
  <r>
    <x v="21"/>
    <s v="EMPLOYEE"/>
    <x v="1"/>
    <s v="NBR"/>
    <s v="A"/>
    <n v="2010"/>
    <x v="962"/>
    <m/>
  </r>
  <r>
    <x v="21"/>
    <s v="EMPLOYEE"/>
    <x v="1"/>
    <s v="NBR"/>
    <s v="A"/>
    <n v="2011"/>
    <x v="963"/>
    <m/>
  </r>
  <r>
    <x v="21"/>
    <s v="EMPLOYEE"/>
    <x v="1"/>
    <s v="NBR"/>
    <s v="A"/>
    <n v="2012"/>
    <x v="964"/>
    <m/>
  </r>
  <r>
    <x v="21"/>
    <s v="EMPLOYEE"/>
    <x v="1"/>
    <s v="NBR"/>
    <s v="A"/>
    <n v="2013"/>
    <x v="965"/>
    <m/>
  </r>
  <r>
    <x v="21"/>
    <s v="EMPLOYEE"/>
    <x v="1"/>
    <s v="NBR"/>
    <s v="A"/>
    <n v="2014"/>
    <x v="966"/>
    <m/>
  </r>
  <r>
    <x v="21"/>
    <s v="EMPLOYEE"/>
    <x v="1"/>
    <s v="NBR"/>
    <s v="A"/>
    <n v="2015"/>
    <x v="967"/>
    <m/>
  </r>
  <r>
    <x v="21"/>
    <s v="EMPLOYEE"/>
    <x v="2"/>
    <s v="NBR"/>
    <s v="A"/>
    <n v="2008"/>
    <x v="968"/>
    <m/>
  </r>
  <r>
    <x v="21"/>
    <s v="EMPLOYEE"/>
    <x v="2"/>
    <s v="NBR"/>
    <s v="A"/>
    <n v="2009"/>
    <x v="969"/>
    <m/>
  </r>
  <r>
    <x v="21"/>
    <s v="EMPLOYEE"/>
    <x v="2"/>
    <s v="NBR"/>
    <s v="A"/>
    <n v="2010"/>
    <x v="970"/>
    <m/>
  </r>
  <r>
    <x v="21"/>
    <s v="EMPLOYEE"/>
    <x v="2"/>
    <s v="NBR"/>
    <s v="A"/>
    <n v="2011"/>
    <x v="971"/>
    <m/>
  </r>
  <r>
    <x v="21"/>
    <s v="EMPLOYEE"/>
    <x v="2"/>
    <s v="NBR"/>
    <s v="A"/>
    <n v="2012"/>
    <x v="972"/>
    <m/>
  </r>
  <r>
    <x v="21"/>
    <s v="EMPLOYEE"/>
    <x v="2"/>
    <s v="NBR"/>
    <s v="A"/>
    <n v="2013"/>
    <x v="973"/>
    <m/>
  </r>
  <r>
    <x v="21"/>
    <s v="EMPLOYEE"/>
    <x v="2"/>
    <s v="NBR"/>
    <s v="A"/>
    <n v="2014"/>
    <x v="974"/>
    <m/>
  </r>
  <r>
    <x v="21"/>
    <s v="EMPLOYEE"/>
    <x v="2"/>
    <s v="NBR"/>
    <s v="A"/>
    <n v="2015"/>
    <x v="975"/>
    <m/>
  </r>
  <r>
    <x v="21"/>
    <s v="EMPLOYEE"/>
    <x v="3"/>
    <s v="NBR"/>
    <s v="A"/>
    <n v="2008"/>
    <x v="976"/>
    <m/>
  </r>
  <r>
    <x v="21"/>
    <s v="EMPLOYEE"/>
    <x v="3"/>
    <s v="NBR"/>
    <s v="A"/>
    <n v="2009"/>
    <x v="977"/>
    <m/>
  </r>
  <r>
    <x v="21"/>
    <s v="EMPLOYEE"/>
    <x v="3"/>
    <s v="NBR"/>
    <s v="A"/>
    <n v="2010"/>
    <x v="978"/>
    <m/>
  </r>
  <r>
    <x v="21"/>
    <s v="EMPLOYEE"/>
    <x v="3"/>
    <s v="NBR"/>
    <s v="A"/>
    <n v="2011"/>
    <x v="979"/>
    <m/>
  </r>
  <r>
    <x v="21"/>
    <s v="EMPLOYEE"/>
    <x v="3"/>
    <s v="NBR"/>
    <s v="A"/>
    <n v="2012"/>
    <x v="980"/>
    <m/>
  </r>
  <r>
    <x v="21"/>
    <s v="EMPLOYEE"/>
    <x v="3"/>
    <s v="NBR"/>
    <s v="A"/>
    <n v="2013"/>
    <x v="981"/>
    <m/>
  </r>
  <r>
    <x v="21"/>
    <s v="EMPLOYEE"/>
    <x v="3"/>
    <s v="NBR"/>
    <s v="A"/>
    <n v="2014"/>
    <x v="982"/>
    <m/>
  </r>
  <r>
    <x v="21"/>
    <s v="EMPLOYEE"/>
    <x v="3"/>
    <s v="NBR"/>
    <s v="A"/>
    <n v="2015"/>
    <x v="983"/>
    <m/>
  </r>
  <r>
    <x v="21"/>
    <s v="EMPLOYEE"/>
    <x v="4"/>
    <s v="NBR"/>
    <s v="A"/>
    <n v="2008"/>
    <x v="984"/>
    <m/>
  </r>
  <r>
    <x v="21"/>
    <s v="EMPLOYEE"/>
    <x v="4"/>
    <s v="NBR"/>
    <s v="A"/>
    <n v="2009"/>
    <x v="985"/>
    <m/>
  </r>
  <r>
    <x v="21"/>
    <s v="EMPLOYEE"/>
    <x v="4"/>
    <s v="NBR"/>
    <s v="A"/>
    <n v="2010"/>
    <x v="986"/>
    <m/>
  </r>
  <r>
    <x v="21"/>
    <s v="EMPLOYEE"/>
    <x v="4"/>
    <s v="NBR"/>
    <s v="A"/>
    <n v="2011"/>
    <x v="987"/>
    <m/>
  </r>
  <r>
    <x v="21"/>
    <s v="EMPLOYEE"/>
    <x v="4"/>
    <s v="NBR"/>
    <s v="A"/>
    <n v="2012"/>
    <x v="988"/>
    <m/>
  </r>
  <r>
    <x v="21"/>
    <s v="EMPLOYEE"/>
    <x v="4"/>
    <s v="NBR"/>
    <s v="A"/>
    <n v="2013"/>
    <x v="989"/>
    <m/>
  </r>
  <r>
    <x v="21"/>
    <s v="EMPLOYEE"/>
    <x v="4"/>
    <s v="NBR"/>
    <s v="A"/>
    <n v="2014"/>
    <x v="990"/>
    <m/>
  </r>
  <r>
    <x v="21"/>
    <s v="EMPLOYEE"/>
    <x v="4"/>
    <s v="NBR"/>
    <s v="A"/>
    <n v="2015"/>
    <x v="991"/>
    <m/>
  </r>
  <r>
    <x v="21"/>
    <s v="EMPLOYEE"/>
    <x v="5"/>
    <s v="NBR"/>
    <s v="A"/>
    <n v="2008"/>
    <x v="992"/>
    <m/>
  </r>
  <r>
    <x v="21"/>
    <s v="EMPLOYEE"/>
    <x v="5"/>
    <s v="NBR"/>
    <s v="A"/>
    <n v="2009"/>
    <x v="993"/>
    <m/>
  </r>
  <r>
    <x v="21"/>
    <s v="EMPLOYEE"/>
    <x v="5"/>
    <s v="NBR"/>
    <s v="A"/>
    <n v="2010"/>
    <x v="994"/>
    <m/>
  </r>
  <r>
    <x v="21"/>
    <s v="EMPLOYEE"/>
    <x v="5"/>
    <s v="NBR"/>
    <s v="A"/>
    <n v="2011"/>
    <x v="995"/>
    <m/>
  </r>
  <r>
    <x v="21"/>
    <s v="EMPLOYEE"/>
    <x v="5"/>
    <s v="NBR"/>
    <s v="A"/>
    <n v="2012"/>
    <x v="996"/>
    <m/>
  </r>
  <r>
    <x v="21"/>
    <s v="EMPLOYEE"/>
    <x v="5"/>
    <s v="NBR"/>
    <s v="A"/>
    <n v="2013"/>
    <x v="997"/>
    <m/>
  </r>
  <r>
    <x v="21"/>
    <s v="EMPLOYEE"/>
    <x v="5"/>
    <s v="NBR"/>
    <s v="A"/>
    <n v="2014"/>
    <x v="998"/>
    <m/>
  </r>
  <r>
    <x v="21"/>
    <s v="EMPLOYEE"/>
    <x v="5"/>
    <s v="NBR"/>
    <s v="A"/>
    <n v="2015"/>
    <x v="999"/>
    <m/>
  </r>
  <r>
    <x v="22"/>
    <s v="EMPLOYEE"/>
    <x v="0"/>
    <s v="NBR"/>
    <s v="A"/>
    <n v="2008"/>
    <x v="1000"/>
    <m/>
  </r>
  <r>
    <x v="22"/>
    <s v="EMPLOYEE"/>
    <x v="0"/>
    <s v="NBR"/>
    <s v="A"/>
    <n v="2009"/>
    <x v="1001"/>
    <m/>
  </r>
  <r>
    <x v="22"/>
    <s v="EMPLOYEE"/>
    <x v="0"/>
    <s v="NBR"/>
    <s v="A"/>
    <n v="2010"/>
    <x v="1002"/>
    <m/>
  </r>
  <r>
    <x v="22"/>
    <s v="EMPLOYEE"/>
    <x v="0"/>
    <s v="NBR"/>
    <s v="A"/>
    <n v="2011"/>
    <x v="1003"/>
    <m/>
  </r>
  <r>
    <x v="22"/>
    <s v="EMPLOYEE"/>
    <x v="0"/>
    <s v="NBR"/>
    <s v="A"/>
    <n v="2012"/>
    <x v="1004"/>
    <m/>
  </r>
  <r>
    <x v="22"/>
    <s v="EMPLOYEE"/>
    <x v="0"/>
    <s v="NBR"/>
    <s v="A"/>
    <n v="2013"/>
    <x v="1005"/>
    <m/>
  </r>
  <r>
    <x v="22"/>
    <s v="EMPLOYEE"/>
    <x v="0"/>
    <s v="NBR"/>
    <s v="A"/>
    <n v="2014"/>
    <x v="1006"/>
    <m/>
  </r>
  <r>
    <x v="22"/>
    <s v="EMPLOYEE"/>
    <x v="0"/>
    <s v="NBR"/>
    <s v="A"/>
    <n v="2015"/>
    <x v="1007"/>
    <m/>
  </r>
  <r>
    <x v="22"/>
    <s v="EMPLOYEE"/>
    <x v="1"/>
    <s v="NBR"/>
    <s v="A"/>
    <n v="2008"/>
    <x v="1008"/>
    <m/>
  </r>
  <r>
    <x v="22"/>
    <s v="EMPLOYEE"/>
    <x v="1"/>
    <s v="NBR"/>
    <s v="A"/>
    <n v="2009"/>
    <x v="1009"/>
    <m/>
  </r>
  <r>
    <x v="22"/>
    <s v="EMPLOYEE"/>
    <x v="1"/>
    <s v="NBR"/>
    <s v="A"/>
    <n v="2010"/>
    <x v="1010"/>
    <m/>
  </r>
  <r>
    <x v="22"/>
    <s v="EMPLOYEE"/>
    <x v="1"/>
    <s v="NBR"/>
    <s v="A"/>
    <n v="2011"/>
    <x v="1011"/>
    <m/>
  </r>
  <r>
    <x v="22"/>
    <s v="EMPLOYEE"/>
    <x v="1"/>
    <s v="NBR"/>
    <s v="A"/>
    <n v="2012"/>
    <x v="1012"/>
    <m/>
  </r>
  <r>
    <x v="22"/>
    <s v="EMPLOYEE"/>
    <x v="1"/>
    <s v="NBR"/>
    <s v="A"/>
    <n v="2013"/>
    <x v="1013"/>
    <m/>
  </r>
  <r>
    <x v="22"/>
    <s v="EMPLOYEE"/>
    <x v="1"/>
    <s v="NBR"/>
    <s v="A"/>
    <n v="2014"/>
    <x v="1014"/>
    <m/>
  </r>
  <r>
    <x v="22"/>
    <s v="EMPLOYEE"/>
    <x v="1"/>
    <s v="NBR"/>
    <s v="A"/>
    <n v="2015"/>
    <x v="1015"/>
    <m/>
  </r>
  <r>
    <x v="22"/>
    <s v="EMPLOYEE"/>
    <x v="2"/>
    <s v="NBR"/>
    <s v="A"/>
    <n v="2008"/>
    <x v="1016"/>
    <m/>
  </r>
  <r>
    <x v="22"/>
    <s v="EMPLOYEE"/>
    <x v="2"/>
    <s v="NBR"/>
    <s v="A"/>
    <n v="2009"/>
    <x v="1017"/>
    <m/>
  </r>
  <r>
    <x v="22"/>
    <s v="EMPLOYEE"/>
    <x v="2"/>
    <s v="NBR"/>
    <s v="A"/>
    <n v="2010"/>
    <x v="1018"/>
    <m/>
  </r>
  <r>
    <x v="22"/>
    <s v="EMPLOYEE"/>
    <x v="2"/>
    <s v="NBR"/>
    <s v="A"/>
    <n v="2011"/>
    <x v="1019"/>
    <m/>
  </r>
  <r>
    <x v="22"/>
    <s v="EMPLOYEE"/>
    <x v="2"/>
    <s v="NBR"/>
    <s v="A"/>
    <n v="2012"/>
    <x v="1020"/>
    <m/>
  </r>
  <r>
    <x v="22"/>
    <s v="EMPLOYEE"/>
    <x v="2"/>
    <s v="NBR"/>
    <s v="A"/>
    <n v="2013"/>
    <x v="1021"/>
    <m/>
  </r>
  <r>
    <x v="22"/>
    <s v="EMPLOYEE"/>
    <x v="2"/>
    <s v="NBR"/>
    <s v="A"/>
    <n v="2014"/>
    <x v="1022"/>
    <m/>
  </r>
  <r>
    <x v="22"/>
    <s v="EMPLOYEE"/>
    <x v="2"/>
    <s v="NBR"/>
    <s v="A"/>
    <n v="2015"/>
    <x v="1023"/>
    <m/>
  </r>
  <r>
    <x v="22"/>
    <s v="EMPLOYEE"/>
    <x v="3"/>
    <s v="NBR"/>
    <s v="A"/>
    <n v="2008"/>
    <x v="1024"/>
    <m/>
  </r>
  <r>
    <x v="22"/>
    <s v="EMPLOYEE"/>
    <x v="3"/>
    <s v="NBR"/>
    <s v="A"/>
    <n v="2009"/>
    <x v="1025"/>
    <m/>
  </r>
  <r>
    <x v="22"/>
    <s v="EMPLOYEE"/>
    <x v="3"/>
    <s v="NBR"/>
    <s v="A"/>
    <n v="2010"/>
    <x v="1026"/>
    <m/>
  </r>
  <r>
    <x v="22"/>
    <s v="EMPLOYEE"/>
    <x v="3"/>
    <s v="NBR"/>
    <s v="A"/>
    <n v="2011"/>
    <x v="1027"/>
    <m/>
  </r>
  <r>
    <x v="22"/>
    <s v="EMPLOYEE"/>
    <x v="3"/>
    <s v="NBR"/>
    <s v="A"/>
    <n v="2012"/>
    <x v="1028"/>
    <m/>
  </r>
  <r>
    <x v="22"/>
    <s v="EMPLOYEE"/>
    <x v="3"/>
    <s v="NBR"/>
    <s v="A"/>
    <n v="2013"/>
    <x v="1029"/>
    <m/>
  </r>
  <r>
    <x v="22"/>
    <s v="EMPLOYEE"/>
    <x v="3"/>
    <s v="NBR"/>
    <s v="A"/>
    <n v="2014"/>
    <x v="1030"/>
    <m/>
  </r>
  <r>
    <x v="22"/>
    <s v="EMPLOYEE"/>
    <x v="3"/>
    <s v="NBR"/>
    <s v="A"/>
    <n v="2015"/>
    <x v="1031"/>
    <m/>
  </r>
  <r>
    <x v="22"/>
    <s v="EMPLOYEE"/>
    <x v="4"/>
    <s v="NBR"/>
    <s v="A"/>
    <n v="2008"/>
    <x v="1032"/>
    <m/>
  </r>
  <r>
    <x v="22"/>
    <s v="EMPLOYEE"/>
    <x v="4"/>
    <s v="NBR"/>
    <s v="A"/>
    <n v="2009"/>
    <x v="1033"/>
    <m/>
  </r>
  <r>
    <x v="22"/>
    <s v="EMPLOYEE"/>
    <x v="4"/>
    <s v="NBR"/>
    <s v="A"/>
    <n v="2010"/>
    <x v="1034"/>
    <m/>
  </r>
  <r>
    <x v="22"/>
    <s v="EMPLOYEE"/>
    <x v="4"/>
    <s v="NBR"/>
    <s v="A"/>
    <n v="2011"/>
    <x v="1035"/>
    <m/>
  </r>
  <r>
    <x v="22"/>
    <s v="EMPLOYEE"/>
    <x v="4"/>
    <s v="NBR"/>
    <s v="A"/>
    <n v="2012"/>
    <x v="1036"/>
    <m/>
  </r>
  <r>
    <x v="22"/>
    <s v="EMPLOYEE"/>
    <x v="4"/>
    <s v="NBR"/>
    <s v="A"/>
    <n v="2013"/>
    <x v="1037"/>
    <m/>
  </r>
  <r>
    <x v="22"/>
    <s v="EMPLOYEE"/>
    <x v="4"/>
    <s v="NBR"/>
    <s v="A"/>
    <n v="2014"/>
    <x v="1038"/>
    <m/>
  </r>
  <r>
    <x v="22"/>
    <s v="EMPLOYEE"/>
    <x v="4"/>
    <s v="NBR"/>
    <s v="A"/>
    <n v="2015"/>
    <x v="1039"/>
    <m/>
  </r>
  <r>
    <x v="22"/>
    <s v="EMPLOYEE"/>
    <x v="5"/>
    <s v="NBR"/>
    <s v="A"/>
    <n v="2008"/>
    <x v="1040"/>
    <m/>
  </r>
  <r>
    <x v="22"/>
    <s v="EMPLOYEE"/>
    <x v="5"/>
    <s v="NBR"/>
    <s v="A"/>
    <n v="2009"/>
    <x v="1041"/>
    <m/>
  </r>
  <r>
    <x v="22"/>
    <s v="EMPLOYEE"/>
    <x v="5"/>
    <s v="NBR"/>
    <s v="A"/>
    <n v="2010"/>
    <x v="1042"/>
    <m/>
  </r>
  <r>
    <x v="22"/>
    <s v="EMPLOYEE"/>
    <x v="5"/>
    <s v="NBR"/>
    <s v="A"/>
    <n v="2011"/>
    <x v="1043"/>
    <m/>
  </r>
  <r>
    <x v="22"/>
    <s v="EMPLOYEE"/>
    <x v="5"/>
    <s v="NBR"/>
    <s v="A"/>
    <n v="2012"/>
    <x v="1044"/>
    <m/>
  </r>
  <r>
    <x v="22"/>
    <s v="EMPLOYEE"/>
    <x v="5"/>
    <s v="NBR"/>
    <s v="A"/>
    <n v="2013"/>
    <x v="1045"/>
    <m/>
  </r>
  <r>
    <x v="22"/>
    <s v="EMPLOYEE"/>
    <x v="5"/>
    <s v="NBR"/>
    <s v="A"/>
    <n v="2014"/>
    <x v="1046"/>
    <m/>
  </r>
  <r>
    <x v="22"/>
    <s v="EMPLOYEE"/>
    <x v="5"/>
    <s v="NBR"/>
    <s v="A"/>
    <n v="2015"/>
    <x v="1047"/>
    <m/>
  </r>
  <r>
    <x v="23"/>
    <s v="EMPLOYEE"/>
    <x v="0"/>
    <s v="NBR"/>
    <s v="A"/>
    <n v="2008"/>
    <x v="1048"/>
    <m/>
  </r>
  <r>
    <x v="23"/>
    <s v="EMPLOYEE"/>
    <x v="0"/>
    <s v="NBR"/>
    <s v="A"/>
    <n v="2009"/>
    <x v="1049"/>
    <m/>
  </r>
  <r>
    <x v="23"/>
    <s v="EMPLOYEE"/>
    <x v="0"/>
    <s v="NBR"/>
    <s v="A"/>
    <n v="2010"/>
    <x v="1050"/>
    <m/>
  </r>
  <r>
    <x v="23"/>
    <s v="EMPLOYEE"/>
    <x v="0"/>
    <s v="NBR"/>
    <s v="A"/>
    <n v="2011"/>
    <x v="1051"/>
    <m/>
  </r>
  <r>
    <x v="23"/>
    <s v="EMPLOYEE"/>
    <x v="0"/>
    <s v="NBR"/>
    <s v="A"/>
    <n v="2012"/>
    <x v="1052"/>
    <m/>
  </r>
  <r>
    <x v="23"/>
    <s v="EMPLOYEE"/>
    <x v="0"/>
    <s v="NBR"/>
    <s v="A"/>
    <n v="2013"/>
    <x v="1053"/>
    <m/>
  </r>
  <r>
    <x v="23"/>
    <s v="EMPLOYEE"/>
    <x v="0"/>
    <s v="NBR"/>
    <s v="A"/>
    <n v="2014"/>
    <x v="1054"/>
    <m/>
  </r>
  <r>
    <x v="23"/>
    <s v="EMPLOYEE"/>
    <x v="1"/>
    <s v="NBR"/>
    <s v="A"/>
    <n v="2008"/>
    <x v="1055"/>
    <m/>
  </r>
  <r>
    <x v="23"/>
    <s v="EMPLOYEE"/>
    <x v="1"/>
    <s v="NBR"/>
    <s v="A"/>
    <n v="2009"/>
    <x v="1056"/>
    <m/>
  </r>
  <r>
    <x v="23"/>
    <s v="EMPLOYEE"/>
    <x v="1"/>
    <s v="NBR"/>
    <s v="A"/>
    <n v="2010"/>
    <x v="1057"/>
    <m/>
  </r>
  <r>
    <x v="23"/>
    <s v="EMPLOYEE"/>
    <x v="1"/>
    <s v="NBR"/>
    <s v="A"/>
    <n v="2011"/>
    <x v="1058"/>
    <m/>
  </r>
  <r>
    <x v="23"/>
    <s v="EMPLOYEE"/>
    <x v="1"/>
    <s v="NBR"/>
    <s v="A"/>
    <n v="2012"/>
    <x v="1059"/>
    <m/>
  </r>
  <r>
    <x v="23"/>
    <s v="EMPLOYEE"/>
    <x v="1"/>
    <s v="NBR"/>
    <s v="A"/>
    <n v="2013"/>
    <x v="1060"/>
    <m/>
  </r>
  <r>
    <x v="23"/>
    <s v="EMPLOYEE"/>
    <x v="1"/>
    <s v="NBR"/>
    <s v="A"/>
    <n v="2014"/>
    <x v="1061"/>
    <m/>
  </r>
  <r>
    <x v="23"/>
    <s v="EMPLOYEE"/>
    <x v="2"/>
    <s v="NBR"/>
    <s v="A"/>
    <n v="2008"/>
    <x v="1062"/>
    <m/>
  </r>
  <r>
    <x v="23"/>
    <s v="EMPLOYEE"/>
    <x v="2"/>
    <s v="NBR"/>
    <s v="A"/>
    <n v="2009"/>
    <x v="1063"/>
    <m/>
  </r>
  <r>
    <x v="23"/>
    <s v="EMPLOYEE"/>
    <x v="2"/>
    <s v="NBR"/>
    <s v="A"/>
    <n v="2010"/>
    <x v="1064"/>
    <m/>
  </r>
  <r>
    <x v="23"/>
    <s v="EMPLOYEE"/>
    <x v="2"/>
    <s v="NBR"/>
    <s v="A"/>
    <n v="2011"/>
    <x v="1065"/>
    <m/>
  </r>
  <r>
    <x v="23"/>
    <s v="EMPLOYEE"/>
    <x v="2"/>
    <s v="NBR"/>
    <s v="A"/>
    <n v="2012"/>
    <x v="1066"/>
    <m/>
  </r>
  <r>
    <x v="23"/>
    <s v="EMPLOYEE"/>
    <x v="2"/>
    <s v="NBR"/>
    <s v="A"/>
    <n v="2013"/>
    <x v="1067"/>
    <m/>
  </r>
  <r>
    <x v="23"/>
    <s v="EMPLOYEE"/>
    <x v="2"/>
    <s v="NBR"/>
    <s v="A"/>
    <n v="2014"/>
    <x v="1068"/>
    <m/>
  </r>
  <r>
    <x v="23"/>
    <s v="EMPLOYEE"/>
    <x v="3"/>
    <s v="NBR"/>
    <s v="A"/>
    <n v="2008"/>
    <x v="1069"/>
    <m/>
  </r>
  <r>
    <x v="23"/>
    <s v="EMPLOYEE"/>
    <x v="3"/>
    <s v="NBR"/>
    <s v="A"/>
    <n v="2009"/>
    <x v="1070"/>
    <m/>
  </r>
  <r>
    <x v="23"/>
    <s v="EMPLOYEE"/>
    <x v="3"/>
    <s v="NBR"/>
    <s v="A"/>
    <n v="2010"/>
    <x v="1071"/>
    <m/>
  </r>
  <r>
    <x v="23"/>
    <s v="EMPLOYEE"/>
    <x v="3"/>
    <s v="NBR"/>
    <s v="A"/>
    <n v="2011"/>
    <x v="1072"/>
    <m/>
  </r>
  <r>
    <x v="23"/>
    <s v="EMPLOYEE"/>
    <x v="3"/>
    <s v="NBR"/>
    <s v="A"/>
    <n v="2012"/>
    <x v="1073"/>
    <m/>
  </r>
  <r>
    <x v="23"/>
    <s v="EMPLOYEE"/>
    <x v="3"/>
    <s v="NBR"/>
    <s v="A"/>
    <n v="2013"/>
    <x v="1074"/>
    <m/>
  </r>
  <r>
    <x v="23"/>
    <s v="EMPLOYEE"/>
    <x v="3"/>
    <s v="NBR"/>
    <s v="A"/>
    <n v="2014"/>
    <x v="1075"/>
    <m/>
  </r>
  <r>
    <x v="23"/>
    <s v="EMPLOYEE"/>
    <x v="4"/>
    <s v="NBR"/>
    <s v="A"/>
    <n v="2008"/>
    <x v="1076"/>
    <m/>
  </r>
  <r>
    <x v="23"/>
    <s v="EMPLOYEE"/>
    <x v="4"/>
    <s v="NBR"/>
    <s v="A"/>
    <n v="2009"/>
    <x v="1077"/>
    <m/>
  </r>
  <r>
    <x v="23"/>
    <s v="EMPLOYEE"/>
    <x v="4"/>
    <s v="NBR"/>
    <s v="A"/>
    <n v="2010"/>
    <x v="1078"/>
    <m/>
  </r>
  <r>
    <x v="23"/>
    <s v="EMPLOYEE"/>
    <x v="4"/>
    <s v="NBR"/>
    <s v="A"/>
    <n v="2011"/>
    <x v="1079"/>
    <m/>
  </r>
  <r>
    <x v="23"/>
    <s v="EMPLOYEE"/>
    <x v="4"/>
    <s v="NBR"/>
    <s v="A"/>
    <n v="2012"/>
    <x v="1080"/>
    <m/>
  </r>
  <r>
    <x v="23"/>
    <s v="EMPLOYEE"/>
    <x v="4"/>
    <s v="NBR"/>
    <s v="A"/>
    <n v="2013"/>
    <x v="1081"/>
    <m/>
  </r>
  <r>
    <x v="23"/>
    <s v="EMPLOYEE"/>
    <x v="4"/>
    <s v="NBR"/>
    <s v="A"/>
    <n v="2014"/>
    <x v="1082"/>
    <m/>
  </r>
  <r>
    <x v="23"/>
    <s v="EMPLOYEE"/>
    <x v="5"/>
    <s v="NBR"/>
    <s v="A"/>
    <n v="2008"/>
    <x v="1083"/>
    <m/>
  </r>
  <r>
    <x v="23"/>
    <s v="EMPLOYEE"/>
    <x v="5"/>
    <s v="NBR"/>
    <s v="A"/>
    <n v="2009"/>
    <x v="1084"/>
    <m/>
  </r>
  <r>
    <x v="23"/>
    <s v="EMPLOYEE"/>
    <x v="5"/>
    <s v="NBR"/>
    <s v="A"/>
    <n v="2010"/>
    <x v="1085"/>
    <m/>
  </r>
  <r>
    <x v="23"/>
    <s v="EMPLOYEE"/>
    <x v="5"/>
    <s v="NBR"/>
    <s v="A"/>
    <n v="2011"/>
    <x v="1086"/>
    <m/>
  </r>
  <r>
    <x v="23"/>
    <s v="EMPLOYEE"/>
    <x v="5"/>
    <s v="NBR"/>
    <s v="A"/>
    <n v="2012"/>
    <x v="1087"/>
    <m/>
  </r>
  <r>
    <x v="23"/>
    <s v="EMPLOYEE"/>
    <x v="5"/>
    <s v="NBR"/>
    <s v="A"/>
    <n v="2013"/>
    <x v="1088"/>
    <m/>
  </r>
  <r>
    <x v="23"/>
    <s v="EMPLOYEE"/>
    <x v="5"/>
    <s v="NBR"/>
    <s v="A"/>
    <n v="2014"/>
    <x v="1089"/>
    <m/>
  </r>
  <r>
    <x v="24"/>
    <s v="EMPLOYEE"/>
    <x v="0"/>
    <s v="NBR"/>
    <s v="A"/>
    <n v="2009"/>
    <x v="1090"/>
    <m/>
  </r>
  <r>
    <x v="24"/>
    <s v="EMPLOYEE"/>
    <x v="0"/>
    <s v="NBR"/>
    <s v="A"/>
    <n v="2010"/>
    <x v="1091"/>
    <m/>
  </r>
  <r>
    <x v="24"/>
    <s v="EMPLOYEE"/>
    <x v="0"/>
    <s v="NBR"/>
    <s v="A"/>
    <n v="2011"/>
    <x v="1092"/>
    <m/>
  </r>
  <r>
    <x v="24"/>
    <s v="EMPLOYEE"/>
    <x v="0"/>
    <s v="NBR"/>
    <s v="A"/>
    <n v="2012"/>
    <x v="1093"/>
    <m/>
  </r>
  <r>
    <x v="24"/>
    <s v="EMPLOYEE"/>
    <x v="0"/>
    <s v="NBR"/>
    <s v="A"/>
    <n v="2013"/>
    <x v="1094"/>
    <m/>
  </r>
  <r>
    <x v="24"/>
    <s v="EMPLOYEE"/>
    <x v="0"/>
    <s v="NBR"/>
    <s v="A"/>
    <n v="2014"/>
    <x v="1095"/>
    <m/>
  </r>
  <r>
    <x v="24"/>
    <s v="EMPLOYEE"/>
    <x v="0"/>
    <s v="NBR"/>
    <s v="A"/>
    <n v="2015"/>
    <x v="1096"/>
    <m/>
  </r>
  <r>
    <x v="24"/>
    <s v="EMPLOYEE"/>
    <x v="1"/>
    <s v="NBR"/>
    <s v="A"/>
    <n v="2009"/>
    <x v="1097"/>
    <m/>
  </r>
  <r>
    <x v="24"/>
    <s v="EMPLOYEE"/>
    <x v="1"/>
    <s v="NBR"/>
    <s v="A"/>
    <n v="2010"/>
    <x v="1098"/>
    <m/>
  </r>
  <r>
    <x v="24"/>
    <s v="EMPLOYEE"/>
    <x v="1"/>
    <s v="NBR"/>
    <s v="A"/>
    <n v="2011"/>
    <x v="1099"/>
    <m/>
  </r>
  <r>
    <x v="24"/>
    <s v="EMPLOYEE"/>
    <x v="1"/>
    <s v="NBR"/>
    <s v="A"/>
    <n v="2012"/>
    <x v="1100"/>
    <m/>
  </r>
  <r>
    <x v="24"/>
    <s v="EMPLOYEE"/>
    <x v="1"/>
    <s v="NBR"/>
    <s v="A"/>
    <n v="2013"/>
    <x v="1101"/>
    <m/>
  </r>
  <r>
    <x v="24"/>
    <s v="EMPLOYEE"/>
    <x v="1"/>
    <s v="NBR"/>
    <s v="A"/>
    <n v="2014"/>
    <x v="1102"/>
    <m/>
  </r>
  <r>
    <x v="24"/>
    <s v="EMPLOYEE"/>
    <x v="1"/>
    <s v="NBR"/>
    <s v="A"/>
    <n v="2015"/>
    <x v="1103"/>
    <m/>
  </r>
  <r>
    <x v="24"/>
    <s v="EMPLOYEE"/>
    <x v="2"/>
    <s v="NBR"/>
    <s v="A"/>
    <n v="1995"/>
    <x v="122"/>
    <m/>
  </r>
  <r>
    <x v="24"/>
    <s v="EMPLOYEE"/>
    <x v="2"/>
    <s v="NBR"/>
    <s v="A"/>
    <n v="1999"/>
    <x v="122"/>
    <m/>
  </r>
  <r>
    <x v="24"/>
    <s v="EMPLOYEE"/>
    <x v="2"/>
    <s v="NBR"/>
    <s v="A"/>
    <n v="2000"/>
    <x v="122"/>
    <m/>
  </r>
  <r>
    <x v="24"/>
    <s v="EMPLOYEE"/>
    <x v="2"/>
    <s v="NBR"/>
    <s v="A"/>
    <n v="2001"/>
    <x v="122"/>
    <m/>
  </r>
  <r>
    <x v="24"/>
    <s v="EMPLOYEE"/>
    <x v="2"/>
    <s v="NBR"/>
    <s v="A"/>
    <n v="2002"/>
    <x v="122"/>
    <m/>
  </r>
  <r>
    <x v="24"/>
    <s v="EMPLOYEE"/>
    <x v="2"/>
    <s v="NBR"/>
    <s v="A"/>
    <n v="2003"/>
    <x v="122"/>
    <m/>
  </r>
  <r>
    <x v="24"/>
    <s v="EMPLOYEE"/>
    <x v="2"/>
    <s v="NBR"/>
    <s v="A"/>
    <n v="2004"/>
    <x v="122"/>
    <m/>
  </r>
  <r>
    <x v="24"/>
    <s v="EMPLOYEE"/>
    <x v="2"/>
    <s v="NBR"/>
    <s v="A"/>
    <n v="2005"/>
    <x v="122"/>
    <m/>
  </r>
  <r>
    <x v="24"/>
    <s v="EMPLOYEE"/>
    <x v="2"/>
    <s v="NBR"/>
    <s v="A"/>
    <n v="2006"/>
    <x v="122"/>
    <m/>
  </r>
  <r>
    <x v="24"/>
    <s v="EMPLOYEE"/>
    <x v="2"/>
    <s v="NBR"/>
    <s v="A"/>
    <n v="2007"/>
    <x v="122"/>
    <m/>
  </r>
  <r>
    <x v="24"/>
    <s v="EMPLOYEE"/>
    <x v="2"/>
    <s v="NBR"/>
    <s v="A"/>
    <n v="2008"/>
    <x v="122"/>
    <m/>
  </r>
  <r>
    <x v="24"/>
    <s v="EMPLOYEE"/>
    <x v="2"/>
    <s v="NBR"/>
    <s v="A"/>
    <n v="2009"/>
    <x v="122"/>
    <m/>
  </r>
  <r>
    <x v="24"/>
    <s v="EMPLOYEE"/>
    <x v="2"/>
    <s v="NBR"/>
    <s v="A"/>
    <n v="2010"/>
    <x v="122"/>
    <m/>
  </r>
  <r>
    <x v="24"/>
    <s v="EMPLOYEE"/>
    <x v="2"/>
    <s v="NBR"/>
    <s v="A"/>
    <n v="2011"/>
    <x v="122"/>
    <m/>
  </r>
  <r>
    <x v="24"/>
    <s v="EMPLOYEE"/>
    <x v="2"/>
    <s v="NBR"/>
    <s v="A"/>
    <n v="2012"/>
    <x v="122"/>
    <m/>
  </r>
  <r>
    <x v="24"/>
    <s v="EMPLOYEE"/>
    <x v="2"/>
    <s v="NBR"/>
    <s v="A"/>
    <n v="2013"/>
    <x v="122"/>
    <m/>
  </r>
  <r>
    <x v="24"/>
    <s v="EMPLOYEE"/>
    <x v="2"/>
    <s v="NBR"/>
    <s v="A"/>
    <n v="2014"/>
    <x v="122"/>
    <m/>
  </r>
  <r>
    <x v="24"/>
    <s v="EMPLOYEE"/>
    <x v="2"/>
    <s v="NBR"/>
    <s v="A"/>
    <n v="2015"/>
    <x v="122"/>
    <m/>
  </r>
  <r>
    <x v="24"/>
    <s v="EMPLOYEE"/>
    <x v="2"/>
    <s v="NBR"/>
    <s v="A"/>
    <n v="2016"/>
    <x v="122"/>
    <m/>
  </r>
  <r>
    <x v="24"/>
    <s v="EMPLOYEE"/>
    <x v="3"/>
    <s v="NBR"/>
    <s v="A"/>
    <n v="2009"/>
    <x v="1104"/>
    <m/>
  </r>
  <r>
    <x v="24"/>
    <s v="EMPLOYEE"/>
    <x v="3"/>
    <s v="NBR"/>
    <s v="A"/>
    <n v="2010"/>
    <x v="1105"/>
    <m/>
  </r>
  <r>
    <x v="24"/>
    <s v="EMPLOYEE"/>
    <x v="3"/>
    <s v="NBR"/>
    <s v="A"/>
    <n v="2011"/>
    <x v="1106"/>
    <m/>
  </r>
  <r>
    <x v="24"/>
    <s v="EMPLOYEE"/>
    <x v="3"/>
    <s v="NBR"/>
    <s v="A"/>
    <n v="2012"/>
    <x v="1107"/>
    <m/>
  </r>
  <r>
    <x v="24"/>
    <s v="EMPLOYEE"/>
    <x v="3"/>
    <s v="NBR"/>
    <s v="A"/>
    <n v="2013"/>
    <x v="1108"/>
    <m/>
  </r>
  <r>
    <x v="24"/>
    <s v="EMPLOYEE"/>
    <x v="3"/>
    <s v="NBR"/>
    <s v="A"/>
    <n v="2014"/>
    <x v="1109"/>
    <m/>
  </r>
  <r>
    <x v="24"/>
    <s v="EMPLOYEE"/>
    <x v="3"/>
    <s v="NBR"/>
    <s v="A"/>
    <n v="2015"/>
    <x v="1110"/>
    <m/>
  </r>
  <r>
    <x v="24"/>
    <s v="EMPLOYEE"/>
    <x v="4"/>
    <s v="NBR"/>
    <s v="A"/>
    <n v="2009"/>
    <x v="1111"/>
    <m/>
  </r>
  <r>
    <x v="24"/>
    <s v="EMPLOYEE"/>
    <x v="4"/>
    <s v="NBR"/>
    <s v="A"/>
    <n v="2010"/>
    <x v="1112"/>
    <m/>
  </r>
  <r>
    <x v="24"/>
    <s v="EMPLOYEE"/>
    <x v="4"/>
    <s v="NBR"/>
    <s v="A"/>
    <n v="2011"/>
    <x v="1113"/>
    <m/>
  </r>
  <r>
    <x v="24"/>
    <s v="EMPLOYEE"/>
    <x v="4"/>
    <s v="NBR"/>
    <s v="A"/>
    <n v="2012"/>
    <x v="1114"/>
    <m/>
  </r>
  <r>
    <x v="24"/>
    <s v="EMPLOYEE"/>
    <x v="4"/>
    <s v="NBR"/>
    <s v="A"/>
    <n v="2013"/>
    <x v="1115"/>
    <m/>
  </r>
  <r>
    <x v="24"/>
    <s v="EMPLOYEE"/>
    <x v="4"/>
    <s v="NBR"/>
    <s v="A"/>
    <n v="2014"/>
    <x v="1116"/>
    <m/>
  </r>
  <r>
    <x v="24"/>
    <s v="EMPLOYEE"/>
    <x v="4"/>
    <s v="NBR"/>
    <s v="A"/>
    <n v="2015"/>
    <x v="1117"/>
    <m/>
  </r>
  <r>
    <x v="24"/>
    <s v="EMPLOYEE"/>
    <x v="5"/>
    <s v="NBR"/>
    <s v="A"/>
    <n v="2009"/>
    <x v="1118"/>
    <m/>
  </r>
  <r>
    <x v="24"/>
    <s v="EMPLOYEE"/>
    <x v="5"/>
    <s v="NBR"/>
    <s v="A"/>
    <n v="2010"/>
    <x v="1119"/>
    <m/>
  </r>
  <r>
    <x v="24"/>
    <s v="EMPLOYEE"/>
    <x v="5"/>
    <s v="NBR"/>
    <s v="A"/>
    <n v="2011"/>
    <x v="1120"/>
    <m/>
  </r>
  <r>
    <x v="24"/>
    <s v="EMPLOYEE"/>
    <x v="5"/>
    <s v="NBR"/>
    <s v="A"/>
    <n v="2012"/>
    <x v="1121"/>
    <m/>
  </r>
  <r>
    <x v="24"/>
    <s v="EMPLOYEE"/>
    <x v="5"/>
    <s v="NBR"/>
    <s v="A"/>
    <n v="2013"/>
    <x v="1122"/>
    <m/>
  </r>
  <r>
    <x v="24"/>
    <s v="EMPLOYEE"/>
    <x v="5"/>
    <s v="NBR"/>
    <s v="A"/>
    <n v="2014"/>
    <x v="1123"/>
    <m/>
  </r>
  <r>
    <x v="24"/>
    <s v="EMPLOYEE"/>
    <x v="5"/>
    <s v="NBR"/>
    <s v="A"/>
    <n v="2015"/>
    <x v="1124"/>
    <m/>
  </r>
  <r>
    <x v="25"/>
    <s v="EMPLOYEE"/>
    <x v="0"/>
    <s v="NBR"/>
    <s v="A"/>
    <n v="2008"/>
    <x v="1125"/>
    <m/>
  </r>
  <r>
    <x v="25"/>
    <s v="EMPLOYEE"/>
    <x v="0"/>
    <s v="NBR"/>
    <s v="A"/>
    <n v="2009"/>
    <x v="1126"/>
    <m/>
  </r>
  <r>
    <x v="25"/>
    <s v="EMPLOYEE"/>
    <x v="0"/>
    <s v="NBR"/>
    <s v="A"/>
    <n v="2010"/>
    <x v="1127"/>
    <m/>
  </r>
  <r>
    <x v="25"/>
    <s v="EMPLOYEE"/>
    <x v="0"/>
    <s v="NBR"/>
    <s v="A"/>
    <n v="2011"/>
    <x v="1128"/>
    <m/>
  </r>
  <r>
    <x v="25"/>
    <s v="EMPLOYEE"/>
    <x v="0"/>
    <s v="NBR"/>
    <s v="A"/>
    <n v="2012"/>
    <x v="1129"/>
    <m/>
  </r>
  <r>
    <x v="25"/>
    <s v="EMPLOYEE"/>
    <x v="0"/>
    <s v="NBR"/>
    <s v="A"/>
    <n v="2013"/>
    <x v="1130"/>
    <m/>
  </r>
  <r>
    <x v="25"/>
    <s v="EMPLOYEE"/>
    <x v="0"/>
    <s v="NBR"/>
    <s v="A"/>
    <n v="2014"/>
    <x v="1131"/>
    <m/>
  </r>
  <r>
    <x v="25"/>
    <s v="EMPLOYEE"/>
    <x v="1"/>
    <s v="NBR"/>
    <s v="A"/>
    <n v="2008"/>
    <x v="1132"/>
    <m/>
  </r>
  <r>
    <x v="25"/>
    <s v="EMPLOYEE"/>
    <x v="1"/>
    <s v="NBR"/>
    <s v="A"/>
    <n v="2009"/>
    <x v="1133"/>
    <m/>
  </r>
  <r>
    <x v="25"/>
    <s v="EMPLOYEE"/>
    <x v="1"/>
    <s v="NBR"/>
    <s v="A"/>
    <n v="2010"/>
    <x v="1134"/>
    <m/>
  </r>
  <r>
    <x v="25"/>
    <s v="EMPLOYEE"/>
    <x v="1"/>
    <s v="NBR"/>
    <s v="A"/>
    <n v="2011"/>
    <x v="1135"/>
    <m/>
  </r>
  <r>
    <x v="25"/>
    <s v="EMPLOYEE"/>
    <x v="1"/>
    <s v="NBR"/>
    <s v="A"/>
    <n v="2012"/>
    <x v="1136"/>
    <m/>
  </r>
  <r>
    <x v="25"/>
    <s v="EMPLOYEE"/>
    <x v="1"/>
    <s v="NBR"/>
    <s v="A"/>
    <n v="2013"/>
    <x v="1137"/>
    <m/>
  </r>
  <r>
    <x v="25"/>
    <s v="EMPLOYEE"/>
    <x v="1"/>
    <s v="NBR"/>
    <s v="A"/>
    <n v="2014"/>
    <x v="1138"/>
    <m/>
  </r>
  <r>
    <x v="25"/>
    <s v="EMPLOYEE"/>
    <x v="2"/>
    <s v="NBR"/>
    <s v="A"/>
    <n v="2008"/>
    <x v="1139"/>
    <m/>
  </r>
  <r>
    <x v="25"/>
    <s v="EMPLOYEE"/>
    <x v="2"/>
    <s v="NBR"/>
    <s v="A"/>
    <n v="2009"/>
    <x v="1140"/>
    <m/>
  </r>
  <r>
    <x v="25"/>
    <s v="EMPLOYEE"/>
    <x v="2"/>
    <s v="NBR"/>
    <s v="A"/>
    <n v="2010"/>
    <x v="1141"/>
    <m/>
  </r>
  <r>
    <x v="25"/>
    <s v="EMPLOYEE"/>
    <x v="2"/>
    <s v="NBR"/>
    <s v="A"/>
    <n v="2011"/>
    <x v="1142"/>
    <m/>
  </r>
  <r>
    <x v="25"/>
    <s v="EMPLOYEE"/>
    <x v="2"/>
    <s v="NBR"/>
    <s v="A"/>
    <n v="2012"/>
    <x v="1143"/>
    <m/>
  </r>
  <r>
    <x v="25"/>
    <s v="EMPLOYEE"/>
    <x v="2"/>
    <s v="NBR"/>
    <s v="A"/>
    <n v="2013"/>
    <x v="1144"/>
    <m/>
  </r>
  <r>
    <x v="25"/>
    <s v="EMPLOYEE"/>
    <x v="2"/>
    <s v="NBR"/>
    <s v="A"/>
    <n v="2014"/>
    <x v="1145"/>
    <m/>
  </r>
  <r>
    <x v="25"/>
    <s v="EMPLOYEE"/>
    <x v="3"/>
    <s v="NBR"/>
    <s v="A"/>
    <n v="2008"/>
    <x v="1146"/>
    <m/>
  </r>
  <r>
    <x v="25"/>
    <s v="EMPLOYEE"/>
    <x v="3"/>
    <s v="NBR"/>
    <s v="A"/>
    <n v="2009"/>
    <x v="1147"/>
    <m/>
  </r>
  <r>
    <x v="25"/>
    <s v="EMPLOYEE"/>
    <x v="3"/>
    <s v="NBR"/>
    <s v="A"/>
    <n v="2010"/>
    <x v="1148"/>
    <m/>
  </r>
  <r>
    <x v="25"/>
    <s v="EMPLOYEE"/>
    <x v="3"/>
    <s v="NBR"/>
    <s v="A"/>
    <n v="2011"/>
    <x v="1149"/>
    <m/>
  </r>
  <r>
    <x v="25"/>
    <s v="EMPLOYEE"/>
    <x v="3"/>
    <s v="NBR"/>
    <s v="A"/>
    <n v="2012"/>
    <x v="1150"/>
    <m/>
  </r>
  <r>
    <x v="25"/>
    <s v="EMPLOYEE"/>
    <x v="3"/>
    <s v="NBR"/>
    <s v="A"/>
    <n v="2013"/>
    <x v="1151"/>
    <m/>
  </r>
  <r>
    <x v="25"/>
    <s v="EMPLOYEE"/>
    <x v="3"/>
    <s v="NBR"/>
    <s v="A"/>
    <n v="2014"/>
    <x v="1152"/>
    <m/>
  </r>
  <r>
    <x v="25"/>
    <s v="EMPLOYEE"/>
    <x v="4"/>
    <s v="NBR"/>
    <s v="A"/>
    <n v="2008"/>
    <x v="1153"/>
    <m/>
  </r>
  <r>
    <x v="25"/>
    <s v="EMPLOYEE"/>
    <x v="4"/>
    <s v="NBR"/>
    <s v="A"/>
    <n v="2009"/>
    <x v="1154"/>
    <m/>
  </r>
  <r>
    <x v="25"/>
    <s v="EMPLOYEE"/>
    <x v="4"/>
    <s v="NBR"/>
    <s v="A"/>
    <n v="2010"/>
    <x v="1155"/>
    <m/>
  </r>
  <r>
    <x v="25"/>
    <s v="EMPLOYEE"/>
    <x v="4"/>
    <s v="NBR"/>
    <s v="A"/>
    <n v="2011"/>
    <x v="1156"/>
    <m/>
  </r>
  <r>
    <x v="25"/>
    <s v="EMPLOYEE"/>
    <x v="4"/>
    <s v="NBR"/>
    <s v="A"/>
    <n v="2012"/>
    <x v="1157"/>
    <m/>
  </r>
  <r>
    <x v="25"/>
    <s v="EMPLOYEE"/>
    <x v="4"/>
    <s v="NBR"/>
    <s v="A"/>
    <n v="2013"/>
    <x v="1158"/>
    <m/>
  </r>
  <r>
    <x v="25"/>
    <s v="EMPLOYEE"/>
    <x v="4"/>
    <s v="NBR"/>
    <s v="A"/>
    <n v="2014"/>
    <x v="1159"/>
    <m/>
  </r>
  <r>
    <x v="25"/>
    <s v="EMPLOYEE"/>
    <x v="5"/>
    <s v="NBR"/>
    <s v="A"/>
    <n v="2008"/>
    <x v="1160"/>
    <m/>
  </r>
  <r>
    <x v="25"/>
    <s v="EMPLOYEE"/>
    <x v="5"/>
    <s v="NBR"/>
    <s v="A"/>
    <n v="2009"/>
    <x v="1161"/>
    <m/>
  </r>
  <r>
    <x v="25"/>
    <s v="EMPLOYEE"/>
    <x v="5"/>
    <s v="NBR"/>
    <s v="A"/>
    <n v="2010"/>
    <x v="1162"/>
    <m/>
  </r>
  <r>
    <x v="25"/>
    <s v="EMPLOYEE"/>
    <x v="5"/>
    <s v="NBR"/>
    <s v="A"/>
    <n v="2011"/>
    <x v="1163"/>
    <m/>
  </r>
  <r>
    <x v="25"/>
    <s v="EMPLOYEE"/>
    <x v="5"/>
    <s v="NBR"/>
    <s v="A"/>
    <n v="2012"/>
    <x v="1164"/>
    <m/>
  </r>
  <r>
    <x v="25"/>
    <s v="EMPLOYEE"/>
    <x v="5"/>
    <s v="NBR"/>
    <s v="A"/>
    <n v="2013"/>
    <x v="1165"/>
    <m/>
  </r>
  <r>
    <x v="25"/>
    <s v="EMPLOYEE"/>
    <x v="5"/>
    <s v="NBR"/>
    <s v="A"/>
    <n v="2014"/>
    <x v="1166"/>
    <m/>
  </r>
  <r>
    <x v="26"/>
    <s v="EMPLOYEE"/>
    <x v="0"/>
    <s v="NBR"/>
    <s v="A"/>
    <n v="2007"/>
    <x v="1167"/>
    <s v="B"/>
  </r>
  <r>
    <x v="26"/>
    <s v="EMPLOYEE"/>
    <x v="0"/>
    <s v="NBR"/>
    <s v="A"/>
    <n v="2008"/>
    <x v="1168"/>
    <m/>
  </r>
  <r>
    <x v="26"/>
    <s v="EMPLOYEE"/>
    <x v="0"/>
    <s v="NBR"/>
    <s v="A"/>
    <n v="2009"/>
    <x v="1169"/>
    <m/>
  </r>
  <r>
    <x v="26"/>
    <s v="EMPLOYEE"/>
    <x v="0"/>
    <s v="NBR"/>
    <s v="A"/>
    <n v="2010"/>
    <x v="1170"/>
    <m/>
  </r>
  <r>
    <x v="26"/>
    <s v="EMPLOYEE"/>
    <x v="0"/>
    <s v="NBR"/>
    <s v="A"/>
    <n v="2011"/>
    <x v="1171"/>
    <m/>
  </r>
  <r>
    <x v="26"/>
    <s v="EMPLOYEE"/>
    <x v="0"/>
    <s v="NBR"/>
    <s v="A"/>
    <n v="2012"/>
    <x v="1172"/>
    <m/>
  </r>
  <r>
    <x v="26"/>
    <s v="EMPLOYEE"/>
    <x v="0"/>
    <s v="NBR"/>
    <s v="A"/>
    <n v="2013"/>
    <x v="1173"/>
    <m/>
  </r>
  <r>
    <x v="26"/>
    <s v="EMPLOYEE"/>
    <x v="0"/>
    <s v="NBR"/>
    <s v="A"/>
    <n v="2014"/>
    <x v="1174"/>
    <m/>
  </r>
  <r>
    <x v="26"/>
    <s v="EMPLOYEE"/>
    <x v="0"/>
    <s v="NBR"/>
    <s v="A"/>
    <n v="2015"/>
    <x v="1175"/>
    <m/>
  </r>
  <r>
    <x v="26"/>
    <s v="EMPLOYEE"/>
    <x v="1"/>
    <s v="NBR"/>
    <s v="A"/>
    <n v="2007"/>
    <x v="1176"/>
    <s v="B"/>
  </r>
  <r>
    <x v="26"/>
    <s v="EMPLOYEE"/>
    <x v="1"/>
    <s v="NBR"/>
    <s v="A"/>
    <n v="2008"/>
    <x v="1177"/>
    <m/>
  </r>
  <r>
    <x v="26"/>
    <s v="EMPLOYEE"/>
    <x v="1"/>
    <s v="NBR"/>
    <s v="A"/>
    <n v="2009"/>
    <x v="1178"/>
    <m/>
  </r>
  <r>
    <x v="26"/>
    <s v="EMPLOYEE"/>
    <x v="1"/>
    <s v="NBR"/>
    <s v="A"/>
    <n v="2010"/>
    <x v="1179"/>
    <m/>
  </r>
  <r>
    <x v="26"/>
    <s v="EMPLOYEE"/>
    <x v="1"/>
    <s v="NBR"/>
    <s v="A"/>
    <n v="2011"/>
    <x v="1180"/>
    <m/>
  </r>
  <r>
    <x v="26"/>
    <s v="EMPLOYEE"/>
    <x v="1"/>
    <s v="NBR"/>
    <s v="A"/>
    <n v="2012"/>
    <x v="1181"/>
    <m/>
  </r>
  <r>
    <x v="26"/>
    <s v="EMPLOYEE"/>
    <x v="1"/>
    <s v="NBR"/>
    <s v="A"/>
    <n v="2013"/>
    <x v="1182"/>
    <m/>
  </r>
  <r>
    <x v="26"/>
    <s v="EMPLOYEE"/>
    <x v="1"/>
    <s v="NBR"/>
    <s v="A"/>
    <n v="2014"/>
    <x v="1183"/>
    <m/>
  </r>
  <r>
    <x v="26"/>
    <s v="EMPLOYEE"/>
    <x v="1"/>
    <s v="NBR"/>
    <s v="A"/>
    <n v="2015"/>
    <x v="1184"/>
    <m/>
  </r>
  <r>
    <x v="26"/>
    <s v="EMPLOYEE"/>
    <x v="2"/>
    <s v="NBR"/>
    <s v="A"/>
    <n v="2007"/>
    <x v="1185"/>
    <s v="B"/>
  </r>
  <r>
    <x v="26"/>
    <s v="EMPLOYEE"/>
    <x v="2"/>
    <s v="NBR"/>
    <s v="A"/>
    <n v="2008"/>
    <x v="1186"/>
    <m/>
  </r>
  <r>
    <x v="26"/>
    <s v="EMPLOYEE"/>
    <x v="2"/>
    <s v="NBR"/>
    <s v="A"/>
    <n v="2009"/>
    <x v="1187"/>
    <m/>
  </r>
  <r>
    <x v="26"/>
    <s v="EMPLOYEE"/>
    <x v="2"/>
    <s v="NBR"/>
    <s v="A"/>
    <n v="2010"/>
    <x v="1188"/>
    <m/>
  </r>
  <r>
    <x v="26"/>
    <s v="EMPLOYEE"/>
    <x v="2"/>
    <s v="NBR"/>
    <s v="A"/>
    <n v="2011"/>
    <x v="1189"/>
    <m/>
  </r>
  <r>
    <x v="26"/>
    <s v="EMPLOYEE"/>
    <x v="2"/>
    <s v="NBR"/>
    <s v="A"/>
    <n v="2012"/>
    <x v="1190"/>
    <m/>
  </r>
  <r>
    <x v="26"/>
    <s v="EMPLOYEE"/>
    <x v="2"/>
    <s v="NBR"/>
    <s v="A"/>
    <n v="2013"/>
    <x v="1191"/>
    <m/>
  </r>
  <r>
    <x v="26"/>
    <s v="EMPLOYEE"/>
    <x v="2"/>
    <s v="NBR"/>
    <s v="A"/>
    <n v="2014"/>
    <x v="1192"/>
    <m/>
  </r>
  <r>
    <x v="26"/>
    <s v="EMPLOYEE"/>
    <x v="2"/>
    <s v="NBR"/>
    <s v="A"/>
    <n v="2015"/>
    <x v="1193"/>
    <m/>
  </r>
  <r>
    <x v="26"/>
    <s v="EMPLOYEE"/>
    <x v="3"/>
    <s v="NBR"/>
    <s v="A"/>
    <n v="2007"/>
    <x v="1194"/>
    <s v="B"/>
  </r>
  <r>
    <x v="26"/>
    <s v="EMPLOYEE"/>
    <x v="3"/>
    <s v="NBR"/>
    <s v="A"/>
    <n v="2008"/>
    <x v="1195"/>
    <m/>
  </r>
  <r>
    <x v="26"/>
    <s v="EMPLOYEE"/>
    <x v="3"/>
    <s v="NBR"/>
    <s v="A"/>
    <n v="2009"/>
    <x v="1196"/>
    <m/>
  </r>
  <r>
    <x v="26"/>
    <s v="EMPLOYEE"/>
    <x v="3"/>
    <s v="NBR"/>
    <s v="A"/>
    <n v="2010"/>
    <x v="1197"/>
    <m/>
  </r>
  <r>
    <x v="26"/>
    <s v="EMPLOYEE"/>
    <x v="3"/>
    <s v="NBR"/>
    <s v="A"/>
    <n v="2011"/>
    <x v="1198"/>
    <m/>
  </r>
  <r>
    <x v="26"/>
    <s v="EMPLOYEE"/>
    <x v="3"/>
    <s v="NBR"/>
    <s v="A"/>
    <n v="2012"/>
    <x v="1199"/>
    <m/>
  </r>
  <r>
    <x v="26"/>
    <s v="EMPLOYEE"/>
    <x v="3"/>
    <s v="NBR"/>
    <s v="A"/>
    <n v="2013"/>
    <x v="1200"/>
    <m/>
  </r>
  <r>
    <x v="26"/>
    <s v="EMPLOYEE"/>
    <x v="3"/>
    <s v="NBR"/>
    <s v="A"/>
    <n v="2014"/>
    <x v="1201"/>
    <m/>
  </r>
  <r>
    <x v="26"/>
    <s v="EMPLOYEE"/>
    <x v="3"/>
    <s v="NBR"/>
    <s v="A"/>
    <n v="2015"/>
    <x v="1202"/>
    <m/>
  </r>
  <r>
    <x v="26"/>
    <s v="EMPLOYEE"/>
    <x v="4"/>
    <s v="NBR"/>
    <s v="A"/>
    <n v="2007"/>
    <x v="1203"/>
    <s v="B"/>
  </r>
  <r>
    <x v="26"/>
    <s v="EMPLOYEE"/>
    <x v="4"/>
    <s v="NBR"/>
    <s v="A"/>
    <n v="2008"/>
    <x v="1204"/>
    <m/>
  </r>
  <r>
    <x v="26"/>
    <s v="EMPLOYEE"/>
    <x v="4"/>
    <s v="NBR"/>
    <s v="A"/>
    <n v="2009"/>
    <x v="1205"/>
    <m/>
  </r>
  <r>
    <x v="26"/>
    <s v="EMPLOYEE"/>
    <x v="4"/>
    <s v="NBR"/>
    <s v="A"/>
    <n v="2010"/>
    <x v="1206"/>
    <m/>
  </r>
  <r>
    <x v="26"/>
    <s v="EMPLOYEE"/>
    <x v="4"/>
    <s v="NBR"/>
    <s v="A"/>
    <n v="2011"/>
    <x v="1207"/>
    <m/>
  </r>
  <r>
    <x v="26"/>
    <s v="EMPLOYEE"/>
    <x v="4"/>
    <s v="NBR"/>
    <s v="A"/>
    <n v="2012"/>
    <x v="1208"/>
    <m/>
  </r>
  <r>
    <x v="26"/>
    <s v="EMPLOYEE"/>
    <x v="4"/>
    <s v="NBR"/>
    <s v="A"/>
    <n v="2013"/>
    <x v="1209"/>
    <m/>
  </r>
  <r>
    <x v="26"/>
    <s v="EMPLOYEE"/>
    <x v="4"/>
    <s v="NBR"/>
    <s v="A"/>
    <n v="2014"/>
    <x v="1210"/>
    <m/>
  </r>
  <r>
    <x v="26"/>
    <s v="EMPLOYEE"/>
    <x v="4"/>
    <s v="NBR"/>
    <s v="A"/>
    <n v="2015"/>
    <x v="1211"/>
    <m/>
  </r>
  <r>
    <x v="26"/>
    <s v="EMPLOYEE"/>
    <x v="5"/>
    <s v="NBR"/>
    <s v="A"/>
    <n v="2007"/>
    <x v="1212"/>
    <s v="B"/>
  </r>
  <r>
    <x v="26"/>
    <s v="EMPLOYEE"/>
    <x v="5"/>
    <s v="NBR"/>
    <s v="A"/>
    <n v="2008"/>
    <x v="1213"/>
    <m/>
  </r>
  <r>
    <x v="26"/>
    <s v="EMPLOYEE"/>
    <x v="5"/>
    <s v="NBR"/>
    <s v="A"/>
    <n v="2009"/>
    <x v="1214"/>
    <m/>
  </r>
  <r>
    <x v="26"/>
    <s v="EMPLOYEE"/>
    <x v="5"/>
    <s v="NBR"/>
    <s v="A"/>
    <n v="2010"/>
    <x v="1215"/>
    <m/>
  </r>
  <r>
    <x v="26"/>
    <s v="EMPLOYEE"/>
    <x v="5"/>
    <s v="NBR"/>
    <s v="A"/>
    <n v="2011"/>
    <x v="1216"/>
    <m/>
  </r>
  <r>
    <x v="26"/>
    <s v="EMPLOYEE"/>
    <x v="5"/>
    <s v="NBR"/>
    <s v="A"/>
    <n v="2012"/>
    <x v="1217"/>
    <m/>
  </r>
  <r>
    <x v="26"/>
    <s v="EMPLOYEE"/>
    <x v="5"/>
    <s v="NBR"/>
    <s v="A"/>
    <n v="2013"/>
    <x v="1218"/>
    <m/>
  </r>
  <r>
    <x v="26"/>
    <s v="EMPLOYEE"/>
    <x v="5"/>
    <s v="NBR"/>
    <s v="A"/>
    <n v="2014"/>
    <x v="1219"/>
    <m/>
  </r>
  <r>
    <x v="26"/>
    <s v="EMPLOYEE"/>
    <x v="5"/>
    <s v="NBR"/>
    <s v="A"/>
    <n v="2015"/>
    <x v="1220"/>
    <m/>
  </r>
  <r>
    <x v="27"/>
    <s v="EMPLOYEE"/>
    <x v="0"/>
    <s v="NBR"/>
    <s v="A"/>
    <n v="2008"/>
    <x v="1221"/>
    <m/>
  </r>
  <r>
    <x v="27"/>
    <s v="EMPLOYEE"/>
    <x v="0"/>
    <s v="NBR"/>
    <s v="A"/>
    <n v="2009"/>
    <x v="1222"/>
    <m/>
  </r>
  <r>
    <x v="27"/>
    <s v="EMPLOYEE"/>
    <x v="0"/>
    <s v="NBR"/>
    <s v="A"/>
    <n v="2010"/>
    <x v="1223"/>
    <m/>
  </r>
  <r>
    <x v="27"/>
    <s v="EMPLOYEE"/>
    <x v="0"/>
    <s v="NBR"/>
    <s v="A"/>
    <n v="2011"/>
    <x v="1224"/>
    <m/>
  </r>
  <r>
    <x v="27"/>
    <s v="EMPLOYEE"/>
    <x v="0"/>
    <s v="NBR"/>
    <s v="A"/>
    <n v="2012"/>
    <x v="1225"/>
    <m/>
  </r>
  <r>
    <x v="27"/>
    <s v="EMPLOYEE"/>
    <x v="0"/>
    <s v="NBR"/>
    <s v="A"/>
    <n v="2013"/>
    <x v="1226"/>
    <m/>
  </r>
  <r>
    <x v="27"/>
    <s v="EMPLOYEE"/>
    <x v="0"/>
    <s v="NBR"/>
    <s v="A"/>
    <n v="2014"/>
    <x v="1227"/>
    <m/>
  </r>
  <r>
    <x v="27"/>
    <s v="EMPLOYEE"/>
    <x v="1"/>
    <s v="NBR"/>
    <s v="A"/>
    <n v="2008"/>
    <x v="1228"/>
    <m/>
  </r>
  <r>
    <x v="27"/>
    <s v="EMPLOYEE"/>
    <x v="1"/>
    <s v="NBR"/>
    <s v="A"/>
    <n v="2009"/>
    <x v="1229"/>
    <m/>
  </r>
  <r>
    <x v="27"/>
    <s v="EMPLOYEE"/>
    <x v="1"/>
    <s v="NBR"/>
    <s v="A"/>
    <n v="2010"/>
    <x v="1230"/>
    <m/>
  </r>
  <r>
    <x v="27"/>
    <s v="EMPLOYEE"/>
    <x v="1"/>
    <s v="NBR"/>
    <s v="A"/>
    <n v="2011"/>
    <x v="1231"/>
    <m/>
  </r>
  <r>
    <x v="27"/>
    <s v="EMPLOYEE"/>
    <x v="1"/>
    <s v="NBR"/>
    <s v="A"/>
    <n v="2012"/>
    <x v="1232"/>
    <m/>
  </r>
  <r>
    <x v="27"/>
    <s v="EMPLOYEE"/>
    <x v="1"/>
    <s v="NBR"/>
    <s v="A"/>
    <n v="2013"/>
    <x v="1233"/>
    <m/>
  </r>
  <r>
    <x v="27"/>
    <s v="EMPLOYEE"/>
    <x v="1"/>
    <s v="NBR"/>
    <s v="A"/>
    <n v="2014"/>
    <x v="1234"/>
    <m/>
  </r>
  <r>
    <x v="27"/>
    <s v="EMPLOYEE"/>
    <x v="2"/>
    <s v="NBR"/>
    <s v="A"/>
    <n v="2008"/>
    <x v="1235"/>
    <m/>
  </r>
  <r>
    <x v="27"/>
    <s v="EMPLOYEE"/>
    <x v="2"/>
    <s v="NBR"/>
    <s v="A"/>
    <n v="2009"/>
    <x v="1236"/>
    <m/>
  </r>
  <r>
    <x v="27"/>
    <s v="EMPLOYEE"/>
    <x v="2"/>
    <s v="NBR"/>
    <s v="A"/>
    <n v="2010"/>
    <x v="1237"/>
    <m/>
  </r>
  <r>
    <x v="27"/>
    <s v="EMPLOYEE"/>
    <x v="2"/>
    <s v="NBR"/>
    <s v="A"/>
    <n v="2011"/>
    <x v="1238"/>
    <m/>
  </r>
  <r>
    <x v="27"/>
    <s v="EMPLOYEE"/>
    <x v="2"/>
    <s v="NBR"/>
    <s v="A"/>
    <n v="2012"/>
    <x v="1239"/>
    <m/>
  </r>
  <r>
    <x v="27"/>
    <s v="EMPLOYEE"/>
    <x v="2"/>
    <s v="NBR"/>
    <s v="A"/>
    <n v="2013"/>
    <x v="1240"/>
    <m/>
  </r>
  <r>
    <x v="27"/>
    <s v="EMPLOYEE"/>
    <x v="2"/>
    <s v="NBR"/>
    <s v="A"/>
    <n v="2014"/>
    <x v="1241"/>
    <m/>
  </r>
  <r>
    <x v="27"/>
    <s v="EMPLOYEE"/>
    <x v="3"/>
    <s v="NBR"/>
    <s v="A"/>
    <n v="2008"/>
    <x v="1242"/>
    <m/>
  </r>
  <r>
    <x v="27"/>
    <s v="EMPLOYEE"/>
    <x v="3"/>
    <s v="NBR"/>
    <s v="A"/>
    <n v="2009"/>
    <x v="1243"/>
    <m/>
  </r>
  <r>
    <x v="27"/>
    <s v="EMPLOYEE"/>
    <x v="3"/>
    <s v="NBR"/>
    <s v="A"/>
    <n v="2010"/>
    <x v="1244"/>
    <m/>
  </r>
  <r>
    <x v="27"/>
    <s v="EMPLOYEE"/>
    <x v="3"/>
    <s v="NBR"/>
    <s v="A"/>
    <n v="2011"/>
    <x v="1245"/>
    <m/>
  </r>
  <r>
    <x v="27"/>
    <s v="EMPLOYEE"/>
    <x v="3"/>
    <s v="NBR"/>
    <s v="A"/>
    <n v="2012"/>
    <x v="1246"/>
    <m/>
  </r>
  <r>
    <x v="27"/>
    <s v="EMPLOYEE"/>
    <x v="3"/>
    <s v="NBR"/>
    <s v="A"/>
    <n v="2013"/>
    <x v="1247"/>
    <m/>
  </r>
  <r>
    <x v="27"/>
    <s v="EMPLOYEE"/>
    <x v="3"/>
    <s v="NBR"/>
    <s v="A"/>
    <n v="2014"/>
    <x v="1248"/>
    <m/>
  </r>
  <r>
    <x v="27"/>
    <s v="EMPLOYEE"/>
    <x v="4"/>
    <s v="NBR"/>
    <s v="A"/>
    <n v="2008"/>
    <x v="1249"/>
    <m/>
  </r>
  <r>
    <x v="27"/>
    <s v="EMPLOYEE"/>
    <x v="4"/>
    <s v="NBR"/>
    <s v="A"/>
    <n v="2009"/>
    <x v="1250"/>
    <m/>
  </r>
  <r>
    <x v="27"/>
    <s v="EMPLOYEE"/>
    <x v="4"/>
    <s v="NBR"/>
    <s v="A"/>
    <n v="2010"/>
    <x v="1251"/>
    <m/>
  </r>
  <r>
    <x v="27"/>
    <s v="EMPLOYEE"/>
    <x v="4"/>
    <s v="NBR"/>
    <s v="A"/>
    <n v="2011"/>
    <x v="1252"/>
    <m/>
  </r>
  <r>
    <x v="27"/>
    <s v="EMPLOYEE"/>
    <x v="4"/>
    <s v="NBR"/>
    <s v="A"/>
    <n v="2012"/>
    <x v="1253"/>
    <m/>
  </r>
  <r>
    <x v="27"/>
    <s v="EMPLOYEE"/>
    <x v="4"/>
    <s v="NBR"/>
    <s v="A"/>
    <n v="2013"/>
    <x v="1254"/>
    <m/>
  </r>
  <r>
    <x v="27"/>
    <s v="EMPLOYEE"/>
    <x v="4"/>
    <s v="NBR"/>
    <s v="A"/>
    <n v="2014"/>
    <x v="1255"/>
    <m/>
  </r>
  <r>
    <x v="27"/>
    <s v="EMPLOYEE"/>
    <x v="5"/>
    <s v="NBR"/>
    <s v="A"/>
    <n v="2008"/>
    <x v="1256"/>
    <m/>
  </r>
  <r>
    <x v="27"/>
    <s v="EMPLOYEE"/>
    <x v="5"/>
    <s v="NBR"/>
    <s v="A"/>
    <n v="2009"/>
    <x v="1257"/>
    <m/>
  </r>
  <r>
    <x v="27"/>
    <s v="EMPLOYEE"/>
    <x v="5"/>
    <s v="NBR"/>
    <s v="A"/>
    <n v="2010"/>
    <x v="1258"/>
    <m/>
  </r>
  <r>
    <x v="27"/>
    <s v="EMPLOYEE"/>
    <x v="5"/>
    <s v="NBR"/>
    <s v="A"/>
    <n v="2011"/>
    <x v="1259"/>
    <m/>
  </r>
  <r>
    <x v="27"/>
    <s v="EMPLOYEE"/>
    <x v="5"/>
    <s v="NBR"/>
    <s v="A"/>
    <n v="2012"/>
    <x v="1260"/>
    <m/>
  </r>
  <r>
    <x v="27"/>
    <s v="EMPLOYEE"/>
    <x v="5"/>
    <s v="NBR"/>
    <s v="A"/>
    <n v="2013"/>
    <x v="1261"/>
    <m/>
  </r>
  <r>
    <x v="27"/>
    <s v="EMPLOYEE"/>
    <x v="5"/>
    <s v="NBR"/>
    <s v="A"/>
    <n v="2014"/>
    <x v="1262"/>
    <m/>
  </r>
  <r>
    <x v="28"/>
    <s v="EMPLOYEE"/>
    <x v="0"/>
    <s v="NBR"/>
    <s v="A"/>
    <n v="2008"/>
    <x v="1263"/>
    <m/>
  </r>
  <r>
    <x v="28"/>
    <s v="EMPLOYEE"/>
    <x v="0"/>
    <s v="NBR"/>
    <s v="A"/>
    <n v="2009"/>
    <x v="1264"/>
    <m/>
  </r>
  <r>
    <x v="28"/>
    <s v="EMPLOYEE"/>
    <x v="0"/>
    <s v="NBR"/>
    <s v="A"/>
    <n v="2010"/>
    <x v="1265"/>
    <m/>
  </r>
  <r>
    <x v="28"/>
    <s v="EMPLOYEE"/>
    <x v="0"/>
    <s v="NBR"/>
    <s v="A"/>
    <n v="2011"/>
    <x v="1266"/>
    <m/>
  </r>
  <r>
    <x v="28"/>
    <s v="EMPLOYEE"/>
    <x v="0"/>
    <s v="NBR"/>
    <s v="A"/>
    <n v="2012"/>
    <x v="1267"/>
    <m/>
  </r>
  <r>
    <x v="28"/>
    <s v="EMPLOYEE"/>
    <x v="0"/>
    <s v="NBR"/>
    <s v="A"/>
    <n v="2013"/>
    <x v="1268"/>
    <m/>
  </r>
  <r>
    <x v="28"/>
    <s v="EMPLOYEE"/>
    <x v="0"/>
    <s v="NBR"/>
    <s v="A"/>
    <n v="2014"/>
    <x v="1269"/>
    <m/>
  </r>
  <r>
    <x v="28"/>
    <s v="EMPLOYEE"/>
    <x v="0"/>
    <s v="NBR"/>
    <s v="A"/>
    <n v="2015"/>
    <x v="1270"/>
    <m/>
  </r>
  <r>
    <x v="28"/>
    <s v="EMPLOYEE"/>
    <x v="1"/>
    <s v="NBR"/>
    <s v="A"/>
    <n v="2008"/>
    <x v="1271"/>
    <m/>
  </r>
  <r>
    <x v="28"/>
    <s v="EMPLOYEE"/>
    <x v="1"/>
    <s v="NBR"/>
    <s v="A"/>
    <n v="2009"/>
    <x v="1272"/>
    <m/>
  </r>
  <r>
    <x v="28"/>
    <s v="EMPLOYEE"/>
    <x v="1"/>
    <s v="NBR"/>
    <s v="A"/>
    <n v="2010"/>
    <x v="1273"/>
    <m/>
  </r>
  <r>
    <x v="28"/>
    <s v="EMPLOYEE"/>
    <x v="1"/>
    <s v="NBR"/>
    <s v="A"/>
    <n v="2011"/>
    <x v="1274"/>
    <m/>
  </r>
  <r>
    <x v="28"/>
    <s v="EMPLOYEE"/>
    <x v="1"/>
    <s v="NBR"/>
    <s v="A"/>
    <n v="2012"/>
    <x v="1275"/>
    <m/>
  </r>
  <r>
    <x v="28"/>
    <s v="EMPLOYEE"/>
    <x v="1"/>
    <s v="NBR"/>
    <s v="A"/>
    <n v="2013"/>
    <x v="1276"/>
    <m/>
  </r>
  <r>
    <x v="28"/>
    <s v="EMPLOYEE"/>
    <x v="1"/>
    <s v="NBR"/>
    <s v="A"/>
    <n v="2014"/>
    <x v="1277"/>
    <m/>
  </r>
  <r>
    <x v="28"/>
    <s v="EMPLOYEE"/>
    <x v="1"/>
    <s v="NBR"/>
    <s v="A"/>
    <n v="2015"/>
    <x v="1278"/>
    <m/>
  </r>
  <r>
    <x v="28"/>
    <s v="EMPLOYEE"/>
    <x v="2"/>
    <s v="NBR"/>
    <s v="A"/>
    <n v="2008"/>
    <x v="1279"/>
    <m/>
  </r>
  <r>
    <x v="28"/>
    <s v="EMPLOYEE"/>
    <x v="2"/>
    <s v="NBR"/>
    <s v="A"/>
    <n v="2009"/>
    <x v="1280"/>
    <m/>
  </r>
  <r>
    <x v="28"/>
    <s v="EMPLOYEE"/>
    <x v="2"/>
    <s v="NBR"/>
    <s v="A"/>
    <n v="2010"/>
    <x v="1281"/>
    <m/>
  </r>
  <r>
    <x v="28"/>
    <s v="EMPLOYEE"/>
    <x v="2"/>
    <s v="NBR"/>
    <s v="A"/>
    <n v="2011"/>
    <x v="1282"/>
    <m/>
  </r>
  <r>
    <x v="28"/>
    <s v="EMPLOYEE"/>
    <x v="2"/>
    <s v="NBR"/>
    <s v="A"/>
    <n v="2012"/>
    <x v="1283"/>
    <m/>
  </r>
  <r>
    <x v="28"/>
    <s v="EMPLOYEE"/>
    <x v="2"/>
    <s v="NBR"/>
    <s v="A"/>
    <n v="2013"/>
    <x v="1284"/>
    <m/>
  </r>
  <r>
    <x v="28"/>
    <s v="EMPLOYEE"/>
    <x v="2"/>
    <s v="NBR"/>
    <s v="A"/>
    <n v="2014"/>
    <x v="1285"/>
    <m/>
  </r>
  <r>
    <x v="28"/>
    <s v="EMPLOYEE"/>
    <x v="2"/>
    <s v="NBR"/>
    <s v="A"/>
    <n v="2015"/>
    <x v="1286"/>
    <m/>
  </r>
  <r>
    <x v="28"/>
    <s v="EMPLOYEE"/>
    <x v="3"/>
    <s v="NBR"/>
    <s v="A"/>
    <n v="2008"/>
    <x v="1287"/>
    <m/>
  </r>
  <r>
    <x v="28"/>
    <s v="EMPLOYEE"/>
    <x v="3"/>
    <s v="NBR"/>
    <s v="A"/>
    <n v="2009"/>
    <x v="1288"/>
    <m/>
  </r>
  <r>
    <x v="28"/>
    <s v="EMPLOYEE"/>
    <x v="3"/>
    <s v="NBR"/>
    <s v="A"/>
    <n v="2010"/>
    <x v="1289"/>
    <m/>
  </r>
  <r>
    <x v="28"/>
    <s v="EMPLOYEE"/>
    <x v="3"/>
    <s v="NBR"/>
    <s v="A"/>
    <n v="2011"/>
    <x v="1290"/>
    <m/>
  </r>
  <r>
    <x v="28"/>
    <s v="EMPLOYEE"/>
    <x v="3"/>
    <s v="NBR"/>
    <s v="A"/>
    <n v="2012"/>
    <x v="1291"/>
    <m/>
  </r>
  <r>
    <x v="28"/>
    <s v="EMPLOYEE"/>
    <x v="3"/>
    <s v="NBR"/>
    <s v="A"/>
    <n v="2013"/>
    <x v="1292"/>
    <m/>
  </r>
  <r>
    <x v="28"/>
    <s v="EMPLOYEE"/>
    <x v="3"/>
    <s v="NBR"/>
    <s v="A"/>
    <n v="2014"/>
    <x v="1293"/>
    <m/>
  </r>
  <r>
    <x v="28"/>
    <s v="EMPLOYEE"/>
    <x v="3"/>
    <s v="NBR"/>
    <s v="A"/>
    <n v="2015"/>
    <x v="1294"/>
    <m/>
  </r>
  <r>
    <x v="28"/>
    <s v="EMPLOYEE"/>
    <x v="4"/>
    <s v="NBR"/>
    <s v="A"/>
    <n v="2008"/>
    <x v="1295"/>
    <m/>
  </r>
  <r>
    <x v="28"/>
    <s v="EMPLOYEE"/>
    <x v="4"/>
    <s v="NBR"/>
    <s v="A"/>
    <n v="2009"/>
    <x v="1296"/>
    <m/>
  </r>
  <r>
    <x v="28"/>
    <s v="EMPLOYEE"/>
    <x v="4"/>
    <s v="NBR"/>
    <s v="A"/>
    <n v="2010"/>
    <x v="1297"/>
    <m/>
  </r>
  <r>
    <x v="28"/>
    <s v="EMPLOYEE"/>
    <x v="4"/>
    <s v="NBR"/>
    <s v="A"/>
    <n v="2011"/>
    <x v="1298"/>
    <m/>
  </r>
  <r>
    <x v="28"/>
    <s v="EMPLOYEE"/>
    <x v="4"/>
    <s v="NBR"/>
    <s v="A"/>
    <n v="2012"/>
    <x v="1299"/>
    <m/>
  </r>
  <r>
    <x v="28"/>
    <s v="EMPLOYEE"/>
    <x v="4"/>
    <s v="NBR"/>
    <s v="A"/>
    <n v="2013"/>
    <x v="1300"/>
    <m/>
  </r>
  <r>
    <x v="28"/>
    <s v="EMPLOYEE"/>
    <x v="4"/>
    <s v="NBR"/>
    <s v="A"/>
    <n v="2014"/>
    <x v="1301"/>
    <m/>
  </r>
  <r>
    <x v="28"/>
    <s v="EMPLOYEE"/>
    <x v="4"/>
    <s v="NBR"/>
    <s v="A"/>
    <n v="2015"/>
    <x v="1302"/>
    <m/>
  </r>
  <r>
    <x v="28"/>
    <s v="EMPLOYEE"/>
    <x v="5"/>
    <s v="NBR"/>
    <s v="A"/>
    <n v="2008"/>
    <x v="1303"/>
    <m/>
  </r>
  <r>
    <x v="28"/>
    <s v="EMPLOYEE"/>
    <x v="5"/>
    <s v="NBR"/>
    <s v="A"/>
    <n v="2009"/>
    <x v="1304"/>
    <m/>
  </r>
  <r>
    <x v="28"/>
    <s v="EMPLOYEE"/>
    <x v="5"/>
    <s v="NBR"/>
    <s v="A"/>
    <n v="2010"/>
    <x v="1305"/>
    <m/>
  </r>
  <r>
    <x v="28"/>
    <s v="EMPLOYEE"/>
    <x v="5"/>
    <s v="NBR"/>
    <s v="A"/>
    <n v="2011"/>
    <x v="1306"/>
    <m/>
  </r>
  <r>
    <x v="28"/>
    <s v="EMPLOYEE"/>
    <x v="5"/>
    <s v="NBR"/>
    <s v="A"/>
    <n v="2012"/>
    <x v="1307"/>
    <m/>
  </r>
  <r>
    <x v="28"/>
    <s v="EMPLOYEE"/>
    <x v="5"/>
    <s v="NBR"/>
    <s v="A"/>
    <n v="2013"/>
    <x v="1308"/>
    <m/>
  </r>
  <r>
    <x v="28"/>
    <s v="EMPLOYEE"/>
    <x v="5"/>
    <s v="NBR"/>
    <s v="A"/>
    <n v="2014"/>
    <x v="1309"/>
    <m/>
  </r>
  <r>
    <x v="28"/>
    <s v="EMPLOYEE"/>
    <x v="5"/>
    <s v="NBR"/>
    <s v="A"/>
    <n v="2015"/>
    <x v="1310"/>
    <m/>
  </r>
  <r>
    <x v="29"/>
    <s v="EMPLOYEE"/>
    <x v="0"/>
    <s v="NBR"/>
    <s v="A"/>
    <n v="2009"/>
    <x v="1311"/>
    <m/>
  </r>
  <r>
    <x v="29"/>
    <s v="EMPLOYEE"/>
    <x v="0"/>
    <s v="NBR"/>
    <s v="A"/>
    <n v="2010"/>
    <x v="1312"/>
    <m/>
  </r>
  <r>
    <x v="29"/>
    <s v="EMPLOYEE"/>
    <x v="0"/>
    <s v="NBR"/>
    <s v="A"/>
    <n v="2011"/>
    <x v="1313"/>
    <m/>
  </r>
  <r>
    <x v="29"/>
    <s v="EMPLOYEE"/>
    <x v="0"/>
    <s v="NBR"/>
    <s v="A"/>
    <n v="2012"/>
    <x v="1314"/>
    <m/>
  </r>
  <r>
    <x v="29"/>
    <s v="EMPLOYEE"/>
    <x v="0"/>
    <s v="NBR"/>
    <s v="A"/>
    <n v="2013"/>
    <x v="1315"/>
    <m/>
  </r>
  <r>
    <x v="29"/>
    <s v="EMPLOYEE"/>
    <x v="0"/>
    <s v="NBR"/>
    <s v="A"/>
    <n v="2014"/>
    <x v="1316"/>
    <m/>
  </r>
  <r>
    <x v="29"/>
    <s v="EMPLOYEE"/>
    <x v="1"/>
    <s v="NBR"/>
    <s v="A"/>
    <n v="2009"/>
    <x v="1317"/>
    <m/>
  </r>
  <r>
    <x v="29"/>
    <s v="EMPLOYEE"/>
    <x v="1"/>
    <s v="NBR"/>
    <s v="A"/>
    <n v="2010"/>
    <x v="1318"/>
    <m/>
  </r>
  <r>
    <x v="29"/>
    <s v="EMPLOYEE"/>
    <x v="1"/>
    <s v="NBR"/>
    <s v="A"/>
    <n v="2011"/>
    <x v="1319"/>
    <m/>
  </r>
  <r>
    <x v="29"/>
    <s v="EMPLOYEE"/>
    <x v="1"/>
    <s v="NBR"/>
    <s v="A"/>
    <n v="2012"/>
    <x v="1320"/>
    <m/>
  </r>
  <r>
    <x v="29"/>
    <s v="EMPLOYEE"/>
    <x v="1"/>
    <s v="NBR"/>
    <s v="A"/>
    <n v="2013"/>
    <x v="1321"/>
    <m/>
  </r>
  <r>
    <x v="29"/>
    <s v="EMPLOYEE"/>
    <x v="1"/>
    <s v="NBR"/>
    <s v="A"/>
    <n v="2014"/>
    <x v="1322"/>
    <m/>
  </r>
  <r>
    <x v="29"/>
    <s v="EMPLOYEE"/>
    <x v="2"/>
    <s v="NBR"/>
    <s v="A"/>
    <n v="2009"/>
    <x v="1323"/>
    <m/>
  </r>
  <r>
    <x v="29"/>
    <s v="EMPLOYEE"/>
    <x v="2"/>
    <s v="NBR"/>
    <s v="A"/>
    <n v="2010"/>
    <x v="1324"/>
    <m/>
  </r>
  <r>
    <x v="29"/>
    <s v="EMPLOYEE"/>
    <x v="2"/>
    <s v="NBR"/>
    <s v="A"/>
    <n v="2011"/>
    <x v="1325"/>
    <m/>
  </r>
  <r>
    <x v="29"/>
    <s v="EMPLOYEE"/>
    <x v="2"/>
    <s v="NBR"/>
    <s v="A"/>
    <n v="2012"/>
    <x v="1326"/>
    <m/>
  </r>
  <r>
    <x v="29"/>
    <s v="EMPLOYEE"/>
    <x v="2"/>
    <s v="NBR"/>
    <s v="A"/>
    <n v="2013"/>
    <x v="1327"/>
    <m/>
  </r>
  <r>
    <x v="29"/>
    <s v="EMPLOYEE"/>
    <x v="2"/>
    <s v="NBR"/>
    <s v="A"/>
    <n v="2014"/>
    <x v="1328"/>
    <m/>
  </r>
  <r>
    <x v="29"/>
    <s v="EMPLOYEE"/>
    <x v="3"/>
    <s v="NBR"/>
    <s v="A"/>
    <n v="2009"/>
    <x v="1329"/>
    <m/>
  </r>
  <r>
    <x v="29"/>
    <s v="EMPLOYEE"/>
    <x v="3"/>
    <s v="NBR"/>
    <s v="A"/>
    <n v="2010"/>
    <x v="1330"/>
    <m/>
  </r>
  <r>
    <x v="29"/>
    <s v="EMPLOYEE"/>
    <x v="3"/>
    <s v="NBR"/>
    <s v="A"/>
    <n v="2011"/>
    <x v="1331"/>
    <m/>
  </r>
  <r>
    <x v="29"/>
    <s v="EMPLOYEE"/>
    <x v="3"/>
    <s v="NBR"/>
    <s v="A"/>
    <n v="2012"/>
    <x v="1332"/>
    <m/>
  </r>
  <r>
    <x v="29"/>
    <s v="EMPLOYEE"/>
    <x v="3"/>
    <s v="NBR"/>
    <s v="A"/>
    <n v="2013"/>
    <x v="1333"/>
    <m/>
  </r>
  <r>
    <x v="29"/>
    <s v="EMPLOYEE"/>
    <x v="3"/>
    <s v="NBR"/>
    <s v="A"/>
    <n v="2014"/>
    <x v="1334"/>
    <m/>
  </r>
  <r>
    <x v="29"/>
    <s v="EMPLOYEE"/>
    <x v="4"/>
    <s v="NBR"/>
    <s v="A"/>
    <n v="2009"/>
    <x v="1335"/>
    <m/>
  </r>
  <r>
    <x v="29"/>
    <s v="EMPLOYEE"/>
    <x v="4"/>
    <s v="NBR"/>
    <s v="A"/>
    <n v="2010"/>
    <x v="1336"/>
    <m/>
  </r>
  <r>
    <x v="29"/>
    <s v="EMPLOYEE"/>
    <x v="4"/>
    <s v="NBR"/>
    <s v="A"/>
    <n v="2011"/>
    <x v="1337"/>
    <m/>
  </r>
  <r>
    <x v="29"/>
    <s v="EMPLOYEE"/>
    <x v="4"/>
    <s v="NBR"/>
    <s v="A"/>
    <n v="2012"/>
    <x v="1338"/>
    <m/>
  </r>
  <r>
    <x v="29"/>
    <s v="EMPLOYEE"/>
    <x v="4"/>
    <s v="NBR"/>
    <s v="A"/>
    <n v="2013"/>
    <x v="1339"/>
    <m/>
  </r>
  <r>
    <x v="29"/>
    <s v="EMPLOYEE"/>
    <x v="4"/>
    <s v="NBR"/>
    <s v="A"/>
    <n v="2014"/>
    <x v="1340"/>
    <m/>
  </r>
  <r>
    <x v="29"/>
    <s v="EMPLOYEE"/>
    <x v="5"/>
    <s v="NBR"/>
    <s v="A"/>
    <n v="2009"/>
    <x v="1341"/>
    <m/>
  </r>
  <r>
    <x v="29"/>
    <s v="EMPLOYEE"/>
    <x v="5"/>
    <s v="NBR"/>
    <s v="A"/>
    <n v="2010"/>
    <x v="1342"/>
    <m/>
  </r>
  <r>
    <x v="29"/>
    <s v="EMPLOYEE"/>
    <x v="5"/>
    <s v="NBR"/>
    <s v="A"/>
    <n v="2011"/>
    <x v="1343"/>
    <m/>
  </r>
  <r>
    <x v="29"/>
    <s v="EMPLOYEE"/>
    <x v="5"/>
    <s v="NBR"/>
    <s v="A"/>
    <n v="2012"/>
    <x v="1344"/>
    <m/>
  </r>
  <r>
    <x v="29"/>
    <s v="EMPLOYEE"/>
    <x v="5"/>
    <s v="NBR"/>
    <s v="A"/>
    <n v="2013"/>
    <x v="1345"/>
    <m/>
  </r>
  <r>
    <x v="29"/>
    <s v="EMPLOYEE"/>
    <x v="5"/>
    <s v="NBR"/>
    <s v="A"/>
    <n v="2014"/>
    <x v="1346"/>
    <m/>
  </r>
  <r>
    <x v="30"/>
    <s v="EMPLOYEE"/>
    <x v="0"/>
    <s v="NBR"/>
    <s v="A"/>
    <n v="2008"/>
    <x v="1347"/>
    <m/>
  </r>
  <r>
    <x v="30"/>
    <s v="EMPLOYEE"/>
    <x v="0"/>
    <s v="NBR"/>
    <s v="A"/>
    <n v="2009"/>
    <x v="1348"/>
    <m/>
  </r>
  <r>
    <x v="30"/>
    <s v="EMPLOYEE"/>
    <x v="0"/>
    <s v="NBR"/>
    <s v="A"/>
    <n v="2010"/>
    <x v="1349"/>
    <m/>
  </r>
  <r>
    <x v="30"/>
    <s v="EMPLOYEE"/>
    <x v="0"/>
    <s v="NBR"/>
    <s v="A"/>
    <n v="2011"/>
    <x v="1350"/>
    <m/>
  </r>
  <r>
    <x v="30"/>
    <s v="EMPLOYEE"/>
    <x v="0"/>
    <s v="NBR"/>
    <s v="A"/>
    <n v="2012"/>
    <x v="1351"/>
    <m/>
  </r>
  <r>
    <x v="30"/>
    <s v="EMPLOYEE"/>
    <x v="0"/>
    <s v="NBR"/>
    <s v="A"/>
    <n v="2013"/>
    <x v="1352"/>
    <m/>
  </r>
  <r>
    <x v="30"/>
    <s v="EMPLOYEE"/>
    <x v="0"/>
    <s v="NBR"/>
    <s v="A"/>
    <n v="2014"/>
    <x v="1353"/>
    <m/>
  </r>
  <r>
    <x v="30"/>
    <s v="EMPLOYEE"/>
    <x v="0"/>
    <s v="NBR"/>
    <s v="A"/>
    <n v="2015"/>
    <x v="1354"/>
    <m/>
  </r>
  <r>
    <x v="30"/>
    <s v="EMPLOYEE"/>
    <x v="1"/>
    <s v="NBR"/>
    <s v="A"/>
    <n v="2008"/>
    <x v="1355"/>
    <m/>
  </r>
  <r>
    <x v="30"/>
    <s v="EMPLOYEE"/>
    <x v="1"/>
    <s v="NBR"/>
    <s v="A"/>
    <n v="2009"/>
    <x v="1356"/>
    <m/>
  </r>
  <r>
    <x v="30"/>
    <s v="EMPLOYEE"/>
    <x v="1"/>
    <s v="NBR"/>
    <s v="A"/>
    <n v="2010"/>
    <x v="1357"/>
    <m/>
  </r>
  <r>
    <x v="30"/>
    <s v="EMPLOYEE"/>
    <x v="1"/>
    <s v="NBR"/>
    <s v="A"/>
    <n v="2011"/>
    <x v="1358"/>
    <m/>
  </r>
  <r>
    <x v="30"/>
    <s v="EMPLOYEE"/>
    <x v="1"/>
    <s v="NBR"/>
    <s v="A"/>
    <n v="2012"/>
    <x v="1359"/>
    <m/>
  </r>
  <r>
    <x v="30"/>
    <s v="EMPLOYEE"/>
    <x v="1"/>
    <s v="NBR"/>
    <s v="A"/>
    <n v="2013"/>
    <x v="1360"/>
    <m/>
  </r>
  <r>
    <x v="30"/>
    <s v="EMPLOYEE"/>
    <x v="1"/>
    <s v="NBR"/>
    <s v="A"/>
    <n v="2014"/>
    <x v="1361"/>
    <m/>
  </r>
  <r>
    <x v="30"/>
    <s v="EMPLOYEE"/>
    <x v="1"/>
    <s v="NBR"/>
    <s v="A"/>
    <n v="2015"/>
    <x v="1362"/>
    <m/>
  </r>
  <r>
    <x v="30"/>
    <s v="EMPLOYEE"/>
    <x v="2"/>
    <s v="NBR"/>
    <s v="A"/>
    <n v="2008"/>
    <x v="1363"/>
    <m/>
  </r>
  <r>
    <x v="30"/>
    <s v="EMPLOYEE"/>
    <x v="2"/>
    <s v="NBR"/>
    <s v="A"/>
    <n v="2009"/>
    <x v="1364"/>
    <m/>
  </r>
  <r>
    <x v="30"/>
    <s v="EMPLOYEE"/>
    <x v="2"/>
    <s v="NBR"/>
    <s v="A"/>
    <n v="2010"/>
    <x v="1365"/>
    <m/>
  </r>
  <r>
    <x v="30"/>
    <s v="EMPLOYEE"/>
    <x v="2"/>
    <s v="NBR"/>
    <s v="A"/>
    <n v="2011"/>
    <x v="1366"/>
    <m/>
  </r>
  <r>
    <x v="30"/>
    <s v="EMPLOYEE"/>
    <x v="2"/>
    <s v="NBR"/>
    <s v="A"/>
    <n v="2012"/>
    <x v="1367"/>
    <m/>
  </r>
  <r>
    <x v="30"/>
    <s v="EMPLOYEE"/>
    <x v="2"/>
    <s v="NBR"/>
    <s v="A"/>
    <n v="2013"/>
    <x v="1368"/>
    <m/>
  </r>
  <r>
    <x v="30"/>
    <s v="EMPLOYEE"/>
    <x v="2"/>
    <s v="NBR"/>
    <s v="A"/>
    <n v="2014"/>
    <x v="1369"/>
    <m/>
  </r>
  <r>
    <x v="30"/>
    <s v="EMPLOYEE"/>
    <x v="2"/>
    <s v="NBR"/>
    <s v="A"/>
    <n v="2015"/>
    <x v="1370"/>
    <m/>
  </r>
  <r>
    <x v="30"/>
    <s v="EMPLOYEE"/>
    <x v="3"/>
    <s v="NBR"/>
    <s v="A"/>
    <n v="2008"/>
    <x v="1371"/>
    <m/>
  </r>
  <r>
    <x v="30"/>
    <s v="EMPLOYEE"/>
    <x v="3"/>
    <s v="NBR"/>
    <s v="A"/>
    <n v="2009"/>
    <x v="1372"/>
    <m/>
  </r>
  <r>
    <x v="30"/>
    <s v="EMPLOYEE"/>
    <x v="3"/>
    <s v="NBR"/>
    <s v="A"/>
    <n v="2010"/>
    <x v="1373"/>
    <m/>
  </r>
  <r>
    <x v="30"/>
    <s v="EMPLOYEE"/>
    <x v="3"/>
    <s v="NBR"/>
    <s v="A"/>
    <n v="2011"/>
    <x v="1374"/>
    <m/>
  </r>
  <r>
    <x v="30"/>
    <s v="EMPLOYEE"/>
    <x v="3"/>
    <s v="NBR"/>
    <s v="A"/>
    <n v="2012"/>
    <x v="1375"/>
    <m/>
  </r>
  <r>
    <x v="30"/>
    <s v="EMPLOYEE"/>
    <x v="3"/>
    <s v="NBR"/>
    <s v="A"/>
    <n v="2013"/>
    <x v="1376"/>
    <m/>
  </r>
  <r>
    <x v="30"/>
    <s v="EMPLOYEE"/>
    <x v="3"/>
    <s v="NBR"/>
    <s v="A"/>
    <n v="2014"/>
    <x v="1377"/>
    <m/>
  </r>
  <r>
    <x v="30"/>
    <s v="EMPLOYEE"/>
    <x v="3"/>
    <s v="NBR"/>
    <s v="A"/>
    <n v="2015"/>
    <x v="1378"/>
    <m/>
  </r>
  <r>
    <x v="30"/>
    <s v="EMPLOYEE"/>
    <x v="4"/>
    <s v="NBR"/>
    <s v="A"/>
    <n v="2008"/>
    <x v="1379"/>
    <m/>
  </r>
  <r>
    <x v="30"/>
    <s v="EMPLOYEE"/>
    <x v="4"/>
    <s v="NBR"/>
    <s v="A"/>
    <n v="2009"/>
    <x v="1380"/>
    <m/>
  </r>
  <r>
    <x v="30"/>
    <s v="EMPLOYEE"/>
    <x v="4"/>
    <s v="NBR"/>
    <s v="A"/>
    <n v="2010"/>
    <x v="1381"/>
    <m/>
  </r>
  <r>
    <x v="30"/>
    <s v="EMPLOYEE"/>
    <x v="4"/>
    <s v="NBR"/>
    <s v="A"/>
    <n v="2011"/>
    <x v="1382"/>
    <m/>
  </r>
  <r>
    <x v="30"/>
    <s v="EMPLOYEE"/>
    <x v="4"/>
    <s v="NBR"/>
    <s v="A"/>
    <n v="2012"/>
    <x v="1383"/>
    <m/>
  </r>
  <r>
    <x v="30"/>
    <s v="EMPLOYEE"/>
    <x v="4"/>
    <s v="NBR"/>
    <s v="A"/>
    <n v="2013"/>
    <x v="1384"/>
    <m/>
  </r>
  <r>
    <x v="30"/>
    <s v="EMPLOYEE"/>
    <x v="4"/>
    <s v="NBR"/>
    <s v="A"/>
    <n v="2014"/>
    <x v="1385"/>
    <m/>
  </r>
  <r>
    <x v="30"/>
    <s v="EMPLOYEE"/>
    <x v="4"/>
    <s v="NBR"/>
    <s v="A"/>
    <n v="2015"/>
    <x v="1386"/>
    <m/>
  </r>
  <r>
    <x v="30"/>
    <s v="EMPLOYEE"/>
    <x v="5"/>
    <s v="NBR"/>
    <s v="A"/>
    <n v="2008"/>
    <x v="1387"/>
    <m/>
  </r>
  <r>
    <x v="30"/>
    <s v="EMPLOYEE"/>
    <x v="5"/>
    <s v="NBR"/>
    <s v="A"/>
    <n v="2009"/>
    <x v="1388"/>
    <m/>
  </r>
  <r>
    <x v="30"/>
    <s v="EMPLOYEE"/>
    <x v="5"/>
    <s v="NBR"/>
    <s v="A"/>
    <n v="2010"/>
    <x v="1389"/>
    <m/>
  </r>
  <r>
    <x v="30"/>
    <s v="EMPLOYEE"/>
    <x v="5"/>
    <s v="NBR"/>
    <s v="A"/>
    <n v="2011"/>
    <x v="1390"/>
    <m/>
  </r>
  <r>
    <x v="30"/>
    <s v="EMPLOYEE"/>
    <x v="5"/>
    <s v="NBR"/>
    <s v="A"/>
    <n v="2012"/>
    <x v="1391"/>
    <m/>
  </r>
  <r>
    <x v="30"/>
    <s v="EMPLOYEE"/>
    <x v="5"/>
    <s v="NBR"/>
    <s v="A"/>
    <n v="2013"/>
    <x v="1392"/>
    <m/>
  </r>
  <r>
    <x v="30"/>
    <s v="EMPLOYEE"/>
    <x v="5"/>
    <s v="NBR"/>
    <s v="A"/>
    <n v="2014"/>
    <x v="1393"/>
    <m/>
  </r>
  <r>
    <x v="30"/>
    <s v="EMPLOYEE"/>
    <x v="5"/>
    <s v="NBR"/>
    <s v="A"/>
    <n v="2015"/>
    <x v="1394"/>
    <m/>
  </r>
  <r>
    <x v="31"/>
    <s v="EMPLOYEE"/>
    <x v="0"/>
    <s v="NBR"/>
    <s v="A"/>
    <n v="2008"/>
    <x v="1395"/>
    <m/>
  </r>
  <r>
    <x v="31"/>
    <s v="EMPLOYEE"/>
    <x v="0"/>
    <s v="NBR"/>
    <s v="A"/>
    <n v="2009"/>
    <x v="1396"/>
    <m/>
  </r>
  <r>
    <x v="31"/>
    <s v="EMPLOYEE"/>
    <x v="0"/>
    <s v="NBR"/>
    <s v="A"/>
    <n v="2010"/>
    <x v="1397"/>
    <m/>
  </r>
  <r>
    <x v="31"/>
    <s v="EMPLOYEE"/>
    <x v="0"/>
    <s v="NBR"/>
    <s v="A"/>
    <n v="2011"/>
    <x v="1398"/>
    <m/>
  </r>
  <r>
    <x v="31"/>
    <s v="EMPLOYEE"/>
    <x v="0"/>
    <s v="NBR"/>
    <s v="A"/>
    <n v="2012"/>
    <x v="1399"/>
    <m/>
  </r>
  <r>
    <x v="31"/>
    <s v="EMPLOYEE"/>
    <x v="0"/>
    <s v="NBR"/>
    <s v="A"/>
    <n v="2013"/>
    <x v="1400"/>
    <m/>
  </r>
  <r>
    <x v="31"/>
    <s v="EMPLOYEE"/>
    <x v="0"/>
    <s v="NBR"/>
    <s v="A"/>
    <n v="2014"/>
    <x v="1401"/>
    <m/>
  </r>
  <r>
    <x v="31"/>
    <s v="EMPLOYEE"/>
    <x v="0"/>
    <s v="NBR"/>
    <s v="A"/>
    <n v="2015"/>
    <x v="1402"/>
    <m/>
  </r>
  <r>
    <x v="31"/>
    <s v="EMPLOYEE"/>
    <x v="1"/>
    <s v="NBR"/>
    <s v="A"/>
    <n v="2008"/>
    <x v="1403"/>
    <m/>
  </r>
  <r>
    <x v="31"/>
    <s v="EMPLOYEE"/>
    <x v="1"/>
    <s v="NBR"/>
    <s v="A"/>
    <n v="2009"/>
    <x v="1404"/>
    <m/>
  </r>
  <r>
    <x v="31"/>
    <s v="EMPLOYEE"/>
    <x v="1"/>
    <s v="NBR"/>
    <s v="A"/>
    <n v="2010"/>
    <x v="1405"/>
    <m/>
  </r>
  <r>
    <x v="31"/>
    <s v="EMPLOYEE"/>
    <x v="1"/>
    <s v="NBR"/>
    <s v="A"/>
    <n v="2011"/>
    <x v="1406"/>
    <m/>
  </r>
  <r>
    <x v="31"/>
    <s v="EMPLOYEE"/>
    <x v="1"/>
    <s v="NBR"/>
    <s v="A"/>
    <n v="2012"/>
    <x v="1407"/>
    <m/>
  </r>
  <r>
    <x v="31"/>
    <s v="EMPLOYEE"/>
    <x v="1"/>
    <s v="NBR"/>
    <s v="A"/>
    <n v="2013"/>
    <x v="1408"/>
    <m/>
  </r>
  <r>
    <x v="31"/>
    <s v="EMPLOYEE"/>
    <x v="1"/>
    <s v="NBR"/>
    <s v="A"/>
    <n v="2014"/>
    <x v="1409"/>
    <m/>
  </r>
  <r>
    <x v="31"/>
    <s v="EMPLOYEE"/>
    <x v="1"/>
    <s v="NBR"/>
    <s v="A"/>
    <n v="2015"/>
    <x v="1410"/>
    <m/>
  </r>
  <r>
    <x v="31"/>
    <s v="EMPLOYEE"/>
    <x v="2"/>
    <s v="NBR"/>
    <s v="A"/>
    <n v="2008"/>
    <x v="1411"/>
    <m/>
  </r>
  <r>
    <x v="31"/>
    <s v="EMPLOYEE"/>
    <x v="2"/>
    <s v="NBR"/>
    <s v="A"/>
    <n v="2009"/>
    <x v="1412"/>
    <m/>
  </r>
  <r>
    <x v="31"/>
    <s v="EMPLOYEE"/>
    <x v="2"/>
    <s v="NBR"/>
    <s v="A"/>
    <n v="2010"/>
    <x v="1413"/>
    <m/>
  </r>
  <r>
    <x v="31"/>
    <s v="EMPLOYEE"/>
    <x v="2"/>
    <s v="NBR"/>
    <s v="A"/>
    <n v="2011"/>
    <x v="1414"/>
    <m/>
  </r>
  <r>
    <x v="31"/>
    <s v="EMPLOYEE"/>
    <x v="2"/>
    <s v="NBR"/>
    <s v="A"/>
    <n v="2012"/>
    <x v="1415"/>
    <m/>
  </r>
  <r>
    <x v="31"/>
    <s v="EMPLOYEE"/>
    <x v="2"/>
    <s v="NBR"/>
    <s v="A"/>
    <n v="2013"/>
    <x v="1416"/>
    <m/>
  </r>
  <r>
    <x v="31"/>
    <s v="EMPLOYEE"/>
    <x v="2"/>
    <s v="NBR"/>
    <s v="A"/>
    <n v="2014"/>
    <x v="1417"/>
    <m/>
  </r>
  <r>
    <x v="31"/>
    <s v="EMPLOYEE"/>
    <x v="2"/>
    <s v="NBR"/>
    <s v="A"/>
    <n v="2015"/>
    <x v="1418"/>
    <m/>
  </r>
  <r>
    <x v="31"/>
    <s v="EMPLOYEE"/>
    <x v="3"/>
    <s v="NBR"/>
    <s v="A"/>
    <n v="2008"/>
    <x v="1419"/>
    <m/>
  </r>
  <r>
    <x v="31"/>
    <s v="EMPLOYEE"/>
    <x v="3"/>
    <s v="NBR"/>
    <s v="A"/>
    <n v="2009"/>
    <x v="1420"/>
    <m/>
  </r>
  <r>
    <x v="31"/>
    <s v="EMPLOYEE"/>
    <x v="3"/>
    <s v="NBR"/>
    <s v="A"/>
    <n v="2010"/>
    <x v="1421"/>
    <m/>
  </r>
  <r>
    <x v="31"/>
    <s v="EMPLOYEE"/>
    <x v="3"/>
    <s v="NBR"/>
    <s v="A"/>
    <n v="2011"/>
    <x v="1422"/>
    <m/>
  </r>
  <r>
    <x v="31"/>
    <s v="EMPLOYEE"/>
    <x v="3"/>
    <s v="NBR"/>
    <s v="A"/>
    <n v="2012"/>
    <x v="1423"/>
    <m/>
  </r>
  <r>
    <x v="31"/>
    <s v="EMPLOYEE"/>
    <x v="3"/>
    <s v="NBR"/>
    <s v="A"/>
    <n v="2013"/>
    <x v="1424"/>
    <m/>
  </r>
  <r>
    <x v="31"/>
    <s v="EMPLOYEE"/>
    <x v="3"/>
    <s v="NBR"/>
    <s v="A"/>
    <n v="2014"/>
    <x v="1425"/>
    <m/>
  </r>
  <r>
    <x v="31"/>
    <s v="EMPLOYEE"/>
    <x v="3"/>
    <s v="NBR"/>
    <s v="A"/>
    <n v="2015"/>
    <x v="1426"/>
    <m/>
  </r>
  <r>
    <x v="31"/>
    <s v="EMPLOYEE"/>
    <x v="4"/>
    <s v="NBR"/>
    <s v="A"/>
    <n v="2008"/>
    <x v="1427"/>
    <m/>
  </r>
  <r>
    <x v="31"/>
    <s v="EMPLOYEE"/>
    <x v="4"/>
    <s v="NBR"/>
    <s v="A"/>
    <n v="2009"/>
    <x v="1428"/>
    <m/>
  </r>
  <r>
    <x v="31"/>
    <s v="EMPLOYEE"/>
    <x v="4"/>
    <s v="NBR"/>
    <s v="A"/>
    <n v="2010"/>
    <x v="1429"/>
    <m/>
  </r>
  <r>
    <x v="31"/>
    <s v="EMPLOYEE"/>
    <x v="4"/>
    <s v="NBR"/>
    <s v="A"/>
    <n v="2011"/>
    <x v="1430"/>
    <m/>
  </r>
  <r>
    <x v="31"/>
    <s v="EMPLOYEE"/>
    <x v="4"/>
    <s v="NBR"/>
    <s v="A"/>
    <n v="2012"/>
    <x v="1431"/>
    <m/>
  </r>
  <r>
    <x v="31"/>
    <s v="EMPLOYEE"/>
    <x v="4"/>
    <s v="NBR"/>
    <s v="A"/>
    <n v="2013"/>
    <x v="1432"/>
    <m/>
  </r>
  <r>
    <x v="31"/>
    <s v="EMPLOYEE"/>
    <x v="4"/>
    <s v="NBR"/>
    <s v="A"/>
    <n v="2014"/>
    <x v="1433"/>
    <m/>
  </r>
  <r>
    <x v="31"/>
    <s v="EMPLOYEE"/>
    <x v="4"/>
    <s v="NBR"/>
    <s v="A"/>
    <n v="2015"/>
    <x v="1434"/>
    <m/>
  </r>
  <r>
    <x v="31"/>
    <s v="EMPLOYEE"/>
    <x v="5"/>
    <s v="NBR"/>
    <s v="A"/>
    <n v="2008"/>
    <x v="1435"/>
    <m/>
  </r>
  <r>
    <x v="31"/>
    <s v="EMPLOYEE"/>
    <x v="5"/>
    <s v="NBR"/>
    <s v="A"/>
    <n v="2009"/>
    <x v="1436"/>
    <m/>
  </r>
  <r>
    <x v="31"/>
    <s v="EMPLOYEE"/>
    <x v="5"/>
    <s v="NBR"/>
    <s v="A"/>
    <n v="2010"/>
    <x v="1437"/>
    <m/>
  </r>
  <r>
    <x v="31"/>
    <s v="EMPLOYEE"/>
    <x v="5"/>
    <s v="NBR"/>
    <s v="A"/>
    <n v="2011"/>
    <x v="1438"/>
    <m/>
  </r>
  <r>
    <x v="31"/>
    <s v="EMPLOYEE"/>
    <x v="5"/>
    <s v="NBR"/>
    <s v="A"/>
    <n v="2012"/>
    <x v="1439"/>
    <m/>
  </r>
  <r>
    <x v="31"/>
    <s v="EMPLOYEE"/>
    <x v="5"/>
    <s v="NBR"/>
    <s v="A"/>
    <n v="2013"/>
    <x v="1440"/>
    <m/>
  </r>
  <r>
    <x v="31"/>
    <s v="EMPLOYEE"/>
    <x v="5"/>
    <s v="NBR"/>
    <s v="A"/>
    <n v="2014"/>
    <x v="1441"/>
    <m/>
  </r>
  <r>
    <x v="31"/>
    <s v="EMPLOYEE"/>
    <x v="5"/>
    <s v="NBR"/>
    <s v="A"/>
    <n v="2015"/>
    <x v="1442"/>
    <m/>
  </r>
  <r>
    <x v="32"/>
    <s v="EMPLOYEE"/>
    <x v="0"/>
    <s v="NBR"/>
    <s v="A"/>
    <n v="2008"/>
    <x v="1443"/>
    <m/>
  </r>
  <r>
    <x v="32"/>
    <s v="EMPLOYEE"/>
    <x v="0"/>
    <s v="NBR"/>
    <s v="A"/>
    <n v="2009"/>
    <x v="1444"/>
    <m/>
  </r>
  <r>
    <x v="32"/>
    <s v="EMPLOYEE"/>
    <x v="0"/>
    <s v="NBR"/>
    <s v="A"/>
    <n v="2010"/>
    <x v="1445"/>
    <m/>
  </r>
  <r>
    <x v="32"/>
    <s v="EMPLOYEE"/>
    <x v="0"/>
    <s v="NBR"/>
    <s v="A"/>
    <n v="2011"/>
    <x v="1446"/>
    <m/>
  </r>
  <r>
    <x v="32"/>
    <s v="EMPLOYEE"/>
    <x v="0"/>
    <s v="NBR"/>
    <s v="A"/>
    <n v="2012"/>
    <x v="1447"/>
    <m/>
  </r>
  <r>
    <x v="32"/>
    <s v="EMPLOYEE"/>
    <x v="0"/>
    <s v="NBR"/>
    <s v="A"/>
    <n v="2013"/>
    <x v="1448"/>
    <m/>
  </r>
  <r>
    <x v="32"/>
    <s v="EMPLOYEE"/>
    <x v="0"/>
    <s v="NBR"/>
    <s v="A"/>
    <n v="2014"/>
    <x v="1449"/>
    <m/>
  </r>
  <r>
    <x v="32"/>
    <s v="EMPLOYEE"/>
    <x v="0"/>
    <s v="NBR"/>
    <s v="A"/>
    <n v="2015"/>
    <x v="1450"/>
    <m/>
  </r>
  <r>
    <x v="32"/>
    <s v="EMPLOYEE"/>
    <x v="1"/>
    <s v="NBR"/>
    <s v="A"/>
    <n v="2008"/>
    <x v="1451"/>
    <m/>
  </r>
  <r>
    <x v="32"/>
    <s v="EMPLOYEE"/>
    <x v="1"/>
    <s v="NBR"/>
    <s v="A"/>
    <n v="2009"/>
    <x v="1452"/>
    <m/>
  </r>
  <r>
    <x v="32"/>
    <s v="EMPLOYEE"/>
    <x v="1"/>
    <s v="NBR"/>
    <s v="A"/>
    <n v="2010"/>
    <x v="1453"/>
    <m/>
  </r>
  <r>
    <x v="32"/>
    <s v="EMPLOYEE"/>
    <x v="1"/>
    <s v="NBR"/>
    <s v="A"/>
    <n v="2011"/>
    <x v="1454"/>
    <m/>
  </r>
  <r>
    <x v="32"/>
    <s v="EMPLOYEE"/>
    <x v="1"/>
    <s v="NBR"/>
    <s v="A"/>
    <n v="2012"/>
    <x v="1455"/>
    <m/>
  </r>
  <r>
    <x v="32"/>
    <s v="EMPLOYEE"/>
    <x v="1"/>
    <s v="NBR"/>
    <s v="A"/>
    <n v="2013"/>
    <x v="1456"/>
    <m/>
  </r>
  <r>
    <x v="32"/>
    <s v="EMPLOYEE"/>
    <x v="1"/>
    <s v="NBR"/>
    <s v="A"/>
    <n v="2014"/>
    <x v="1457"/>
    <m/>
  </r>
  <r>
    <x v="32"/>
    <s v="EMPLOYEE"/>
    <x v="1"/>
    <s v="NBR"/>
    <s v="A"/>
    <n v="2015"/>
    <x v="1458"/>
    <m/>
  </r>
  <r>
    <x v="32"/>
    <s v="EMPLOYEE"/>
    <x v="2"/>
    <s v="NBR"/>
    <s v="A"/>
    <n v="2008"/>
    <x v="1459"/>
    <m/>
  </r>
  <r>
    <x v="32"/>
    <s v="EMPLOYEE"/>
    <x v="2"/>
    <s v="NBR"/>
    <s v="A"/>
    <n v="2009"/>
    <x v="1460"/>
    <m/>
  </r>
  <r>
    <x v="32"/>
    <s v="EMPLOYEE"/>
    <x v="2"/>
    <s v="NBR"/>
    <s v="A"/>
    <n v="2010"/>
    <x v="1461"/>
    <m/>
  </r>
  <r>
    <x v="32"/>
    <s v="EMPLOYEE"/>
    <x v="2"/>
    <s v="NBR"/>
    <s v="A"/>
    <n v="2011"/>
    <x v="1462"/>
    <m/>
  </r>
  <r>
    <x v="32"/>
    <s v="EMPLOYEE"/>
    <x v="2"/>
    <s v="NBR"/>
    <s v="A"/>
    <n v="2012"/>
    <x v="1463"/>
    <m/>
  </r>
  <r>
    <x v="32"/>
    <s v="EMPLOYEE"/>
    <x v="2"/>
    <s v="NBR"/>
    <s v="A"/>
    <n v="2013"/>
    <x v="1464"/>
    <m/>
  </r>
  <r>
    <x v="32"/>
    <s v="EMPLOYEE"/>
    <x v="2"/>
    <s v="NBR"/>
    <s v="A"/>
    <n v="2014"/>
    <x v="1465"/>
    <m/>
  </r>
  <r>
    <x v="32"/>
    <s v="EMPLOYEE"/>
    <x v="2"/>
    <s v="NBR"/>
    <s v="A"/>
    <n v="2015"/>
    <x v="1466"/>
    <m/>
  </r>
  <r>
    <x v="32"/>
    <s v="EMPLOYEE"/>
    <x v="3"/>
    <s v="NBR"/>
    <s v="A"/>
    <n v="2008"/>
    <x v="1467"/>
    <m/>
  </r>
  <r>
    <x v="32"/>
    <s v="EMPLOYEE"/>
    <x v="3"/>
    <s v="NBR"/>
    <s v="A"/>
    <n v="2009"/>
    <x v="1468"/>
    <m/>
  </r>
  <r>
    <x v="32"/>
    <s v="EMPLOYEE"/>
    <x v="3"/>
    <s v="NBR"/>
    <s v="A"/>
    <n v="2010"/>
    <x v="1469"/>
    <m/>
  </r>
  <r>
    <x v="32"/>
    <s v="EMPLOYEE"/>
    <x v="3"/>
    <s v="NBR"/>
    <s v="A"/>
    <n v="2011"/>
    <x v="1470"/>
    <m/>
  </r>
  <r>
    <x v="32"/>
    <s v="EMPLOYEE"/>
    <x v="3"/>
    <s v="NBR"/>
    <s v="A"/>
    <n v="2012"/>
    <x v="1471"/>
    <m/>
  </r>
  <r>
    <x v="32"/>
    <s v="EMPLOYEE"/>
    <x v="3"/>
    <s v="NBR"/>
    <s v="A"/>
    <n v="2013"/>
    <x v="1472"/>
    <m/>
  </r>
  <r>
    <x v="32"/>
    <s v="EMPLOYEE"/>
    <x v="3"/>
    <s v="NBR"/>
    <s v="A"/>
    <n v="2014"/>
    <x v="1473"/>
    <m/>
  </r>
  <r>
    <x v="32"/>
    <s v="EMPLOYEE"/>
    <x v="3"/>
    <s v="NBR"/>
    <s v="A"/>
    <n v="2015"/>
    <x v="1474"/>
    <m/>
  </r>
  <r>
    <x v="32"/>
    <s v="EMPLOYEE"/>
    <x v="4"/>
    <s v="NBR"/>
    <s v="A"/>
    <n v="2008"/>
    <x v="1475"/>
    <m/>
  </r>
  <r>
    <x v="32"/>
    <s v="EMPLOYEE"/>
    <x v="4"/>
    <s v="NBR"/>
    <s v="A"/>
    <n v="2009"/>
    <x v="1476"/>
    <m/>
  </r>
  <r>
    <x v="32"/>
    <s v="EMPLOYEE"/>
    <x v="4"/>
    <s v="NBR"/>
    <s v="A"/>
    <n v="2010"/>
    <x v="1477"/>
    <m/>
  </r>
  <r>
    <x v="32"/>
    <s v="EMPLOYEE"/>
    <x v="4"/>
    <s v="NBR"/>
    <s v="A"/>
    <n v="2011"/>
    <x v="1478"/>
    <m/>
  </r>
  <r>
    <x v="32"/>
    <s v="EMPLOYEE"/>
    <x v="4"/>
    <s v="NBR"/>
    <s v="A"/>
    <n v="2012"/>
    <x v="1479"/>
    <m/>
  </r>
  <r>
    <x v="32"/>
    <s v="EMPLOYEE"/>
    <x v="4"/>
    <s v="NBR"/>
    <s v="A"/>
    <n v="2013"/>
    <x v="1480"/>
    <m/>
  </r>
  <r>
    <x v="32"/>
    <s v="EMPLOYEE"/>
    <x v="4"/>
    <s v="NBR"/>
    <s v="A"/>
    <n v="2014"/>
    <x v="1481"/>
    <m/>
  </r>
  <r>
    <x v="32"/>
    <s v="EMPLOYEE"/>
    <x v="4"/>
    <s v="NBR"/>
    <s v="A"/>
    <n v="2015"/>
    <x v="1482"/>
    <m/>
  </r>
  <r>
    <x v="32"/>
    <s v="EMPLOYEE"/>
    <x v="5"/>
    <s v="NBR"/>
    <s v="A"/>
    <n v="2008"/>
    <x v="1483"/>
    <m/>
  </r>
  <r>
    <x v="32"/>
    <s v="EMPLOYEE"/>
    <x v="5"/>
    <s v="NBR"/>
    <s v="A"/>
    <n v="2009"/>
    <x v="1484"/>
    <m/>
  </r>
  <r>
    <x v="32"/>
    <s v="EMPLOYEE"/>
    <x v="5"/>
    <s v="NBR"/>
    <s v="A"/>
    <n v="2010"/>
    <x v="1485"/>
    <m/>
  </r>
  <r>
    <x v="32"/>
    <s v="EMPLOYEE"/>
    <x v="5"/>
    <s v="NBR"/>
    <s v="A"/>
    <n v="2011"/>
    <x v="1486"/>
    <m/>
  </r>
  <r>
    <x v="32"/>
    <s v="EMPLOYEE"/>
    <x v="5"/>
    <s v="NBR"/>
    <s v="A"/>
    <n v="2012"/>
    <x v="1487"/>
    <m/>
  </r>
  <r>
    <x v="32"/>
    <s v="EMPLOYEE"/>
    <x v="5"/>
    <s v="NBR"/>
    <s v="A"/>
    <n v="2013"/>
    <x v="1488"/>
    <m/>
  </r>
  <r>
    <x v="32"/>
    <s v="EMPLOYEE"/>
    <x v="5"/>
    <s v="NBR"/>
    <s v="A"/>
    <n v="2014"/>
    <x v="1489"/>
    <m/>
  </r>
  <r>
    <x v="32"/>
    <s v="EMPLOYEE"/>
    <x v="5"/>
    <s v="NBR"/>
    <s v="A"/>
    <n v="2015"/>
    <x v="1490"/>
    <m/>
  </r>
  <r>
    <x v="33"/>
    <s v="EMPLOYEE"/>
    <x v="0"/>
    <s v="NBR"/>
    <s v="A"/>
    <n v="2011"/>
    <x v="1491"/>
    <m/>
  </r>
  <r>
    <x v="33"/>
    <s v="EMPLOYEE"/>
    <x v="0"/>
    <s v="NBR"/>
    <s v="A"/>
    <n v="2012"/>
    <x v="1492"/>
    <m/>
  </r>
  <r>
    <x v="33"/>
    <s v="EMPLOYEE"/>
    <x v="0"/>
    <s v="NBR"/>
    <s v="A"/>
    <n v="2013"/>
    <x v="1493"/>
    <m/>
  </r>
  <r>
    <x v="33"/>
    <s v="EMPLOYEE"/>
    <x v="0"/>
    <s v="NBR"/>
    <s v="A"/>
    <n v="2014"/>
    <x v="1494"/>
    <m/>
  </r>
  <r>
    <x v="33"/>
    <s v="EMPLOYEE"/>
    <x v="0"/>
    <s v="NBR"/>
    <s v="A"/>
    <n v="2015"/>
    <x v="1495"/>
    <m/>
  </r>
  <r>
    <x v="33"/>
    <s v="EMPLOYEE"/>
    <x v="0"/>
    <s v="NBR"/>
    <s v="A"/>
    <n v="2016"/>
    <x v="1496"/>
    <m/>
  </r>
  <r>
    <x v="33"/>
    <s v="EMPLOYEE"/>
    <x v="1"/>
    <s v="NBR"/>
    <s v="A"/>
    <n v="2011"/>
    <x v="1497"/>
    <m/>
  </r>
  <r>
    <x v="33"/>
    <s v="EMPLOYEE"/>
    <x v="1"/>
    <s v="NBR"/>
    <s v="A"/>
    <n v="2012"/>
    <x v="1498"/>
    <m/>
  </r>
  <r>
    <x v="33"/>
    <s v="EMPLOYEE"/>
    <x v="1"/>
    <s v="NBR"/>
    <s v="A"/>
    <n v="2013"/>
    <x v="1499"/>
    <m/>
  </r>
  <r>
    <x v="33"/>
    <s v="EMPLOYEE"/>
    <x v="1"/>
    <s v="NBR"/>
    <s v="A"/>
    <n v="2014"/>
    <x v="1500"/>
    <m/>
  </r>
  <r>
    <x v="33"/>
    <s v="EMPLOYEE"/>
    <x v="1"/>
    <s v="NBR"/>
    <s v="A"/>
    <n v="2015"/>
    <x v="1501"/>
    <m/>
  </r>
  <r>
    <x v="33"/>
    <s v="EMPLOYEE"/>
    <x v="1"/>
    <s v="NBR"/>
    <s v="A"/>
    <n v="2016"/>
    <x v="1502"/>
    <m/>
  </r>
  <r>
    <x v="33"/>
    <s v="EMPLOYEE"/>
    <x v="2"/>
    <s v="NBR"/>
    <s v="A"/>
    <n v="2011"/>
    <x v="1503"/>
    <m/>
  </r>
  <r>
    <x v="33"/>
    <s v="EMPLOYEE"/>
    <x v="2"/>
    <s v="NBR"/>
    <s v="A"/>
    <n v="2012"/>
    <x v="1504"/>
    <m/>
  </r>
  <r>
    <x v="33"/>
    <s v="EMPLOYEE"/>
    <x v="2"/>
    <s v="NBR"/>
    <s v="A"/>
    <n v="2013"/>
    <x v="1505"/>
    <m/>
  </r>
  <r>
    <x v="33"/>
    <s v="EMPLOYEE"/>
    <x v="2"/>
    <s v="NBR"/>
    <s v="A"/>
    <n v="2014"/>
    <x v="1506"/>
    <m/>
  </r>
  <r>
    <x v="33"/>
    <s v="EMPLOYEE"/>
    <x v="2"/>
    <s v="NBR"/>
    <s v="A"/>
    <n v="2015"/>
    <x v="1507"/>
    <m/>
  </r>
  <r>
    <x v="33"/>
    <s v="EMPLOYEE"/>
    <x v="2"/>
    <s v="NBR"/>
    <s v="A"/>
    <n v="2016"/>
    <x v="1508"/>
    <m/>
  </r>
  <r>
    <x v="33"/>
    <s v="EMPLOYEE"/>
    <x v="3"/>
    <s v="NBR"/>
    <s v="A"/>
    <n v="2011"/>
    <x v="1509"/>
    <m/>
  </r>
  <r>
    <x v="33"/>
    <s v="EMPLOYEE"/>
    <x v="3"/>
    <s v="NBR"/>
    <s v="A"/>
    <n v="2012"/>
    <x v="1510"/>
    <m/>
  </r>
  <r>
    <x v="33"/>
    <s v="EMPLOYEE"/>
    <x v="3"/>
    <s v="NBR"/>
    <s v="A"/>
    <n v="2013"/>
    <x v="1511"/>
    <m/>
  </r>
  <r>
    <x v="33"/>
    <s v="EMPLOYEE"/>
    <x v="3"/>
    <s v="NBR"/>
    <s v="A"/>
    <n v="2014"/>
    <x v="1512"/>
    <m/>
  </r>
  <r>
    <x v="33"/>
    <s v="EMPLOYEE"/>
    <x v="3"/>
    <s v="NBR"/>
    <s v="A"/>
    <n v="2015"/>
    <x v="1513"/>
    <m/>
  </r>
  <r>
    <x v="33"/>
    <s v="EMPLOYEE"/>
    <x v="3"/>
    <s v="NBR"/>
    <s v="A"/>
    <n v="2016"/>
    <x v="1514"/>
    <m/>
  </r>
  <r>
    <x v="33"/>
    <s v="EMPLOYEE"/>
    <x v="4"/>
    <s v="NBR"/>
    <s v="A"/>
    <n v="2011"/>
    <x v="1515"/>
    <m/>
  </r>
  <r>
    <x v="33"/>
    <s v="EMPLOYEE"/>
    <x v="4"/>
    <s v="NBR"/>
    <s v="A"/>
    <n v="2012"/>
    <x v="1516"/>
    <m/>
  </r>
  <r>
    <x v="33"/>
    <s v="EMPLOYEE"/>
    <x v="4"/>
    <s v="NBR"/>
    <s v="A"/>
    <n v="2013"/>
    <x v="1517"/>
    <m/>
  </r>
  <r>
    <x v="33"/>
    <s v="EMPLOYEE"/>
    <x v="4"/>
    <s v="NBR"/>
    <s v="A"/>
    <n v="2014"/>
    <x v="1518"/>
    <m/>
  </r>
  <r>
    <x v="33"/>
    <s v="EMPLOYEE"/>
    <x v="4"/>
    <s v="NBR"/>
    <s v="A"/>
    <n v="2015"/>
    <x v="1519"/>
    <m/>
  </r>
  <r>
    <x v="33"/>
    <s v="EMPLOYEE"/>
    <x v="4"/>
    <s v="NBR"/>
    <s v="A"/>
    <n v="2016"/>
    <x v="1520"/>
    <m/>
  </r>
  <r>
    <x v="33"/>
    <s v="EMPLOYEE"/>
    <x v="5"/>
    <s v="NBR"/>
    <s v="A"/>
    <n v="2011"/>
    <x v="1521"/>
    <m/>
  </r>
  <r>
    <x v="33"/>
    <s v="EMPLOYEE"/>
    <x v="5"/>
    <s v="NBR"/>
    <s v="A"/>
    <n v="2012"/>
    <x v="1522"/>
    <m/>
  </r>
  <r>
    <x v="33"/>
    <s v="EMPLOYEE"/>
    <x v="5"/>
    <s v="NBR"/>
    <s v="A"/>
    <n v="2013"/>
    <x v="1523"/>
    <m/>
  </r>
  <r>
    <x v="33"/>
    <s v="EMPLOYEE"/>
    <x v="5"/>
    <s v="NBR"/>
    <s v="A"/>
    <n v="2014"/>
    <x v="1524"/>
    <m/>
  </r>
  <r>
    <x v="33"/>
    <s v="EMPLOYEE"/>
    <x v="5"/>
    <s v="NBR"/>
    <s v="A"/>
    <n v="2015"/>
    <x v="1525"/>
    <m/>
  </r>
  <r>
    <x v="33"/>
    <s v="EMPLOYEE"/>
    <x v="5"/>
    <s v="NBR"/>
    <s v="A"/>
    <n v="2016"/>
    <x v="1526"/>
    <m/>
  </r>
  <r>
    <x v="34"/>
    <s v="EMPLOYEE"/>
    <x v="0"/>
    <s v="NBR"/>
    <s v="A"/>
    <n v="2008"/>
    <x v="1527"/>
    <m/>
  </r>
  <r>
    <x v="34"/>
    <s v="EMPLOYEE"/>
    <x v="0"/>
    <s v="NBR"/>
    <s v="A"/>
    <n v="2009"/>
    <x v="1528"/>
    <m/>
  </r>
  <r>
    <x v="34"/>
    <s v="EMPLOYEE"/>
    <x v="0"/>
    <s v="NBR"/>
    <s v="A"/>
    <n v="2010"/>
    <x v="1529"/>
    <m/>
  </r>
  <r>
    <x v="34"/>
    <s v="EMPLOYEE"/>
    <x v="0"/>
    <s v="NBR"/>
    <s v="A"/>
    <n v="2011"/>
    <x v="1530"/>
    <m/>
  </r>
  <r>
    <x v="34"/>
    <s v="EMPLOYEE"/>
    <x v="0"/>
    <s v="NBR"/>
    <s v="A"/>
    <n v="2012"/>
    <x v="1531"/>
    <m/>
  </r>
  <r>
    <x v="34"/>
    <s v="EMPLOYEE"/>
    <x v="0"/>
    <s v="NBR"/>
    <s v="A"/>
    <n v="2013"/>
    <x v="1532"/>
    <m/>
  </r>
  <r>
    <x v="34"/>
    <s v="EMPLOYEE"/>
    <x v="0"/>
    <s v="NBR"/>
    <s v="A"/>
    <n v="2014"/>
    <x v="1533"/>
    <m/>
  </r>
  <r>
    <x v="34"/>
    <s v="EMPLOYEE"/>
    <x v="0"/>
    <s v="NBR"/>
    <s v="A"/>
    <n v="2015"/>
    <x v="1534"/>
    <m/>
  </r>
  <r>
    <x v="34"/>
    <s v="EMPLOYEE"/>
    <x v="1"/>
    <s v="NBR"/>
    <s v="A"/>
    <n v="2008"/>
    <x v="1535"/>
    <m/>
  </r>
  <r>
    <x v="34"/>
    <s v="EMPLOYEE"/>
    <x v="1"/>
    <s v="NBR"/>
    <s v="A"/>
    <n v="2009"/>
    <x v="1536"/>
    <m/>
  </r>
  <r>
    <x v="34"/>
    <s v="EMPLOYEE"/>
    <x v="1"/>
    <s v="NBR"/>
    <s v="A"/>
    <n v="2010"/>
    <x v="1537"/>
    <m/>
  </r>
  <r>
    <x v="34"/>
    <s v="EMPLOYEE"/>
    <x v="1"/>
    <s v="NBR"/>
    <s v="A"/>
    <n v="2011"/>
    <x v="1538"/>
    <m/>
  </r>
  <r>
    <x v="34"/>
    <s v="EMPLOYEE"/>
    <x v="1"/>
    <s v="NBR"/>
    <s v="A"/>
    <n v="2012"/>
    <x v="1539"/>
    <m/>
  </r>
  <r>
    <x v="34"/>
    <s v="EMPLOYEE"/>
    <x v="1"/>
    <s v="NBR"/>
    <s v="A"/>
    <n v="2013"/>
    <x v="1540"/>
    <m/>
  </r>
  <r>
    <x v="34"/>
    <s v="EMPLOYEE"/>
    <x v="1"/>
    <s v="NBR"/>
    <s v="A"/>
    <n v="2014"/>
    <x v="1541"/>
    <m/>
  </r>
  <r>
    <x v="34"/>
    <s v="EMPLOYEE"/>
    <x v="1"/>
    <s v="NBR"/>
    <s v="A"/>
    <n v="2015"/>
    <x v="1542"/>
    <m/>
  </r>
  <r>
    <x v="34"/>
    <s v="EMPLOYEE"/>
    <x v="2"/>
    <s v="NBR"/>
    <s v="A"/>
    <n v="2008"/>
    <x v="1543"/>
    <m/>
  </r>
  <r>
    <x v="34"/>
    <s v="EMPLOYEE"/>
    <x v="2"/>
    <s v="NBR"/>
    <s v="A"/>
    <n v="2009"/>
    <x v="1544"/>
    <m/>
  </r>
  <r>
    <x v="34"/>
    <s v="EMPLOYEE"/>
    <x v="2"/>
    <s v="NBR"/>
    <s v="A"/>
    <n v="2010"/>
    <x v="1545"/>
    <m/>
  </r>
  <r>
    <x v="34"/>
    <s v="EMPLOYEE"/>
    <x v="2"/>
    <s v="NBR"/>
    <s v="A"/>
    <n v="2011"/>
    <x v="1546"/>
    <m/>
  </r>
  <r>
    <x v="34"/>
    <s v="EMPLOYEE"/>
    <x v="2"/>
    <s v="NBR"/>
    <s v="A"/>
    <n v="2012"/>
    <x v="1547"/>
    <m/>
  </r>
  <r>
    <x v="34"/>
    <s v="EMPLOYEE"/>
    <x v="2"/>
    <s v="NBR"/>
    <s v="A"/>
    <n v="2013"/>
    <x v="1548"/>
    <m/>
  </r>
  <r>
    <x v="34"/>
    <s v="EMPLOYEE"/>
    <x v="2"/>
    <s v="NBR"/>
    <s v="A"/>
    <n v="2014"/>
    <x v="1549"/>
    <m/>
  </r>
  <r>
    <x v="34"/>
    <s v="EMPLOYEE"/>
    <x v="2"/>
    <s v="NBR"/>
    <s v="A"/>
    <n v="2015"/>
    <x v="1550"/>
    <m/>
  </r>
  <r>
    <x v="34"/>
    <s v="EMPLOYEE"/>
    <x v="3"/>
    <s v="NBR"/>
    <s v="A"/>
    <n v="2008"/>
    <x v="1551"/>
    <m/>
  </r>
  <r>
    <x v="34"/>
    <s v="EMPLOYEE"/>
    <x v="3"/>
    <s v="NBR"/>
    <s v="A"/>
    <n v="2009"/>
    <x v="1552"/>
    <m/>
  </r>
  <r>
    <x v="34"/>
    <s v="EMPLOYEE"/>
    <x v="3"/>
    <s v="NBR"/>
    <s v="A"/>
    <n v="2010"/>
    <x v="1553"/>
    <m/>
  </r>
  <r>
    <x v="34"/>
    <s v="EMPLOYEE"/>
    <x v="3"/>
    <s v="NBR"/>
    <s v="A"/>
    <n v="2011"/>
    <x v="1554"/>
    <m/>
  </r>
  <r>
    <x v="34"/>
    <s v="EMPLOYEE"/>
    <x v="3"/>
    <s v="NBR"/>
    <s v="A"/>
    <n v="2012"/>
    <x v="1555"/>
    <m/>
  </r>
  <r>
    <x v="34"/>
    <s v="EMPLOYEE"/>
    <x v="3"/>
    <s v="NBR"/>
    <s v="A"/>
    <n v="2013"/>
    <x v="1556"/>
    <m/>
  </r>
  <r>
    <x v="34"/>
    <s v="EMPLOYEE"/>
    <x v="3"/>
    <s v="NBR"/>
    <s v="A"/>
    <n v="2014"/>
    <x v="1557"/>
    <m/>
  </r>
  <r>
    <x v="34"/>
    <s v="EMPLOYEE"/>
    <x v="3"/>
    <s v="NBR"/>
    <s v="A"/>
    <n v="2015"/>
    <x v="1558"/>
    <m/>
  </r>
  <r>
    <x v="34"/>
    <s v="EMPLOYEE"/>
    <x v="4"/>
    <s v="NBR"/>
    <s v="A"/>
    <n v="2008"/>
    <x v="1559"/>
    <m/>
  </r>
  <r>
    <x v="34"/>
    <s v="EMPLOYEE"/>
    <x v="4"/>
    <s v="NBR"/>
    <s v="A"/>
    <n v="2009"/>
    <x v="1560"/>
    <m/>
  </r>
  <r>
    <x v="34"/>
    <s v="EMPLOYEE"/>
    <x v="4"/>
    <s v="NBR"/>
    <s v="A"/>
    <n v="2010"/>
    <x v="1561"/>
    <m/>
  </r>
  <r>
    <x v="34"/>
    <s v="EMPLOYEE"/>
    <x v="4"/>
    <s v="NBR"/>
    <s v="A"/>
    <n v="2011"/>
    <x v="1562"/>
    <m/>
  </r>
  <r>
    <x v="34"/>
    <s v="EMPLOYEE"/>
    <x v="4"/>
    <s v="NBR"/>
    <s v="A"/>
    <n v="2012"/>
    <x v="1563"/>
    <m/>
  </r>
  <r>
    <x v="34"/>
    <s v="EMPLOYEE"/>
    <x v="4"/>
    <s v="NBR"/>
    <s v="A"/>
    <n v="2013"/>
    <x v="1564"/>
    <m/>
  </r>
  <r>
    <x v="34"/>
    <s v="EMPLOYEE"/>
    <x v="4"/>
    <s v="NBR"/>
    <s v="A"/>
    <n v="2014"/>
    <x v="1565"/>
    <m/>
  </r>
  <r>
    <x v="34"/>
    <s v="EMPLOYEE"/>
    <x v="4"/>
    <s v="NBR"/>
    <s v="A"/>
    <n v="2015"/>
    <x v="1566"/>
    <m/>
  </r>
  <r>
    <x v="34"/>
    <s v="EMPLOYEE"/>
    <x v="5"/>
    <s v="NBR"/>
    <s v="A"/>
    <n v="2008"/>
    <x v="1567"/>
    <m/>
  </r>
  <r>
    <x v="34"/>
    <s v="EMPLOYEE"/>
    <x v="5"/>
    <s v="NBR"/>
    <s v="A"/>
    <n v="2009"/>
    <x v="1568"/>
    <m/>
  </r>
  <r>
    <x v="34"/>
    <s v="EMPLOYEE"/>
    <x v="5"/>
    <s v="NBR"/>
    <s v="A"/>
    <n v="2010"/>
    <x v="1569"/>
    <m/>
  </r>
  <r>
    <x v="34"/>
    <s v="EMPLOYEE"/>
    <x v="5"/>
    <s v="NBR"/>
    <s v="A"/>
    <n v="2011"/>
    <x v="1570"/>
    <m/>
  </r>
  <r>
    <x v="34"/>
    <s v="EMPLOYEE"/>
    <x v="5"/>
    <s v="NBR"/>
    <s v="A"/>
    <n v="2012"/>
    <x v="1571"/>
    <m/>
  </r>
  <r>
    <x v="34"/>
    <s v="EMPLOYEE"/>
    <x v="5"/>
    <s v="NBR"/>
    <s v="A"/>
    <n v="2013"/>
    <x v="1572"/>
    <m/>
  </r>
  <r>
    <x v="34"/>
    <s v="EMPLOYEE"/>
    <x v="5"/>
    <s v="NBR"/>
    <s v="A"/>
    <n v="2014"/>
    <x v="1573"/>
    <m/>
  </r>
  <r>
    <x v="34"/>
    <s v="EMPLOYEE"/>
    <x v="5"/>
    <s v="NBR"/>
    <s v="A"/>
    <n v="2015"/>
    <x v="1574"/>
    <m/>
  </r>
  <r>
    <x v="35"/>
    <s v="EMPLOYEE"/>
    <x v="0"/>
    <s v="NBR"/>
    <s v="A"/>
    <n v="2005"/>
    <x v="1575"/>
    <m/>
  </r>
  <r>
    <x v="35"/>
    <s v="EMPLOYEE"/>
    <x v="0"/>
    <s v="NBR"/>
    <s v="A"/>
    <n v="2006"/>
    <x v="1576"/>
    <m/>
  </r>
  <r>
    <x v="35"/>
    <s v="EMPLOYEE"/>
    <x v="0"/>
    <s v="NBR"/>
    <s v="A"/>
    <n v="2007"/>
    <x v="1577"/>
    <m/>
  </r>
  <r>
    <x v="35"/>
    <s v="EMPLOYEE"/>
    <x v="0"/>
    <s v="NBR"/>
    <s v="A"/>
    <n v="2008"/>
    <x v="1578"/>
    <m/>
  </r>
  <r>
    <x v="35"/>
    <s v="EMPLOYEE"/>
    <x v="0"/>
    <s v="NBR"/>
    <s v="A"/>
    <n v="2009"/>
    <x v="1579"/>
    <m/>
  </r>
  <r>
    <x v="35"/>
    <s v="EMPLOYEE"/>
    <x v="0"/>
    <s v="NBR"/>
    <s v="A"/>
    <n v="2010"/>
    <x v="1580"/>
    <m/>
  </r>
  <r>
    <x v="35"/>
    <s v="EMPLOYEE"/>
    <x v="0"/>
    <s v="NBR"/>
    <s v="A"/>
    <n v="2011"/>
    <x v="1581"/>
    <m/>
  </r>
  <r>
    <x v="35"/>
    <s v="EMPLOYEE"/>
    <x v="0"/>
    <s v="NBR"/>
    <s v="A"/>
    <n v="2012"/>
    <x v="1582"/>
    <m/>
  </r>
  <r>
    <x v="35"/>
    <s v="EMPLOYEE"/>
    <x v="0"/>
    <s v="NBR"/>
    <s v="A"/>
    <n v="2013"/>
    <x v="1583"/>
    <m/>
  </r>
  <r>
    <x v="35"/>
    <s v="EMPLOYEE"/>
    <x v="0"/>
    <s v="NBR"/>
    <s v="A"/>
    <n v="2014"/>
    <x v="1584"/>
    <m/>
  </r>
  <r>
    <x v="35"/>
    <s v="EMPLOYEE"/>
    <x v="0"/>
    <s v="NBR"/>
    <s v="A"/>
    <n v="2015"/>
    <x v="1585"/>
    <m/>
  </r>
  <r>
    <x v="35"/>
    <s v="EMPLOYEE"/>
    <x v="1"/>
    <s v="NBR"/>
    <s v="A"/>
    <n v="2005"/>
    <x v="1586"/>
    <m/>
  </r>
  <r>
    <x v="35"/>
    <s v="EMPLOYEE"/>
    <x v="1"/>
    <s v="NBR"/>
    <s v="A"/>
    <n v="2006"/>
    <x v="1587"/>
    <m/>
  </r>
  <r>
    <x v="35"/>
    <s v="EMPLOYEE"/>
    <x v="1"/>
    <s v="NBR"/>
    <s v="A"/>
    <n v="2007"/>
    <x v="1588"/>
    <m/>
  </r>
  <r>
    <x v="35"/>
    <s v="EMPLOYEE"/>
    <x v="1"/>
    <s v="NBR"/>
    <s v="A"/>
    <n v="2008"/>
    <x v="1589"/>
    <m/>
  </r>
  <r>
    <x v="35"/>
    <s v="EMPLOYEE"/>
    <x v="1"/>
    <s v="NBR"/>
    <s v="A"/>
    <n v="2009"/>
    <x v="1590"/>
    <m/>
  </r>
  <r>
    <x v="35"/>
    <s v="EMPLOYEE"/>
    <x v="1"/>
    <s v="NBR"/>
    <s v="A"/>
    <n v="2010"/>
    <x v="1591"/>
    <m/>
  </r>
  <r>
    <x v="35"/>
    <s v="EMPLOYEE"/>
    <x v="1"/>
    <s v="NBR"/>
    <s v="A"/>
    <n v="2011"/>
    <x v="1592"/>
    <m/>
  </r>
  <r>
    <x v="35"/>
    <s v="EMPLOYEE"/>
    <x v="1"/>
    <s v="NBR"/>
    <s v="A"/>
    <n v="2012"/>
    <x v="1593"/>
    <m/>
  </r>
  <r>
    <x v="35"/>
    <s v="EMPLOYEE"/>
    <x v="1"/>
    <s v="NBR"/>
    <s v="A"/>
    <n v="2013"/>
    <x v="1594"/>
    <m/>
  </r>
  <r>
    <x v="35"/>
    <s v="EMPLOYEE"/>
    <x v="1"/>
    <s v="NBR"/>
    <s v="A"/>
    <n v="2014"/>
    <x v="1595"/>
    <m/>
  </r>
  <r>
    <x v="35"/>
    <s v="EMPLOYEE"/>
    <x v="1"/>
    <s v="NBR"/>
    <s v="A"/>
    <n v="2015"/>
    <x v="1596"/>
    <m/>
  </r>
  <r>
    <x v="35"/>
    <s v="EMPLOYEE"/>
    <x v="2"/>
    <s v="NBR"/>
    <s v="A"/>
    <n v="2005"/>
    <x v="1597"/>
    <m/>
  </r>
  <r>
    <x v="35"/>
    <s v="EMPLOYEE"/>
    <x v="2"/>
    <s v="NBR"/>
    <s v="A"/>
    <n v="2006"/>
    <x v="1598"/>
    <m/>
  </r>
  <r>
    <x v="35"/>
    <s v="EMPLOYEE"/>
    <x v="2"/>
    <s v="NBR"/>
    <s v="A"/>
    <n v="2007"/>
    <x v="1599"/>
    <m/>
  </r>
  <r>
    <x v="35"/>
    <s v="EMPLOYEE"/>
    <x v="2"/>
    <s v="NBR"/>
    <s v="A"/>
    <n v="2008"/>
    <x v="1600"/>
    <m/>
  </r>
  <r>
    <x v="35"/>
    <s v="EMPLOYEE"/>
    <x v="2"/>
    <s v="NBR"/>
    <s v="A"/>
    <n v="2009"/>
    <x v="1601"/>
    <m/>
  </r>
  <r>
    <x v="35"/>
    <s v="EMPLOYEE"/>
    <x v="2"/>
    <s v="NBR"/>
    <s v="A"/>
    <n v="2010"/>
    <x v="1602"/>
    <m/>
  </r>
  <r>
    <x v="35"/>
    <s v="EMPLOYEE"/>
    <x v="2"/>
    <s v="NBR"/>
    <s v="A"/>
    <n v="2011"/>
    <x v="1603"/>
    <m/>
  </r>
  <r>
    <x v="35"/>
    <s v="EMPLOYEE"/>
    <x v="2"/>
    <s v="NBR"/>
    <s v="A"/>
    <n v="2012"/>
    <x v="1604"/>
    <m/>
  </r>
  <r>
    <x v="35"/>
    <s v="EMPLOYEE"/>
    <x v="2"/>
    <s v="NBR"/>
    <s v="A"/>
    <n v="2013"/>
    <x v="1605"/>
    <m/>
  </r>
  <r>
    <x v="35"/>
    <s v="EMPLOYEE"/>
    <x v="2"/>
    <s v="NBR"/>
    <s v="A"/>
    <n v="2014"/>
    <x v="1606"/>
    <m/>
  </r>
  <r>
    <x v="35"/>
    <s v="EMPLOYEE"/>
    <x v="2"/>
    <s v="NBR"/>
    <s v="A"/>
    <n v="2015"/>
    <x v="1607"/>
    <m/>
  </r>
  <r>
    <x v="35"/>
    <s v="EMPLOYEE"/>
    <x v="3"/>
    <s v="NBR"/>
    <s v="A"/>
    <n v="2005"/>
    <x v="1608"/>
    <m/>
  </r>
  <r>
    <x v="35"/>
    <s v="EMPLOYEE"/>
    <x v="3"/>
    <s v="NBR"/>
    <s v="A"/>
    <n v="2006"/>
    <x v="1609"/>
    <m/>
  </r>
  <r>
    <x v="35"/>
    <s v="EMPLOYEE"/>
    <x v="3"/>
    <s v="NBR"/>
    <s v="A"/>
    <n v="2007"/>
    <x v="1610"/>
    <m/>
  </r>
  <r>
    <x v="35"/>
    <s v="EMPLOYEE"/>
    <x v="3"/>
    <s v="NBR"/>
    <s v="A"/>
    <n v="2008"/>
    <x v="1611"/>
    <m/>
  </r>
  <r>
    <x v="35"/>
    <s v="EMPLOYEE"/>
    <x v="3"/>
    <s v="NBR"/>
    <s v="A"/>
    <n v="2009"/>
    <x v="1612"/>
    <m/>
  </r>
  <r>
    <x v="35"/>
    <s v="EMPLOYEE"/>
    <x v="3"/>
    <s v="NBR"/>
    <s v="A"/>
    <n v="2010"/>
    <x v="1613"/>
    <m/>
  </r>
  <r>
    <x v="35"/>
    <s v="EMPLOYEE"/>
    <x v="3"/>
    <s v="NBR"/>
    <s v="A"/>
    <n v="2011"/>
    <x v="1614"/>
    <m/>
  </r>
  <r>
    <x v="35"/>
    <s v="EMPLOYEE"/>
    <x v="3"/>
    <s v="NBR"/>
    <s v="A"/>
    <n v="2012"/>
    <x v="1615"/>
    <m/>
  </r>
  <r>
    <x v="35"/>
    <s v="EMPLOYEE"/>
    <x v="3"/>
    <s v="NBR"/>
    <s v="A"/>
    <n v="2013"/>
    <x v="1616"/>
    <m/>
  </r>
  <r>
    <x v="35"/>
    <s v="EMPLOYEE"/>
    <x v="3"/>
    <s v="NBR"/>
    <s v="A"/>
    <n v="2014"/>
    <x v="1617"/>
    <m/>
  </r>
  <r>
    <x v="35"/>
    <s v="EMPLOYEE"/>
    <x v="3"/>
    <s v="NBR"/>
    <s v="A"/>
    <n v="2015"/>
    <x v="1618"/>
    <m/>
  </r>
  <r>
    <x v="35"/>
    <s v="EMPLOYEE"/>
    <x v="4"/>
    <s v="NBR"/>
    <s v="A"/>
    <n v="2005"/>
    <x v="1619"/>
    <m/>
  </r>
  <r>
    <x v="35"/>
    <s v="EMPLOYEE"/>
    <x v="4"/>
    <s v="NBR"/>
    <s v="A"/>
    <n v="2006"/>
    <x v="1620"/>
    <m/>
  </r>
  <r>
    <x v="35"/>
    <s v="EMPLOYEE"/>
    <x v="4"/>
    <s v="NBR"/>
    <s v="A"/>
    <n v="2007"/>
    <x v="1621"/>
    <m/>
  </r>
  <r>
    <x v="35"/>
    <s v="EMPLOYEE"/>
    <x v="4"/>
    <s v="NBR"/>
    <s v="A"/>
    <n v="2008"/>
    <x v="1622"/>
    <m/>
  </r>
  <r>
    <x v="35"/>
    <s v="EMPLOYEE"/>
    <x v="4"/>
    <s v="NBR"/>
    <s v="A"/>
    <n v="2009"/>
    <x v="1623"/>
    <m/>
  </r>
  <r>
    <x v="35"/>
    <s v="EMPLOYEE"/>
    <x v="4"/>
    <s v="NBR"/>
    <s v="A"/>
    <n v="2010"/>
    <x v="1624"/>
    <m/>
  </r>
  <r>
    <x v="35"/>
    <s v="EMPLOYEE"/>
    <x v="4"/>
    <s v="NBR"/>
    <s v="A"/>
    <n v="2011"/>
    <x v="1625"/>
    <m/>
  </r>
  <r>
    <x v="35"/>
    <s v="EMPLOYEE"/>
    <x v="4"/>
    <s v="NBR"/>
    <s v="A"/>
    <n v="2012"/>
    <x v="1626"/>
    <m/>
  </r>
  <r>
    <x v="35"/>
    <s v="EMPLOYEE"/>
    <x v="4"/>
    <s v="NBR"/>
    <s v="A"/>
    <n v="2013"/>
    <x v="1627"/>
    <m/>
  </r>
  <r>
    <x v="35"/>
    <s v="EMPLOYEE"/>
    <x v="4"/>
    <s v="NBR"/>
    <s v="A"/>
    <n v="2014"/>
    <x v="1628"/>
    <m/>
  </r>
  <r>
    <x v="35"/>
    <s v="EMPLOYEE"/>
    <x v="4"/>
    <s v="NBR"/>
    <s v="A"/>
    <n v="2015"/>
    <x v="1629"/>
    <m/>
  </r>
  <r>
    <x v="35"/>
    <s v="EMPLOYEE"/>
    <x v="5"/>
    <s v="NBR"/>
    <s v="A"/>
    <n v="2005"/>
    <x v="1630"/>
    <m/>
  </r>
  <r>
    <x v="35"/>
    <s v="EMPLOYEE"/>
    <x v="5"/>
    <s v="NBR"/>
    <s v="A"/>
    <n v="2006"/>
    <x v="1631"/>
    <m/>
  </r>
  <r>
    <x v="35"/>
    <s v="EMPLOYEE"/>
    <x v="5"/>
    <s v="NBR"/>
    <s v="A"/>
    <n v="2007"/>
    <x v="1632"/>
    <m/>
  </r>
  <r>
    <x v="35"/>
    <s v="EMPLOYEE"/>
    <x v="5"/>
    <s v="NBR"/>
    <s v="A"/>
    <n v="2008"/>
    <x v="1633"/>
    <m/>
  </r>
  <r>
    <x v="35"/>
    <s v="EMPLOYEE"/>
    <x v="5"/>
    <s v="NBR"/>
    <s v="A"/>
    <n v="2009"/>
    <x v="1634"/>
    <m/>
  </r>
  <r>
    <x v="35"/>
    <s v="EMPLOYEE"/>
    <x v="5"/>
    <s v="NBR"/>
    <s v="A"/>
    <n v="2010"/>
    <x v="1635"/>
    <m/>
  </r>
  <r>
    <x v="35"/>
    <s v="EMPLOYEE"/>
    <x v="5"/>
    <s v="NBR"/>
    <s v="A"/>
    <n v="2011"/>
    <x v="1636"/>
    <m/>
  </r>
  <r>
    <x v="35"/>
    <s v="EMPLOYEE"/>
    <x v="5"/>
    <s v="NBR"/>
    <s v="A"/>
    <n v="2012"/>
    <x v="1637"/>
    <m/>
  </r>
  <r>
    <x v="35"/>
    <s v="EMPLOYEE"/>
    <x v="5"/>
    <s v="NBR"/>
    <s v="A"/>
    <n v="2013"/>
    <x v="1638"/>
    <m/>
  </r>
  <r>
    <x v="35"/>
    <s v="EMPLOYEE"/>
    <x v="5"/>
    <s v="NBR"/>
    <s v="A"/>
    <n v="2014"/>
    <x v="1639"/>
    <m/>
  </r>
  <r>
    <x v="35"/>
    <s v="EMPLOYEE"/>
    <x v="5"/>
    <s v="NBR"/>
    <s v="A"/>
    <n v="2015"/>
    <x v="1640"/>
    <m/>
  </r>
  <r>
    <x v="36"/>
    <s v="EMPLOYEE"/>
    <x v="0"/>
    <s v="NBR"/>
    <s v="A"/>
    <n v="2011"/>
    <x v="1641"/>
    <m/>
  </r>
  <r>
    <x v="36"/>
    <s v="EMPLOYEE"/>
    <x v="0"/>
    <s v="NBR"/>
    <s v="A"/>
    <n v="2012"/>
    <x v="1642"/>
    <m/>
  </r>
  <r>
    <x v="36"/>
    <s v="EMPLOYEE"/>
    <x v="0"/>
    <s v="NBR"/>
    <s v="A"/>
    <n v="2013"/>
    <x v="1643"/>
    <m/>
  </r>
  <r>
    <x v="36"/>
    <s v="EMPLOYEE"/>
    <x v="0"/>
    <s v="NBR"/>
    <s v="A"/>
    <n v="2014"/>
    <x v="1644"/>
    <m/>
  </r>
  <r>
    <x v="36"/>
    <s v="EMPLOYEE"/>
    <x v="0"/>
    <s v="NBR"/>
    <s v="A"/>
    <n v="2015"/>
    <x v="1645"/>
    <m/>
  </r>
  <r>
    <x v="36"/>
    <s v="EMPLOYEE"/>
    <x v="1"/>
    <s v="NBR"/>
    <s v="A"/>
    <n v="2011"/>
    <x v="1646"/>
    <m/>
  </r>
  <r>
    <x v="36"/>
    <s v="EMPLOYEE"/>
    <x v="1"/>
    <s v="NBR"/>
    <s v="A"/>
    <n v="2012"/>
    <x v="1647"/>
    <m/>
  </r>
  <r>
    <x v="36"/>
    <s v="EMPLOYEE"/>
    <x v="1"/>
    <s v="NBR"/>
    <s v="A"/>
    <n v="2013"/>
    <x v="1648"/>
    <m/>
  </r>
  <r>
    <x v="36"/>
    <s v="EMPLOYEE"/>
    <x v="1"/>
    <s v="NBR"/>
    <s v="A"/>
    <n v="2014"/>
    <x v="1649"/>
    <m/>
  </r>
  <r>
    <x v="36"/>
    <s v="EMPLOYEE"/>
    <x v="1"/>
    <s v="NBR"/>
    <s v="A"/>
    <n v="2015"/>
    <x v="1650"/>
    <m/>
  </r>
  <r>
    <x v="36"/>
    <s v="EMPLOYEE"/>
    <x v="2"/>
    <s v="NBR"/>
    <s v="A"/>
    <n v="2011"/>
    <x v="1651"/>
    <m/>
  </r>
  <r>
    <x v="36"/>
    <s v="EMPLOYEE"/>
    <x v="2"/>
    <s v="NBR"/>
    <s v="A"/>
    <n v="2012"/>
    <x v="1652"/>
    <m/>
  </r>
  <r>
    <x v="36"/>
    <s v="EMPLOYEE"/>
    <x v="2"/>
    <s v="NBR"/>
    <s v="A"/>
    <n v="2013"/>
    <x v="1653"/>
    <m/>
  </r>
  <r>
    <x v="36"/>
    <s v="EMPLOYEE"/>
    <x v="2"/>
    <s v="NBR"/>
    <s v="A"/>
    <n v="2014"/>
    <x v="1654"/>
    <m/>
  </r>
  <r>
    <x v="36"/>
    <s v="EMPLOYEE"/>
    <x v="2"/>
    <s v="NBR"/>
    <s v="A"/>
    <n v="2015"/>
    <x v="1655"/>
    <m/>
  </r>
  <r>
    <x v="36"/>
    <s v="EMPLOYEE"/>
    <x v="3"/>
    <s v="NBR"/>
    <s v="A"/>
    <n v="2011"/>
    <x v="1656"/>
    <m/>
  </r>
  <r>
    <x v="36"/>
    <s v="EMPLOYEE"/>
    <x v="3"/>
    <s v="NBR"/>
    <s v="A"/>
    <n v="2012"/>
    <x v="1657"/>
    <m/>
  </r>
  <r>
    <x v="36"/>
    <s v="EMPLOYEE"/>
    <x v="3"/>
    <s v="NBR"/>
    <s v="A"/>
    <n v="2013"/>
    <x v="1658"/>
    <m/>
  </r>
  <r>
    <x v="36"/>
    <s v="EMPLOYEE"/>
    <x v="3"/>
    <s v="NBR"/>
    <s v="A"/>
    <n v="2014"/>
    <x v="1659"/>
    <m/>
  </r>
  <r>
    <x v="36"/>
    <s v="EMPLOYEE"/>
    <x v="3"/>
    <s v="NBR"/>
    <s v="A"/>
    <n v="2015"/>
    <x v="1660"/>
    <m/>
  </r>
  <r>
    <x v="36"/>
    <s v="EMPLOYEE"/>
    <x v="4"/>
    <s v="NBR"/>
    <s v="A"/>
    <n v="2011"/>
    <x v="1661"/>
    <m/>
  </r>
  <r>
    <x v="36"/>
    <s v="EMPLOYEE"/>
    <x v="4"/>
    <s v="NBR"/>
    <s v="A"/>
    <n v="2012"/>
    <x v="1662"/>
    <m/>
  </r>
  <r>
    <x v="36"/>
    <s v="EMPLOYEE"/>
    <x v="4"/>
    <s v="NBR"/>
    <s v="A"/>
    <n v="2013"/>
    <x v="1663"/>
    <m/>
  </r>
  <r>
    <x v="36"/>
    <s v="EMPLOYEE"/>
    <x v="4"/>
    <s v="NBR"/>
    <s v="A"/>
    <n v="2014"/>
    <x v="1664"/>
    <m/>
  </r>
  <r>
    <x v="36"/>
    <s v="EMPLOYEE"/>
    <x v="4"/>
    <s v="NBR"/>
    <s v="A"/>
    <n v="2015"/>
    <x v="1665"/>
    <m/>
  </r>
  <r>
    <x v="36"/>
    <s v="EMPLOYEE"/>
    <x v="5"/>
    <s v="NBR"/>
    <s v="A"/>
    <n v="2011"/>
    <x v="1666"/>
    <m/>
  </r>
  <r>
    <x v="36"/>
    <s v="EMPLOYEE"/>
    <x v="5"/>
    <s v="NBR"/>
    <s v="A"/>
    <n v="2012"/>
    <x v="1667"/>
    <m/>
  </r>
  <r>
    <x v="36"/>
    <s v="EMPLOYEE"/>
    <x v="5"/>
    <s v="NBR"/>
    <s v="A"/>
    <n v="2013"/>
    <x v="1668"/>
    <m/>
  </r>
  <r>
    <x v="36"/>
    <s v="EMPLOYEE"/>
    <x v="5"/>
    <s v="NBR"/>
    <s v="A"/>
    <n v="2014"/>
    <x v="1669"/>
    <m/>
  </r>
  <r>
    <x v="36"/>
    <s v="EMPLOYEE"/>
    <x v="5"/>
    <s v="NBR"/>
    <s v="A"/>
    <n v="2015"/>
    <x v="1670"/>
    <m/>
  </r>
  <r>
    <x v="37"/>
    <s v="EMPLOYEE"/>
    <x v="0"/>
    <s v="NBR"/>
    <s v="A"/>
    <n v="2008"/>
    <x v="1671"/>
    <m/>
  </r>
  <r>
    <x v="37"/>
    <s v="EMPLOYEE"/>
    <x v="0"/>
    <s v="NBR"/>
    <s v="A"/>
    <n v="2009"/>
    <x v="1672"/>
    <m/>
  </r>
  <r>
    <x v="37"/>
    <s v="EMPLOYEE"/>
    <x v="0"/>
    <s v="NBR"/>
    <s v="A"/>
    <n v="2010"/>
    <x v="1673"/>
    <m/>
  </r>
  <r>
    <x v="37"/>
    <s v="EMPLOYEE"/>
    <x v="0"/>
    <s v="NBR"/>
    <s v="A"/>
    <n v="2011"/>
    <x v="1674"/>
    <m/>
  </r>
  <r>
    <x v="37"/>
    <s v="EMPLOYEE"/>
    <x v="0"/>
    <s v="NBR"/>
    <s v="A"/>
    <n v="2012"/>
    <x v="1675"/>
    <m/>
  </r>
  <r>
    <x v="37"/>
    <s v="EMPLOYEE"/>
    <x v="0"/>
    <s v="NBR"/>
    <s v="A"/>
    <n v="2013"/>
    <x v="1676"/>
    <m/>
  </r>
  <r>
    <x v="37"/>
    <s v="EMPLOYEE"/>
    <x v="0"/>
    <s v="NBR"/>
    <s v="A"/>
    <n v="2014"/>
    <x v="1677"/>
    <m/>
  </r>
  <r>
    <x v="37"/>
    <s v="EMPLOYEE"/>
    <x v="0"/>
    <s v="NBR"/>
    <s v="A"/>
    <n v="2015"/>
    <x v="1678"/>
    <m/>
  </r>
  <r>
    <x v="37"/>
    <s v="EMPLOYEE"/>
    <x v="1"/>
    <s v="NBR"/>
    <s v="A"/>
    <n v="2008"/>
    <x v="1679"/>
    <m/>
  </r>
  <r>
    <x v="37"/>
    <s v="EMPLOYEE"/>
    <x v="1"/>
    <s v="NBR"/>
    <s v="A"/>
    <n v="2009"/>
    <x v="1680"/>
    <m/>
  </r>
  <r>
    <x v="37"/>
    <s v="EMPLOYEE"/>
    <x v="1"/>
    <s v="NBR"/>
    <s v="A"/>
    <n v="2010"/>
    <x v="1681"/>
    <m/>
  </r>
  <r>
    <x v="37"/>
    <s v="EMPLOYEE"/>
    <x v="1"/>
    <s v="NBR"/>
    <s v="A"/>
    <n v="2011"/>
    <x v="1682"/>
    <m/>
  </r>
  <r>
    <x v="37"/>
    <s v="EMPLOYEE"/>
    <x v="1"/>
    <s v="NBR"/>
    <s v="A"/>
    <n v="2012"/>
    <x v="1683"/>
    <m/>
  </r>
  <r>
    <x v="37"/>
    <s v="EMPLOYEE"/>
    <x v="1"/>
    <s v="NBR"/>
    <s v="A"/>
    <n v="2013"/>
    <x v="1684"/>
    <m/>
  </r>
  <r>
    <x v="37"/>
    <s v="EMPLOYEE"/>
    <x v="1"/>
    <s v="NBR"/>
    <s v="A"/>
    <n v="2014"/>
    <x v="1685"/>
    <m/>
  </r>
  <r>
    <x v="37"/>
    <s v="EMPLOYEE"/>
    <x v="1"/>
    <s v="NBR"/>
    <s v="A"/>
    <n v="2015"/>
    <x v="1686"/>
    <m/>
  </r>
  <r>
    <x v="37"/>
    <s v="EMPLOYEE"/>
    <x v="2"/>
    <s v="NBR"/>
    <s v="A"/>
    <n v="2008"/>
    <x v="1687"/>
    <m/>
  </r>
  <r>
    <x v="37"/>
    <s v="EMPLOYEE"/>
    <x v="2"/>
    <s v="NBR"/>
    <s v="A"/>
    <n v="2009"/>
    <x v="1688"/>
    <m/>
  </r>
  <r>
    <x v="37"/>
    <s v="EMPLOYEE"/>
    <x v="2"/>
    <s v="NBR"/>
    <s v="A"/>
    <n v="2010"/>
    <x v="1689"/>
    <m/>
  </r>
  <r>
    <x v="37"/>
    <s v="EMPLOYEE"/>
    <x v="2"/>
    <s v="NBR"/>
    <s v="A"/>
    <n v="2011"/>
    <x v="1690"/>
    <m/>
  </r>
  <r>
    <x v="37"/>
    <s v="EMPLOYEE"/>
    <x v="2"/>
    <s v="NBR"/>
    <s v="A"/>
    <n v="2012"/>
    <x v="1691"/>
    <m/>
  </r>
  <r>
    <x v="37"/>
    <s v="EMPLOYEE"/>
    <x v="2"/>
    <s v="NBR"/>
    <s v="A"/>
    <n v="2013"/>
    <x v="1692"/>
    <m/>
  </r>
  <r>
    <x v="37"/>
    <s v="EMPLOYEE"/>
    <x v="2"/>
    <s v="NBR"/>
    <s v="A"/>
    <n v="2014"/>
    <x v="1693"/>
    <m/>
  </r>
  <r>
    <x v="37"/>
    <s v="EMPLOYEE"/>
    <x v="2"/>
    <s v="NBR"/>
    <s v="A"/>
    <n v="2015"/>
    <x v="1694"/>
    <m/>
  </r>
  <r>
    <x v="37"/>
    <s v="EMPLOYEE"/>
    <x v="3"/>
    <s v="NBR"/>
    <s v="A"/>
    <n v="2008"/>
    <x v="1695"/>
    <m/>
  </r>
  <r>
    <x v="37"/>
    <s v="EMPLOYEE"/>
    <x v="3"/>
    <s v="NBR"/>
    <s v="A"/>
    <n v="2009"/>
    <x v="1696"/>
    <m/>
  </r>
  <r>
    <x v="37"/>
    <s v="EMPLOYEE"/>
    <x v="3"/>
    <s v="NBR"/>
    <s v="A"/>
    <n v="2010"/>
    <x v="1697"/>
    <m/>
  </r>
  <r>
    <x v="37"/>
    <s v="EMPLOYEE"/>
    <x v="3"/>
    <s v="NBR"/>
    <s v="A"/>
    <n v="2011"/>
    <x v="1698"/>
    <m/>
  </r>
  <r>
    <x v="37"/>
    <s v="EMPLOYEE"/>
    <x v="3"/>
    <s v="NBR"/>
    <s v="A"/>
    <n v="2012"/>
    <x v="1699"/>
    <m/>
  </r>
  <r>
    <x v="37"/>
    <s v="EMPLOYEE"/>
    <x v="3"/>
    <s v="NBR"/>
    <s v="A"/>
    <n v="2013"/>
    <x v="1700"/>
    <m/>
  </r>
  <r>
    <x v="37"/>
    <s v="EMPLOYEE"/>
    <x v="3"/>
    <s v="NBR"/>
    <s v="A"/>
    <n v="2014"/>
    <x v="1701"/>
    <m/>
  </r>
  <r>
    <x v="37"/>
    <s v="EMPLOYEE"/>
    <x v="3"/>
    <s v="NBR"/>
    <s v="A"/>
    <n v="2015"/>
    <x v="1702"/>
    <m/>
  </r>
  <r>
    <x v="37"/>
    <s v="EMPLOYEE"/>
    <x v="4"/>
    <s v="NBR"/>
    <s v="A"/>
    <n v="2008"/>
    <x v="122"/>
    <m/>
  </r>
  <r>
    <x v="37"/>
    <s v="EMPLOYEE"/>
    <x v="4"/>
    <s v="NBR"/>
    <s v="A"/>
    <n v="2009"/>
    <x v="122"/>
    <m/>
  </r>
  <r>
    <x v="37"/>
    <s v="EMPLOYEE"/>
    <x v="4"/>
    <s v="NBR"/>
    <s v="A"/>
    <n v="2010"/>
    <x v="122"/>
    <m/>
  </r>
  <r>
    <x v="37"/>
    <s v="EMPLOYEE"/>
    <x v="4"/>
    <s v="NBR"/>
    <s v="A"/>
    <n v="2011"/>
    <x v="122"/>
    <m/>
  </r>
  <r>
    <x v="37"/>
    <s v="EMPLOYEE"/>
    <x v="4"/>
    <s v="NBR"/>
    <s v="A"/>
    <n v="2012"/>
    <x v="122"/>
    <m/>
  </r>
  <r>
    <x v="37"/>
    <s v="EMPLOYEE"/>
    <x v="4"/>
    <s v="NBR"/>
    <s v="A"/>
    <n v="2013"/>
    <x v="122"/>
    <m/>
  </r>
  <r>
    <x v="37"/>
    <s v="EMPLOYEE"/>
    <x v="4"/>
    <s v="NBR"/>
    <s v="A"/>
    <n v="2014"/>
    <x v="122"/>
    <m/>
  </r>
  <r>
    <x v="37"/>
    <s v="EMPLOYEE"/>
    <x v="4"/>
    <s v="NBR"/>
    <s v="A"/>
    <n v="2015"/>
    <x v="122"/>
    <m/>
  </r>
  <r>
    <x v="37"/>
    <s v="EMPLOYEE"/>
    <x v="5"/>
    <s v="NBR"/>
    <s v="A"/>
    <n v="2008"/>
    <x v="1703"/>
    <m/>
  </r>
  <r>
    <x v="37"/>
    <s v="EMPLOYEE"/>
    <x v="5"/>
    <s v="NBR"/>
    <s v="A"/>
    <n v="2009"/>
    <x v="1704"/>
    <m/>
  </r>
  <r>
    <x v="37"/>
    <s v="EMPLOYEE"/>
    <x v="5"/>
    <s v="NBR"/>
    <s v="A"/>
    <n v="2010"/>
    <x v="1705"/>
    <m/>
  </r>
  <r>
    <x v="37"/>
    <s v="EMPLOYEE"/>
    <x v="5"/>
    <s v="NBR"/>
    <s v="A"/>
    <n v="2011"/>
    <x v="1706"/>
    <m/>
  </r>
  <r>
    <x v="37"/>
    <s v="EMPLOYEE"/>
    <x v="5"/>
    <s v="NBR"/>
    <s v="A"/>
    <n v="2012"/>
    <x v="1707"/>
    <m/>
  </r>
  <r>
    <x v="37"/>
    <s v="EMPLOYEE"/>
    <x v="5"/>
    <s v="NBR"/>
    <s v="A"/>
    <n v="2013"/>
    <x v="1708"/>
    <m/>
  </r>
  <r>
    <x v="37"/>
    <s v="EMPLOYEE"/>
    <x v="5"/>
    <s v="NBR"/>
    <s v="A"/>
    <n v="2014"/>
    <x v="1709"/>
    <m/>
  </r>
  <r>
    <x v="37"/>
    <s v="EMPLOYEE"/>
    <x v="5"/>
    <s v="NBR"/>
    <s v="A"/>
    <n v="2015"/>
    <x v="1710"/>
    <m/>
  </r>
  <r>
    <x v="38"/>
    <s v="EMPLOYEE"/>
    <x v="0"/>
    <s v="NBR"/>
    <s v="A"/>
    <n v="2008"/>
    <x v="1711"/>
    <m/>
  </r>
  <r>
    <x v="38"/>
    <s v="EMPLOYEE"/>
    <x v="0"/>
    <s v="NBR"/>
    <s v="A"/>
    <n v="2009"/>
    <x v="1712"/>
    <m/>
  </r>
  <r>
    <x v="38"/>
    <s v="EMPLOYEE"/>
    <x v="0"/>
    <s v="NBR"/>
    <s v="A"/>
    <n v="2010"/>
    <x v="1713"/>
    <m/>
  </r>
  <r>
    <x v="38"/>
    <s v="EMPLOYEE"/>
    <x v="0"/>
    <s v="NBR"/>
    <s v="A"/>
    <n v="2011"/>
    <x v="1714"/>
    <m/>
  </r>
  <r>
    <x v="38"/>
    <s v="EMPLOYEE"/>
    <x v="0"/>
    <s v="NBR"/>
    <s v="A"/>
    <n v="2012"/>
    <x v="1715"/>
    <m/>
  </r>
  <r>
    <x v="38"/>
    <s v="EMPLOYEE"/>
    <x v="0"/>
    <s v="NBR"/>
    <s v="A"/>
    <n v="2013"/>
    <x v="1716"/>
    <m/>
  </r>
  <r>
    <x v="38"/>
    <s v="EMPLOYEE"/>
    <x v="0"/>
    <s v="NBR"/>
    <s v="A"/>
    <n v="2014"/>
    <x v="1717"/>
    <m/>
  </r>
  <r>
    <x v="38"/>
    <s v="EMPLOYEE"/>
    <x v="0"/>
    <s v="NBR"/>
    <s v="A"/>
    <n v="2015"/>
    <x v="1718"/>
    <m/>
  </r>
  <r>
    <x v="38"/>
    <s v="EMPLOYEE"/>
    <x v="1"/>
    <s v="NBR"/>
    <s v="A"/>
    <n v="2008"/>
    <x v="1449"/>
    <m/>
  </r>
  <r>
    <x v="38"/>
    <s v="EMPLOYEE"/>
    <x v="1"/>
    <s v="NBR"/>
    <s v="A"/>
    <n v="2009"/>
    <x v="1719"/>
    <m/>
  </r>
  <r>
    <x v="38"/>
    <s v="EMPLOYEE"/>
    <x v="1"/>
    <s v="NBR"/>
    <s v="A"/>
    <n v="2010"/>
    <x v="1720"/>
    <m/>
  </r>
  <r>
    <x v="38"/>
    <s v="EMPLOYEE"/>
    <x v="1"/>
    <s v="NBR"/>
    <s v="A"/>
    <n v="2011"/>
    <x v="1721"/>
    <m/>
  </r>
  <r>
    <x v="38"/>
    <s v="EMPLOYEE"/>
    <x v="1"/>
    <s v="NBR"/>
    <s v="A"/>
    <n v="2012"/>
    <x v="1722"/>
    <m/>
  </r>
  <r>
    <x v="38"/>
    <s v="EMPLOYEE"/>
    <x v="1"/>
    <s v="NBR"/>
    <s v="A"/>
    <n v="2013"/>
    <x v="1723"/>
    <m/>
  </r>
  <r>
    <x v="38"/>
    <s v="EMPLOYEE"/>
    <x v="1"/>
    <s v="NBR"/>
    <s v="A"/>
    <n v="2014"/>
    <x v="1724"/>
    <m/>
  </r>
  <r>
    <x v="38"/>
    <s v="EMPLOYEE"/>
    <x v="1"/>
    <s v="NBR"/>
    <s v="A"/>
    <n v="2015"/>
    <x v="1725"/>
    <m/>
  </r>
  <r>
    <x v="38"/>
    <s v="EMPLOYEE"/>
    <x v="2"/>
    <s v="NBR"/>
    <s v="A"/>
    <n v="2008"/>
    <x v="1726"/>
    <m/>
  </r>
  <r>
    <x v="38"/>
    <s v="EMPLOYEE"/>
    <x v="2"/>
    <s v="NBR"/>
    <s v="A"/>
    <n v="2009"/>
    <x v="1727"/>
    <m/>
  </r>
  <r>
    <x v="38"/>
    <s v="EMPLOYEE"/>
    <x v="2"/>
    <s v="NBR"/>
    <s v="A"/>
    <n v="2010"/>
    <x v="1728"/>
    <m/>
  </r>
  <r>
    <x v="38"/>
    <s v="EMPLOYEE"/>
    <x v="2"/>
    <s v="NBR"/>
    <s v="A"/>
    <n v="2011"/>
    <x v="1729"/>
    <m/>
  </r>
  <r>
    <x v="38"/>
    <s v="EMPLOYEE"/>
    <x v="2"/>
    <s v="NBR"/>
    <s v="A"/>
    <n v="2012"/>
    <x v="1730"/>
    <m/>
  </r>
  <r>
    <x v="38"/>
    <s v="EMPLOYEE"/>
    <x v="2"/>
    <s v="NBR"/>
    <s v="A"/>
    <n v="2013"/>
    <x v="1731"/>
    <m/>
  </r>
  <r>
    <x v="38"/>
    <s v="EMPLOYEE"/>
    <x v="2"/>
    <s v="NBR"/>
    <s v="A"/>
    <n v="2014"/>
    <x v="1732"/>
    <m/>
  </r>
  <r>
    <x v="38"/>
    <s v="EMPLOYEE"/>
    <x v="2"/>
    <s v="NBR"/>
    <s v="A"/>
    <n v="2015"/>
    <x v="1733"/>
    <m/>
  </r>
  <r>
    <x v="38"/>
    <s v="EMPLOYEE"/>
    <x v="3"/>
    <s v="NBR"/>
    <s v="A"/>
    <n v="2008"/>
    <x v="1734"/>
    <m/>
  </r>
  <r>
    <x v="38"/>
    <s v="EMPLOYEE"/>
    <x v="3"/>
    <s v="NBR"/>
    <s v="A"/>
    <n v="2009"/>
    <x v="1735"/>
    <m/>
  </r>
  <r>
    <x v="38"/>
    <s v="EMPLOYEE"/>
    <x v="3"/>
    <s v="NBR"/>
    <s v="A"/>
    <n v="2010"/>
    <x v="1736"/>
    <m/>
  </r>
  <r>
    <x v="38"/>
    <s v="EMPLOYEE"/>
    <x v="3"/>
    <s v="NBR"/>
    <s v="A"/>
    <n v="2011"/>
    <x v="1737"/>
    <m/>
  </r>
  <r>
    <x v="38"/>
    <s v="EMPLOYEE"/>
    <x v="3"/>
    <s v="NBR"/>
    <s v="A"/>
    <n v="2012"/>
    <x v="1738"/>
    <m/>
  </r>
  <r>
    <x v="38"/>
    <s v="EMPLOYEE"/>
    <x v="3"/>
    <s v="NBR"/>
    <s v="A"/>
    <n v="2013"/>
    <x v="1739"/>
    <m/>
  </r>
  <r>
    <x v="38"/>
    <s v="EMPLOYEE"/>
    <x v="3"/>
    <s v="NBR"/>
    <s v="A"/>
    <n v="2014"/>
    <x v="1740"/>
    <m/>
  </r>
  <r>
    <x v="38"/>
    <s v="EMPLOYEE"/>
    <x v="3"/>
    <s v="NBR"/>
    <s v="A"/>
    <n v="2015"/>
    <x v="1741"/>
    <m/>
  </r>
  <r>
    <x v="38"/>
    <s v="EMPLOYEE"/>
    <x v="4"/>
    <s v="NBR"/>
    <s v="A"/>
    <n v="2008"/>
    <x v="1742"/>
    <m/>
  </r>
  <r>
    <x v="38"/>
    <s v="EMPLOYEE"/>
    <x v="4"/>
    <s v="NBR"/>
    <s v="A"/>
    <n v="2009"/>
    <x v="1743"/>
    <m/>
  </r>
  <r>
    <x v="38"/>
    <s v="EMPLOYEE"/>
    <x v="4"/>
    <s v="NBR"/>
    <s v="A"/>
    <n v="2010"/>
    <x v="1744"/>
    <m/>
  </r>
  <r>
    <x v="38"/>
    <s v="EMPLOYEE"/>
    <x v="4"/>
    <s v="NBR"/>
    <s v="A"/>
    <n v="2011"/>
    <x v="1745"/>
    <m/>
  </r>
  <r>
    <x v="38"/>
    <s v="EMPLOYEE"/>
    <x v="4"/>
    <s v="NBR"/>
    <s v="A"/>
    <n v="2012"/>
    <x v="1746"/>
    <m/>
  </r>
  <r>
    <x v="38"/>
    <s v="EMPLOYEE"/>
    <x v="4"/>
    <s v="NBR"/>
    <s v="A"/>
    <n v="2013"/>
    <x v="1747"/>
    <m/>
  </r>
  <r>
    <x v="38"/>
    <s v="EMPLOYEE"/>
    <x v="4"/>
    <s v="NBR"/>
    <s v="A"/>
    <n v="2014"/>
    <x v="1748"/>
    <m/>
  </r>
  <r>
    <x v="38"/>
    <s v="EMPLOYEE"/>
    <x v="4"/>
    <s v="NBR"/>
    <s v="A"/>
    <n v="2015"/>
    <x v="1749"/>
    <m/>
  </r>
  <r>
    <x v="38"/>
    <s v="EMPLOYEE"/>
    <x v="5"/>
    <s v="NBR"/>
    <s v="A"/>
    <n v="2008"/>
    <x v="1750"/>
    <m/>
  </r>
  <r>
    <x v="38"/>
    <s v="EMPLOYEE"/>
    <x v="5"/>
    <s v="NBR"/>
    <s v="A"/>
    <n v="2009"/>
    <x v="1751"/>
    <m/>
  </r>
  <r>
    <x v="38"/>
    <s v="EMPLOYEE"/>
    <x v="5"/>
    <s v="NBR"/>
    <s v="A"/>
    <n v="2010"/>
    <x v="1752"/>
    <m/>
  </r>
  <r>
    <x v="38"/>
    <s v="EMPLOYEE"/>
    <x v="5"/>
    <s v="NBR"/>
    <s v="A"/>
    <n v="2011"/>
    <x v="1753"/>
    <m/>
  </r>
  <r>
    <x v="38"/>
    <s v="EMPLOYEE"/>
    <x v="5"/>
    <s v="NBR"/>
    <s v="A"/>
    <n v="2012"/>
    <x v="1754"/>
    <m/>
  </r>
  <r>
    <x v="38"/>
    <s v="EMPLOYEE"/>
    <x v="5"/>
    <s v="NBR"/>
    <s v="A"/>
    <n v="2013"/>
    <x v="1755"/>
    <m/>
  </r>
  <r>
    <x v="38"/>
    <s v="EMPLOYEE"/>
    <x v="5"/>
    <s v="NBR"/>
    <s v="A"/>
    <n v="2014"/>
    <x v="1756"/>
    <m/>
  </r>
  <r>
    <x v="38"/>
    <s v="EMPLOYEE"/>
    <x v="5"/>
    <s v="NBR"/>
    <s v="A"/>
    <n v="2015"/>
    <x v="1757"/>
    <m/>
  </r>
  <r>
    <x v="39"/>
    <s v="EMPLOYEE"/>
    <x v="0"/>
    <s v="NBR"/>
    <s v="A"/>
    <n v="2008"/>
    <x v="1758"/>
    <m/>
  </r>
  <r>
    <x v="39"/>
    <s v="EMPLOYEE"/>
    <x v="0"/>
    <s v="NBR"/>
    <s v="A"/>
    <n v="2009"/>
    <x v="1759"/>
    <m/>
  </r>
  <r>
    <x v="39"/>
    <s v="EMPLOYEE"/>
    <x v="0"/>
    <s v="NBR"/>
    <s v="A"/>
    <n v="2010"/>
    <x v="1760"/>
    <m/>
  </r>
  <r>
    <x v="39"/>
    <s v="EMPLOYEE"/>
    <x v="0"/>
    <s v="NBR"/>
    <s v="A"/>
    <n v="2011"/>
    <x v="1761"/>
    <m/>
  </r>
  <r>
    <x v="39"/>
    <s v="EMPLOYEE"/>
    <x v="0"/>
    <s v="NBR"/>
    <s v="A"/>
    <n v="2012"/>
    <x v="1762"/>
    <m/>
  </r>
  <r>
    <x v="39"/>
    <s v="EMPLOYEE"/>
    <x v="0"/>
    <s v="NBR"/>
    <s v="A"/>
    <n v="2013"/>
    <x v="1763"/>
    <m/>
  </r>
  <r>
    <x v="39"/>
    <s v="EMPLOYEE"/>
    <x v="0"/>
    <s v="NBR"/>
    <s v="A"/>
    <n v="2014"/>
    <x v="1764"/>
    <m/>
  </r>
  <r>
    <x v="39"/>
    <s v="EMPLOYEE"/>
    <x v="0"/>
    <s v="NBR"/>
    <s v="A"/>
    <n v="2015"/>
    <x v="1765"/>
    <m/>
  </r>
  <r>
    <x v="39"/>
    <s v="EMPLOYEE"/>
    <x v="1"/>
    <s v="NBR"/>
    <s v="A"/>
    <n v="2008"/>
    <x v="1766"/>
    <m/>
  </r>
  <r>
    <x v="39"/>
    <s v="EMPLOYEE"/>
    <x v="1"/>
    <s v="NBR"/>
    <s v="A"/>
    <n v="2009"/>
    <x v="1767"/>
    <m/>
  </r>
  <r>
    <x v="39"/>
    <s v="EMPLOYEE"/>
    <x v="1"/>
    <s v="NBR"/>
    <s v="A"/>
    <n v="2010"/>
    <x v="1768"/>
    <m/>
  </r>
  <r>
    <x v="39"/>
    <s v="EMPLOYEE"/>
    <x v="1"/>
    <s v="NBR"/>
    <s v="A"/>
    <n v="2011"/>
    <x v="1769"/>
    <m/>
  </r>
  <r>
    <x v="39"/>
    <s v="EMPLOYEE"/>
    <x v="1"/>
    <s v="NBR"/>
    <s v="A"/>
    <n v="2012"/>
    <x v="1770"/>
    <m/>
  </r>
  <r>
    <x v="39"/>
    <s v="EMPLOYEE"/>
    <x v="1"/>
    <s v="NBR"/>
    <s v="A"/>
    <n v="2013"/>
    <x v="1771"/>
    <m/>
  </r>
  <r>
    <x v="39"/>
    <s v="EMPLOYEE"/>
    <x v="1"/>
    <s v="NBR"/>
    <s v="A"/>
    <n v="2014"/>
    <x v="1772"/>
    <m/>
  </r>
  <r>
    <x v="39"/>
    <s v="EMPLOYEE"/>
    <x v="1"/>
    <s v="NBR"/>
    <s v="A"/>
    <n v="2015"/>
    <x v="1773"/>
    <m/>
  </r>
  <r>
    <x v="39"/>
    <s v="EMPLOYEE"/>
    <x v="2"/>
    <s v="NBR"/>
    <s v="A"/>
    <n v="2008"/>
    <x v="1774"/>
    <m/>
  </r>
  <r>
    <x v="39"/>
    <s v="EMPLOYEE"/>
    <x v="2"/>
    <s v="NBR"/>
    <s v="A"/>
    <n v="2009"/>
    <x v="1775"/>
    <m/>
  </r>
  <r>
    <x v="39"/>
    <s v="EMPLOYEE"/>
    <x v="2"/>
    <s v="NBR"/>
    <s v="A"/>
    <n v="2010"/>
    <x v="1776"/>
    <m/>
  </r>
  <r>
    <x v="39"/>
    <s v="EMPLOYEE"/>
    <x v="2"/>
    <s v="NBR"/>
    <s v="A"/>
    <n v="2011"/>
    <x v="1777"/>
    <m/>
  </r>
  <r>
    <x v="39"/>
    <s v="EMPLOYEE"/>
    <x v="2"/>
    <s v="NBR"/>
    <s v="A"/>
    <n v="2012"/>
    <x v="1778"/>
    <m/>
  </r>
  <r>
    <x v="39"/>
    <s v="EMPLOYEE"/>
    <x v="2"/>
    <s v="NBR"/>
    <s v="A"/>
    <n v="2013"/>
    <x v="1779"/>
    <m/>
  </r>
  <r>
    <x v="39"/>
    <s v="EMPLOYEE"/>
    <x v="2"/>
    <s v="NBR"/>
    <s v="A"/>
    <n v="2014"/>
    <x v="1780"/>
    <m/>
  </r>
  <r>
    <x v="39"/>
    <s v="EMPLOYEE"/>
    <x v="2"/>
    <s v="NBR"/>
    <s v="A"/>
    <n v="2015"/>
    <x v="1781"/>
    <m/>
  </r>
  <r>
    <x v="39"/>
    <s v="EMPLOYEE"/>
    <x v="3"/>
    <s v="NBR"/>
    <s v="A"/>
    <n v="2008"/>
    <x v="1782"/>
    <m/>
  </r>
  <r>
    <x v="39"/>
    <s v="EMPLOYEE"/>
    <x v="3"/>
    <s v="NBR"/>
    <s v="A"/>
    <n v="2009"/>
    <x v="1783"/>
    <m/>
  </r>
  <r>
    <x v="39"/>
    <s v="EMPLOYEE"/>
    <x v="3"/>
    <s v="NBR"/>
    <s v="A"/>
    <n v="2010"/>
    <x v="1784"/>
    <m/>
  </r>
  <r>
    <x v="39"/>
    <s v="EMPLOYEE"/>
    <x v="3"/>
    <s v="NBR"/>
    <s v="A"/>
    <n v="2011"/>
    <x v="1785"/>
    <m/>
  </r>
  <r>
    <x v="39"/>
    <s v="EMPLOYEE"/>
    <x v="3"/>
    <s v="NBR"/>
    <s v="A"/>
    <n v="2012"/>
    <x v="1786"/>
    <m/>
  </r>
  <r>
    <x v="39"/>
    <s v="EMPLOYEE"/>
    <x v="3"/>
    <s v="NBR"/>
    <s v="A"/>
    <n v="2013"/>
    <x v="1787"/>
    <m/>
  </r>
  <r>
    <x v="39"/>
    <s v="EMPLOYEE"/>
    <x v="3"/>
    <s v="NBR"/>
    <s v="A"/>
    <n v="2014"/>
    <x v="1788"/>
    <m/>
  </r>
  <r>
    <x v="39"/>
    <s v="EMPLOYEE"/>
    <x v="3"/>
    <s v="NBR"/>
    <s v="A"/>
    <n v="2015"/>
    <x v="1789"/>
    <m/>
  </r>
  <r>
    <x v="39"/>
    <s v="EMPLOYEE"/>
    <x v="4"/>
    <s v="NBR"/>
    <s v="A"/>
    <n v="2008"/>
    <x v="1790"/>
    <m/>
  </r>
  <r>
    <x v="39"/>
    <s v="EMPLOYEE"/>
    <x v="4"/>
    <s v="NBR"/>
    <s v="A"/>
    <n v="2009"/>
    <x v="1791"/>
    <m/>
  </r>
  <r>
    <x v="39"/>
    <s v="EMPLOYEE"/>
    <x v="4"/>
    <s v="NBR"/>
    <s v="A"/>
    <n v="2010"/>
    <x v="1792"/>
    <m/>
  </r>
  <r>
    <x v="39"/>
    <s v="EMPLOYEE"/>
    <x v="4"/>
    <s v="NBR"/>
    <s v="A"/>
    <n v="2011"/>
    <x v="1793"/>
    <m/>
  </r>
  <r>
    <x v="39"/>
    <s v="EMPLOYEE"/>
    <x v="4"/>
    <s v="NBR"/>
    <s v="A"/>
    <n v="2012"/>
    <x v="1794"/>
    <m/>
  </r>
  <r>
    <x v="39"/>
    <s v="EMPLOYEE"/>
    <x v="4"/>
    <s v="NBR"/>
    <s v="A"/>
    <n v="2013"/>
    <x v="1795"/>
    <m/>
  </r>
  <r>
    <x v="39"/>
    <s v="EMPLOYEE"/>
    <x v="4"/>
    <s v="NBR"/>
    <s v="A"/>
    <n v="2014"/>
    <x v="1796"/>
    <m/>
  </r>
  <r>
    <x v="39"/>
    <s v="EMPLOYEE"/>
    <x v="4"/>
    <s v="NBR"/>
    <s v="A"/>
    <n v="2015"/>
    <x v="1797"/>
    <m/>
  </r>
  <r>
    <x v="39"/>
    <s v="EMPLOYEE"/>
    <x v="5"/>
    <s v="NBR"/>
    <s v="A"/>
    <n v="2008"/>
    <x v="1798"/>
    <m/>
  </r>
  <r>
    <x v="39"/>
    <s v="EMPLOYEE"/>
    <x v="5"/>
    <s v="NBR"/>
    <s v="A"/>
    <n v="2009"/>
    <x v="1799"/>
    <m/>
  </r>
  <r>
    <x v="39"/>
    <s v="EMPLOYEE"/>
    <x v="5"/>
    <s v="NBR"/>
    <s v="A"/>
    <n v="2010"/>
    <x v="1800"/>
    <m/>
  </r>
  <r>
    <x v="39"/>
    <s v="EMPLOYEE"/>
    <x v="5"/>
    <s v="NBR"/>
    <s v="A"/>
    <n v="2011"/>
    <x v="1801"/>
    <m/>
  </r>
  <r>
    <x v="39"/>
    <s v="EMPLOYEE"/>
    <x v="5"/>
    <s v="NBR"/>
    <s v="A"/>
    <n v="2012"/>
    <x v="1802"/>
    <m/>
  </r>
  <r>
    <x v="39"/>
    <s v="EMPLOYEE"/>
    <x v="5"/>
    <s v="NBR"/>
    <s v="A"/>
    <n v="2013"/>
    <x v="1803"/>
    <m/>
  </r>
  <r>
    <x v="39"/>
    <s v="EMPLOYEE"/>
    <x v="5"/>
    <s v="NBR"/>
    <s v="A"/>
    <n v="2014"/>
    <x v="1804"/>
    <m/>
  </r>
  <r>
    <x v="39"/>
    <s v="EMPLOYEE"/>
    <x v="5"/>
    <s v="NBR"/>
    <s v="A"/>
    <n v="2015"/>
    <x v="180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4" cacheId="85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4:H46" firstHeaderRow="1" firstDataRow="2" firstDataCol="1"/>
  <pivotFields count="8">
    <pivotField axis="axisRow" showAll="0">
      <items count="41">
        <item x="0"/>
        <item x="1"/>
        <item x="28"/>
        <item x="27"/>
        <item x="2"/>
        <item x="29"/>
        <item x="31"/>
        <item x="3"/>
        <item x="7"/>
        <item x="4"/>
        <item x="22"/>
        <item x="32"/>
        <item x="5"/>
        <item x="6"/>
        <item x="25"/>
        <item x="8"/>
        <item x="30"/>
        <item x="9"/>
        <item x="11"/>
        <item x="10"/>
        <item x="33"/>
        <item x="12"/>
        <item x="13"/>
        <item x="14"/>
        <item x="35"/>
        <item x="15"/>
        <item x="34"/>
        <item x="16"/>
        <item x="36"/>
        <item x="37"/>
        <item x="17"/>
        <item x="18"/>
        <item x="19"/>
        <item x="20"/>
        <item x="38"/>
        <item x="21"/>
        <item x="39"/>
        <item x="23"/>
        <item x="24"/>
        <item x="26"/>
        <item t="default"/>
      </items>
    </pivotField>
    <pivotField showAll="0"/>
    <pivotField axis="axisCol" showAll="0">
      <items count="7">
        <item x="1"/>
        <item x="2"/>
        <item x="3"/>
        <item x="4"/>
        <item x="5"/>
        <item h="1" x="0"/>
        <item t="default"/>
      </items>
    </pivotField>
    <pivotField showAll="0"/>
    <pivotField showAll="0"/>
    <pivotField showAll="0"/>
    <pivotField dataField="1" showAll="0">
      <items count="1807">
        <item x="122"/>
        <item x="1709"/>
        <item x="1689"/>
        <item x="1691"/>
        <item x="710"/>
        <item x="1702"/>
        <item x="717"/>
        <item x="1695"/>
        <item x="712"/>
        <item x="709"/>
        <item x="716"/>
        <item x="1698"/>
        <item x="1704"/>
        <item x="708"/>
        <item x="714"/>
        <item x="711"/>
        <item x="713"/>
        <item x="707"/>
        <item x="706"/>
        <item x="1684"/>
        <item x="704"/>
        <item x="705"/>
        <item x="703"/>
        <item x="715"/>
        <item x="702"/>
        <item x="1697"/>
        <item x="1682"/>
        <item x="1688"/>
        <item x="1685"/>
        <item x="1692"/>
        <item x="1687"/>
        <item x="1693"/>
        <item x="1694"/>
        <item x="1690"/>
        <item x="1701"/>
        <item x="1679"/>
        <item x="503"/>
        <item x="719"/>
        <item x="718"/>
        <item x="1681"/>
        <item x="720"/>
        <item x="1680"/>
        <item x="721"/>
        <item x="1699"/>
        <item x="1683"/>
        <item x="722"/>
        <item x="1700"/>
        <item x="1686"/>
        <item x="502"/>
        <item x="1696"/>
        <item x="736"/>
        <item x="725"/>
        <item x="724"/>
        <item x="723"/>
        <item x="738"/>
        <item x="1432"/>
        <item x="1433"/>
        <item x="734"/>
        <item x="504"/>
        <item x="1434"/>
        <item x="737"/>
        <item x="1417"/>
        <item x="1418"/>
        <item x="1426"/>
        <item x="1674"/>
        <item x="1416"/>
        <item x="1431"/>
        <item x="1425"/>
        <item x="1780"/>
        <item x="1424"/>
        <item x="1430"/>
        <item x="1415"/>
        <item x="735"/>
        <item x="1703"/>
        <item x="1412"/>
        <item x="1411"/>
        <item x="1413"/>
        <item x="1428"/>
        <item x="1427"/>
        <item x="1429"/>
        <item x="1708"/>
        <item x="1706"/>
        <item x="1414"/>
        <item x="1707"/>
        <item x="1673"/>
        <item x="1705"/>
        <item x="1423"/>
        <item x="1675"/>
        <item x="1422"/>
        <item x="1710"/>
        <item x="1677"/>
        <item x="1441"/>
        <item x="1420"/>
        <item x="1419"/>
        <item x="506"/>
        <item x="1421"/>
        <item x="1440"/>
        <item x="1442"/>
        <item x="1439"/>
        <item x="505"/>
        <item x="1438"/>
        <item x="1437"/>
        <item x="1410"/>
        <item x="1461"/>
        <item x="1654"/>
        <item x="1436"/>
        <item x="1317"/>
        <item x="1671"/>
        <item x="1409"/>
        <item x="1460"/>
        <item x="1435"/>
        <item x="1463"/>
        <item x="1464"/>
        <item x="1465"/>
        <item x="1462"/>
        <item x="1653"/>
        <item x="1651"/>
        <item x="1672"/>
        <item x="1655"/>
        <item x="1408"/>
        <item x="740"/>
        <item x="1322"/>
        <item x="1652"/>
        <item x="1466"/>
        <item x="1320"/>
        <item x="1407"/>
        <item x="1406"/>
        <item x="1676"/>
        <item x="739"/>
        <item x="1319"/>
        <item x="741"/>
        <item x="1405"/>
        <item x="1404"/>
        <item x="1318"/>
        <item x="1403"/>
        <item x="1459"/>
        <item x="1788"/>
        <item x="1452"/>
        <item x="1547"/>
        <item x="1549"/>
        <item x="1546"/>
        <item x="1544"/>
        <item x="1454"/>
        <item x="1545"/>
        <item x="1548"/>
        <item x="528"/>
        <item x="1678"/>
        <item x="1550"/>
        <item x="527"/>
        <item x="529"/>
        <item x="1453"/>
        <item x="1451"/>
        <item x="526"/>
        <item x="530"/>
        <item x="1455"/>
        <item x="1538"/>
        <item x="1456"/>
        <item x="525"/>
        <item x="1776"/>
        <item x="1777"/>
        <item x="1779"/>
        <item x="1457"/>
        <item x="1775"/>
        <item x="1778"/>
        <item x="427"/>
        <item x="1458"/>
        <item x="524"/>
        <item x="1774"/>
        <item x="1781"/>
        <item x="1587"/>
        <item x="1586"/>
        <item x="1588"/>
        <item x="1646"/>
        <item x="1658"/>
        <item x="1536"/>
        <item x="1535"/>
        <item x="1603"/>
        <item x="1589"/>
        <item x="1537"/>
        <item x="1657"/>
        <item x="1659"/>
        <item x="1648"/>
        <item x="1647"/>
        <item x="1539"/>
        <item x="1660"/>
        <item x="1649"/>
        <item x="1543"/>
        <item x="1602"/>
        <item x="1591"/>
        <item x="1592"/>
        <item x="426"/>
        <item x="523"/>
        <item x="1604"/>
        <item x="1540"/>
        <item x="1590"/>
        <item x="1650"/>
        <item x="1470"/>
        <item x="960"/>
        <item x="1656"/>
        <item x="1605"/>
        <item x="1593"/>
        <item x="519"/>
        <item x="961"/>
        <item x="520"/>
        <item x="518"/>
        <item x="1594"/>
        <item x="1469"/>
        <item x="521"/>
        <item x="517"/>
        <item x="1606"/>
        <item x="1607"/>
        <item x="1468"/>
        <item x="1471"/>
        <item x="1601"/>
        <item x="1473"/>
        <item x="1542"/>
        <item x="1474"/>
        <item x="522"/>
        <item x="1472"/>
        <item x="1595"/>
        <item x="1541"/>
        <item x="1786"/>
        <item x="1596"/>
        <item x="1597"/>
        <item x="516"/>
        <item x="1599"/>
        <item x="830"/>
        <item x="1787"/>
        <item x="1553"/>
        <item x="1598"/>
        <item x="1600"/>
        <item x="1784"/>
        <item x="829"/>
        <item x="1785"/>
        <item x="1789"/>
        <item x="831"/>
        <item x="731"/>
        <item x="828"/>
        <item x="733"/>
        <item x="732"/>
        <item x="730"/>
        <item x="1554"/>
        <item x="826"/>
        <item x="827"/>
        <item x="728"/>
        <item x="973"/>
        <item x="515"/>
        <item x="823"/>
        <item x="1556"/>
        <item x="1552"/>
        <item x="729"/>
        <item x="1467"/>
        <item x="822"/>
        <item x="421"/>
        <item x="1769"/>
        <item x="727"/>
        <item x="1770"/>
        <item x="1768"/>
        <item x="1771"/>
        <item x="1557"/>
        <item x="1555"/>
        <item x="1772"/>
        <item x="1558"/>
        <item x="1783"/>
        <item x="821"/>
        <item x="825"/>
        <item x="535"/>
        <item x="1369"/>
        <item x="1767"/>
        <item x="972"/>
        <item x="824"/>
        <item x="820"/>
        <item x="537"/>
        <item x="536"/>
        <item x="534"/>
        <item x="1766"/>
        <item x="1368"/>
        <item x="1773"/>
        <item x="1370"/>
        <item x="1366"/>
        <item x="819"/>
        <item x="425"/>
        <item x="1367"/>
        <item x="533"/>
        <item x="237"/>
        <item x="726"/>
        <item x="818"/>
        <item x="538"/>
        <item x="233"/>
        <item x="424"/>
        <item x="1782"/>
        <item x="288"/>
        <item x="234"/>
        <item x="816"/>
        <item x="290"/>
        <item x="817"/>
        <item x="501"/>
        <item x="422"/>
        <item x="227"/>
        <item x="1365"/>
        <item x="532"/>
        <item x="232"/>
        <item x="423"/>
        <item x="1364"/>
        <item x="969"/>
        <item x="289"/>
        <item x="236"/>
        <item x="231"/>
        <item x="228"/>
        <item x="229"/>
        <item x="1363"/>
        <item x="1339"/>
        <item x="1477"/>
        <item x="287"/>
        <item x="1551"/>
        <item x="285"/>
        <item x="242"/>
        <item x="230"/>
        <item x="241"/>
        <item x="284"/>
        <item x="286"/>
        <item x="964"/>
        <item x="962"/>
        <item x="974"/>
        <item x="238"/>
        <item x="240"/>
        <item x="282"/>
        <item x="1566"/>
        <item x="235"/>
        <item x="239"/>
        <item x="281"/>
        <item x="283"/>
        <item x="1561"/>
        <item x="1478"/>
        <item x="1476"/>
        <item x="963"/>
        <item x="1479"/>
        <item x="1508"/>
        <item x="1560"/>
        <item x="971"/>
        <item x="1507"/>
        <item x="280"/>
        <item x="1401"/>
        <item x="1480"/>
        <item x="1506"/>
        <item x="1503"/>
        <item x="1505"/>
        <item x="1402"/>
        <item x="1661"/>
        <item x="1504"/>
        <item x="428"/>
        <item x="1565"/>
        <item x="1400"/>
        <item x="965"/>
        <item x="279"/>
        <item x="1613"/>
        <item x="1662"/>
        <item x="1482"/>
        <item x="1614"/>
        <item x="966"/>
        <item x="531"/>
        <item x="1563"/>
        <item x="1481"/>
        <item x="1562"/>
        <item x="1328"/>
        <item x="278"/>
        <item x="435"/>
        <item x="277"/>
        <item x="1615"/>
        <item x="1663"/>
        <item x="434"/>
        <item x="967"/>
        <item x="1564"/>
        <item x="68"/>
        <item x="1323"/>
        <item x="1612"/>
        <item x="1617"/>
        <item x="276"/>
        <item x="1616"/>
        <item x="975"/>
        <item x="1376"/>
        <item x="1618"/>
        <item x="1399"/>
        <item x="1326"/>
        <item x="1375"/>
        <item x="1377"/>
        <item x="60"/>
        <item x="970"/>
        <item x="275"/>
        <item x="66"/>
        <item x="1378"/>
        <item x="67"/>
        <item x="1373"/>
        <item x="61"/>
        <item x="1374"/>
        <item x="1360"/>
        <item x="838"/>
        <item x="1362"/>
        <item x="65"/>
        <item x="1398"/>
        <item x="59"/>
        <item x="837"/>
        <item x="835"/>
        <item x="968"/>
        <item x="1359"/>
        <item x="1325"/>
        <item x="1475"/>
        <item x="976"/>
        <item x="1358"/>
        <item x="836"/>
        <item x="1371"/>
        <item x="701"/>
        <item x="700"/>
        <item x="1498"/>
        <item x="839"/>
        <item x="64"/>
        <item x="1372"/>
        <item x="1397"/>
        <item x="699"/>
        <item x="1497"/>
        <item x="696"/>
        <item x="1396"/>
        <item x="1501"/>
        <item x="1499"/>
        <item x="1500"/>
        <item x="698"/>
        <item x="982"/>
        <item x="695"/>
        <item x="983"/>
        <item x="1361"/>
        <item x="978"/>
        <item x="697"/>
        <item x="1395"/>
        <item x="1502"/>
        <item x="1357"/>
        <item x="1324"/>
        <item x="834"/>
        <item x="436"/>
        <item x="1355"/>
        <item x="833"/>
        <item x="694"/>
        <item x="62"/>
        <item x="1559"/>
        <item x="1356"/>
        <item x="977"/>
        <item x="832"/>
        <item x="58"/>
        <item x="433"/>
        <item x="1670"/>
        <item x="1669"/>
        <item x="981"/>
        <item x="55"/>
        <item x="1611"/>
        <item x="1664"/>
        <item x="1608"/>
        <item x="1609"/>
        <item x="23"/>
        <item x="22"/>
        <item x="1485"/>
        <item x="57"/>
        <item x="1667"/>
        <item x="63"/>
        <item x="15"/>
        <item x="980"/>
        <item x="13"/>
        <item x="1068"/>
        <item x="1610"/>
        <item x="21"/>
        <item x="14"/>
        <item x="1285"/>
        <item x="432"/>
        <item x="12"/>
        <item x="1283"/>
        <item x="1284"/>
        <item x="1666"/>
        <item x="20"/>
        <item x="1067"/>
        <item x="1668"/>
        <item x="245"/>
        <item x="1484"/>
        <item x="19"/>
        <item x="1286"/>
        <item x="979"/>
        <item x="1568"/>
        <item x="297"/>
        <item x="11"/>
        <item x="298"/>
        <item x="18"/>
        <item x="56"/>
        <item x="1066"/>
        <item x="293"/>
        <item x="294"/>
        <item x="1665"/>
        <item x="295"/>
        <item x="17"/>
        <item x="1569"/>
        <item x="1486"/>
        <item x="296"/>
        <item x="1065"/>
        <item x="1282"/>
        <item x="10"/>
        <item x="1063"/>
        <item x="16"/>
        <item x="9"/>
        <item x="1281"/>
        <item x="1064"/>
        <item x="1488"/>
        <item x="1487"/>
        <item x="431"/>
        <item x="244"/>
        <item x="292"/>
        <item x="474"/>
        <item x="248"/>
        <item x="249"/>
        <item x="1489"/>
        <item x="1570"/>
        <item x="250"/>
        <item x="8"/>
        <item x="475"/>
        <item x="1490"/>
        <item x="430"/>
        <item x="247"/>
        <item x="473"/>
        <item x="1062"/>
        <item x="1276"/>
        <item x="476"/>
        <item x="1512"/>
        <item x="291"/>
        <item x="1274"/>
        <item x="1275"/>
        <item x="1574"/>
        <item x="246"/>
        <item x="1571"/>
        <item x="1510"/>
        <item x="429"/>
        <item x="1511"/>
        <item x="470"/>
        <item x="1513"/>
        <item x="472"/>
        <item x="1278"/>
        <item x="1277"/>
        <item x="1509"/>
        <item x="1280"/>
        <item x="471"/>
        <item x="1273"/>
        <item x="1572"/>
        <item x="1573"/>
        <item x="1514"/>
        <item x="1483"/>
        <item x="1279"/>
        <item x="243"/>
        <item x="1271"/>
        <item x="552"/>
        <item x="551"/>
        <item x="1272"/>
        <item x="469"/>
        <item x="550"/>
        <item x="549"/>
        <item x="1061"/>
        <item x="553"/>
        <item x="1624"/>
        <item x="1804"/>
        <item x="1060"/>
        <item x="1567"/>
        <item x="554"/>
        <item x="1059"/>
        <item x="1803"/>
        <item x="1058"/>
        <item x="783"/>
        <item x="1057"/>
        <item x="1802"/>
        <item x="1805"/>
        <item x="781"/>
        <item x="782"/>
        <item x="1625"/>
        <item x="1056"/>
        <item x="1623"/>
        <item x="548"/>
        <item x="1801"/>
        <item x="193"/>
        <item x="194"/>
        <item x="780"/>
        <item x="192"/>
        <item x="1626"/>
        <item x="1800"/>
        <item x="778"/>
        <item x="443"/>
        <item x="1345"/>
        <item x="1055"/>
        <item x="191"/>
        <item x="779"/>
        <item x="442"/>
        <item x="441"/>
        <item x="1799"/>
        <item x="448"/>
        <item x="444"/>
        <item x="1627"/>
        <item x="452"/>
        <item x="547"/>
        <item x="451"/>
        <item x="449"/>
        <item x="190"/>
        <item x="769"/>
        <item x="851"/>
        <item x="189"/>
        <item x="467"/>
        <item x="768"/>
        <item x="420"/>
        <item x="468"/>
        <item x="466"/>
        <item x="186"/>
        <item x="464"/>
        <item x="75"/>
        <item x="852"/>
        <item x="185"/>
        <item x="1075"/>
        <item x="853"/>
        <item x="850"/>
        <item x="1074"/>
        <item x="775"/>
        <item x="465"/>
        <item x="74"/>
        <item x="776"/>
        <item x="773"/>
        <item x="184"/>
        <item x="1071"/>
        <item x="450"/>
        <item x="1329"/>
        <item x="772"/>
        <item x="854"/>
        <item x="1798"/>
        <item x="1070"/>
        <item x="463"/>
        <item x="1073"/>
        <item x="25"/>
        <item x="27"/>
        <item x="440"/>
        <item x="26"/>
        <item x="1072"/>
        <item x="28"/>
        <item x="73"/>
        <item x="1628"/>
        <item x="30"/>
        <item x="777"/>
        <item x="462"/>
        <item x="1635"/>
        <item x="480"/>
        <item x="31"/>
        <item x="855"/>
        <item x="849"/>
        <item x="188"/>
        <item x="1629"/>
        <item x="447"/>
        <item x="29"/>
        <item x="774"/>
        <item x="71"/>
        <item x="183"/>
        <item x="182"/>
        <item x="187"/>
        <item x="72"/>
        <item x="24"/>
        <item x="1332"/>
        <item x="1330"/>
        <item x="771"/>
        <item x="479"/>
        <item x="481"/>
        <item x="70"/>
        <item x="1334"/>
        <item x="1733"/>
        <item x="1392"/>
        <item x="1634"/>
        <item x="1393"/>
        <item x="1331"/>
        <item x="1394"/>
        <item x="181"/>
        <item x="1637"/>
        <item x="482"/>
        <item x="848"/>
        <item x="1638"/>
        <item x="1636"/>
        <item x="461"/>
        <item x="1732"/>
        <item x="1069"/>
        <item x="1639"/>
        <item x="1391"/>
        <item x="1728"/>
        <item x="445"/>
        <item x="180"/>
        <item x="483"/>
        <item x="1730"/>
        <item x="1390"/>
        <item x="1622"/>
        <item x="69"/>
        <item x="770"/>
        <item x="1640"/>
        <item x="446"/>
        <item x="179"/>
        <item x="1731"/>
        <item x="484"/>
        <item x="478"/>
        <item x="925"/>
        <item x="1797"/>
        <item x="1388"/>
        <item x="1389"/>
        <item x="1729"/>
        <item x="926"/>
        <item x="1795"/>
        <item x="1796"/>
        <item x="541"/>
        <item x="927"/>
        <item x="439"/>
        <item x="542"/>
        <item x="543"/>
        <item x="438"/>
        <item x="924"/>
        <item x="1291"/>
        <item x="1794"/>
        <item x="1793"/>
        <item x="1292"/>
        <item x="540"/>
        <item x="1726"/>
        <item x="261"/>
        <item x="1727"/>
        <item x="544"/>
        <item x="1792"/>
        <item x="477"/>
        <item x="1293"/>
        <item x="1387"/>
        <item x="1290"/>
        <item x="1633"/>
        <item x="1289"/>
        <item x="314"/>
        <item x="1722"/>
        <item x="260"/>
        <item x="1294"/>
        <item x="416"/>
        <item x="1725"/>
        <item x="923"/>
        <item x="313"/>
        <item x="437"/>
        <item x="545"/>
        <item x="309"/>
        <item x="1621"/>
        <item x="1724"/>
        <item x="312"/>
        <item x="1791"/>
        <item x="1721"/>
        <item x="419"/>
        <item x="418"/>
        <item x="310"/>
        <item x="922"/>
        <item x="1632"/>
        <item x="1723"/>
        <item x="311"/>
        <item x="1630"/>
        <item x="842"/>
        <item x="308"/>
        <item x="843"/>
        <item x="1631"/>
        <item x="873"/>
        <item x="539"/>
        <item x="921"/>
        <item x="1288"/>
        <item x="1720"/>
        <item x="1385"/>
        <item x="841"/>
        <item x="546"/>
        <item x="1620"/>
        <item x="844"/>
        <item x="918"/>
        <item x="917"/>
        <item x="919"/>
        <item x="790"/>
        <item x="791"/>
        <item x="1386"/>
        <item x="789"/>
        <item x="417"/>
        <item x="263"/>
        <item x="1619"/>
        <item x="920"/>
        <item x="916"/>
        <item x="1445"/>
        <item x="262"/>
        <item x="874"/>
        <item x="264"/>
        <item x="788"/>
        <item x="415"/>
        <item x="1287"/>
        <item x="847"/>
        <item x="787"/>
        <item x="1383"/>
        <item x="845"/>
        <item x="786"/>
        <item x="307"/>
        <item x="1444"/>
        <item x="266"/>
        <item x="265"/>
        <item x="846"/>
        <item x="1384"/>
        <item x="1446"/>
        <item x="915"/>
        <item x="1719"/>
        <item x="875"/>
        <item x="872"/>
        <item x="1333"/>
        <item x="1790"/>
        <item x="1642"/>
        <item x="997"/>
        <item x="996"/>
        <item x="1447"/>
        <item x="1382"/>
        <item x="1641"/>
        <item x="914"/>
        <item x="1381"/>
        <item x="1448"/>
        <item x="414"/>
        <item x="1643"/>
        <item x="259"/>
        <item x="995"/>
        <item x="993"/>
        <item x="840"/>
        <item x="994"/>
        <item x="998"/>
        <item x="913"/>
        <item x="1449"/>
        <item x="785"/>
        <item x="413"/>
        <item x="1529"/>
        <item x="1524"/>
        <item x="1523"/>
        <item x="1528"/>
        <item x="876"/>
        <item x="1522"/>
        <item x="1450"/>
        <item x="1644"/>
        <item x="879"/>
        <item x="1525"/>
        <item x="1521"/>
        <item x="999"/>
        <item x="877"/>
        <item x="1530"/>
        <item x="912"/>
        <item x="201"/>
        <item x="1380"/>
        <item x="202"/>
        <item x="1526"/>
        <item x="200"/>
        <item x="1645"/>
        <item x="197"/>
        <item x="784"/>
        <item x="1534"/>
        <item x="1531"/>
        <item x="199"/>
        <item x="992"/>
        <item x="198"/>
        <item x="878"/>
        <item x="933"/>
        <item x="932"/>
        <item x="1532"/>
        <item x="196"/>
        <item x="1533"/>
        <item x="1443"/>
        <item x="934"/>
        <item x="89"/>
        <item x="935"/>
        <item x="88"/>
        <item x="1379"/>
        <item x="931"/>
        <item x="938"/>
        <item x="253"/>
        <item x="940"/>
        <item x="941"/>
        <item x="939"/>
        <item x="195"/>
        <item x="87"/>
        <item x="942"/>
        <item x="84"/>
        <item x="937"/>
        <item x="85"/>
        <item x="1089"/>
        <item x="86"/>
        <item x="930"/>
        <item x="252"/>
        <item x="1088"/>
        <item x="1087"/>
        <item x="1740"/>
        <item x="943"/>
        <item x="929"/>
        <item x="1085"/>
        <item x="1741"/>
        <item x="1527"/>
        <item x="83"/>
        <item x="1739"/>
        <item x="1736"/>
        <item x="1086"/>
        <item x="1084"/>
        <item x="1520"/>
        <item x="936"/>
        <item x="1519"/>
        <item x="1515"/>
        <item x="1737"/>
        <item x="1738"/>
        <item x="1735"/>
        <item x="928"/>
        <item x="1517"/>
        <item x="1516"/>
        <item x="1518"/>
        <item x="750"/>
        <item x="42"/>
        <item x="1321"/>
        <item x="45"/>
        <item x="47"/>
        <item x="749"/>
        <item x="46"/>
        <item x="306"/>
        <item x="44"/>
        <item x="43"/>
        <item x="41"/>
        <item x="1083"/>
        <item x="256"/>
        <item x="1022"/>
        <item x="305"/>
        <item x="40"/>
        <item x="1141"/>
        <item x="304"/>
        <item x="257"/>
        <item x="1300"/>
        <item x="1023"/>
        <item x="1297"/>
        <item x="495"/>
        <item x="258"/>
        <item x="498"/>
        <item x="499"/>
        <item x="1299"/>
        <item x="255"/>
        <item x="1734"/>
        <item x="1341"/>
        <item x="254"/>
        <item x="511"/>
        <item x="1144"/>
        <item x="1342"/>
        <item x="494"/>
        <item x="497"/>
        <item x="1298"/>
        <item x="500"/>
        <item x="496"/>
        <item x="512"/>
        <item x="510"/>
        <item x="1308"/>
        <item x="1307"/>
        <item x="1145"/>
        <item x="303"/>
        <item x="1580"/>
        <item x="509"/>
        <item x="1309"/>
        <item x="1310"/>
        <item x="138"/>
        <item x="1306"/>
        <item x="1143"/>
        <item x="1301"/>
        <item x="1764"/>
        <item x="1763"/>
        <item x="137"/>
        <item x="136"/>
        <item x="251"/>
        <item x="1305"/>
        <item x="1296"/>
        <item x="132"/>
        <item x="1765"/>
        <item x="133"/>
        <item x="1142"/>
        <item x="1762"/>
        <item x="1581"/>
        <item x="1021"/>
        <item x="131"/>
        <item x="134"/>
        <item x="302"/>
        <item x="1343"/>
        <item x="1302"/>
        <item x="135"/>
        <item x="869"/>
        <item x="513"/>
        <item x="745"/>
        <item x="1761"/>
        <item x="301"/>
        <item x="121"/>
        <item x="1579"/>
        <item x="120"/>
        <item x="1582"/>
        <item x="1140"/>
        <item x="331"/>
        <item x="508"/>
        <item x="1760"/>
        <item x="119"/>
        <item x="493"/>
        <item x="118"/>
        <item x="1020"/>
        <item x="1344"/>
        <item x="1304"/>
        <item x="1583"/>
        <item x="870"/>
        <item x="1139"/>
        <item x="117"/>
        <item x="335"/>
        <item x="868"/>
        <item x="949"/>
        <item x="986"/>
        <item x="514"/>
        <item x="116"/>
        <item x="948"/>
        <item x="130"/>
        <item x="115"/>
        <item x="1759"/>
        <item x="985"/>
        <item x="300"/>
        <item x="330"/>
        <item x="1584"/>
        <item x="114"/>
        <item x="334"/>
        <item x="950"/>
        <item x="1327"/>
        <item x="1335"/>
        <item x="989"/>
        <item x="1585"/>
        <item x="129"/>
        <item x="947"/>
        <item x="1295"/>
        <item x="946"/>
        <item x="987"/>
        <item x="990"/>
        <item x="871"/>
        <item x="113"/>
        <item x="988"/>
        <item x="1336"/>
        <item x="951"/>
        <item x="128"/>
        <item x="127"/>
        <item x="126"/>
        <item x="112"/>
        <item x="867"/>
        <item x="866"/>
        <item x="332"/>
        <item x="802"/>
        <item x="1019"/>
        <item x="1346"/>
        <item x="125"/>
        <item x="798"/>
        <item x="991"/>
        <item x="806"/>
        <item x="124"/>
        <item x="945"/>
        <item x="110"/>
        <item x="111"/>
        <item x="507"/>
        <item x="123"/>
        <item x="805"/>
        <item x="799"/>
        <item x="796"/>
        <item x="807"/>
        <item x="803"/>
        <item x="887"/>
        <item x="1134"/>
        <item x="333"/>
        <item x="797"/>
        <item x="109"/>
        <item x="299"/>
        <item x="77"/>
        <item x="884"/>
        <item x="1337"/>
        <item x="801"/>
        <item x="885"/>
        <item x="886"/>
        <item x="804"/>
        <item x="882"/>
        <item x="883"/>
        <item x="1018"/>
        <item x="108"/>
        <item x="795"/>
        <item x="329"/>
        <item x="107"/>
        <item x="1758"/>
        <item x="1138"/>
        <item x="864"/>
        <item x="1578"/>
        <item x="1136"/>
        <item x="794"/>
        <item x="1303"/>
        <item x="82"/>
        <item x="811"/>
        <item x="800"/>
        <item x="106"/>
        <item x="1338"/>
        <item x="810"/>
        <item x="812"/>
        <item x="865"/>
        <item x="881"/>
        <item x="1135"/>
        <item x="944"/>
        <item x="1137"/>
        <item x="813"/>
        <item x="793"/>
        <item x="81"/>
        <item x="80"/>
        <item x="880"/>
        <item x="814"/>
        <item x="78"/>
        <item x="815"/>
        <item x="809"/>
        <item x="79"/>
        <item x="1017"/>
        <item x="752"/>
        <item x="753"/>
        <item x="1577"/>
        <item x="984"/>
        <item x="1340"/>
        <item x="1014"/>
        <item x="792"/>
        <item x="1015"/>
        <item x="1353"/>
        <item x="751"/>
        <item x="412"/>
        <item x="1354"/>
        <item x="411"/>
        <item x="1575"/>
        <item x="1576"/>
        <item x="1352"/>
        <item x="1351"/>
        <item x="1133"/>
        <item x="808"/>
        <item x="410"/>
        <item x="1013"/>
        <item x="1350"/>
        <item x="76"/>
        <item x="1349"/>
        <item x="748"/>
        <item x="408"/>
        <item x="1082"/>
        <item x="409"/>
        <item x="1012"/>
        <item x="328"/>
        <item x="1030"/>
        <item x="1348"/>
        <item x="1016"/>
        <item x="1081"/>
        <item x="1029"/>
        <item x="34"/>
        <item x="486"/>
        <item x="487"/>
        <item x="33"/>
        <item x="366"/>
        <item x="35"/>
        <item x="1132"/>
        <item x="221"/>
        <item x="1080"/>
        <item x="1078"/>
        <item x="1031"/>
        <item x="1077"/>
        <item x="1079"/>
        <item x="1028"/>
        <item x="36"/>
        <item x="1011"/>
        <item x="488"/>
        <item x="489"/>
        <item x="490"/>
        <item x="37"/>
        <item x="1347"/>
        <item x="32"/>
        <item x="38"/>
        <item x="407"/>
        <item x="220"/>
        <item x="39"/>
        <item x="491"/>
        <item x="1009"/>
        <item x="1104"/>
        <item x="1147"/>
        <item x="214"/>
        <item x="216"/>
        <item x="218"/>
        <item x="1010"/>
        <item x="406"/>
        <item x="215"/>
        <item x="1752"/>
        <item x="217"/>
        <item x="1027"/>
        <item x="1152"/>
        <item x="213"/>
        <item x="325"/>
        <item x="1148"/>
        <item x="1149"/>
        <item x="1151"/>
        <item x="405"/>
        <item x="1076"/>
        <item x="274"/>
        <item x="342"/>
        <item x="1756"/>
        <item x="1146"/>
        <item x="1150"/>
        <item x="341"/>
        <item x="1755"/>
        <item x="1754"/>
        <item x="1757"/>
        <item x="212"/>
        <item x="273"/>
        <item x="485"/>
        <item x="492"/>
        <item x="272"/>
        <item x="1751"/>
        <item x="1753"/>
        <item x="326"/>
        <item x="224"/>
        <item x="340"/>
        <item x="1008"/>
        <item x="365"/>
        <item x="225"/>
        <item x="271"/>
        <item x="327"/>
        <item x="223"/>
        <item x="1026"/>
        <item x="226"/>
        <item x="222"/>
        <item x="338"/>
        <item x="1495"/>
        <item x="337"/>
        <item x="339"/>
        <item x="270"/>
        <item x="269"/>
        <item x="1491"/>
        <item x="1494"/>
        <item x="1492"/>
        <item x="1493"/>
        <item x="1496"/>
        <item x="372"/>
        <item x="336"/>
        <item x="369"/>
        <item x="211"/>
        <item x="322"/>
        <item x="370"/>
        <item x="368"/>
        <item x="371"/>
        <item x="953"/>
        <item x="219"/>
        <item x="367"/>
        <item x="268"/>
        <item x="1025"/>
        <item x="957"/>
        <item x="954"/>
        <item x="746"/>
        <item x="747"/>
        <item x="956"/>
        <item x="958"/>
        <item x="955"/>
        <item x="661"/>
        <item x="1750"/>
        <item x="323"/>
        <item x="267"/>
        <item x="1045"/>
        <item x="660"/>
        <item x="959"/>
        <item x="1046"/>
        <item x="164"/>
        <item x="163"/>
        <item x="658"/>
        <item x="663"/>
        <item x="1047"/>
        <item x="1044"/>
        <item x="165"/>
        <item x="170"/>
        <item x="169"/>
        <item x="167"/>
        <item x="168"/>
        <item x="662"/>
        <item x="1105"/>
        <item x="166"/>
        <item x="665"/>
        <item x="952"/>
        <item x="659"/>
        <item x="664"/>
        <item x="1043"/>
        <item x="324"/>
        <item x="1024"/>
        <item x="666"/>
        <item x="1042"/>
        <item x="578"/>
        <item x="577"/>
        <item x="570"/>
        <item x="162"/>
        <item x="54"/>
        <item x="374"/>
        <item x="569"/>
        <item x="1311"/>
        <item x="576"/>
        <item x="53"/>
        <item x="380"/>
        <item x="568"/>
        <item x="1041"/>
        <item x="205"/>
        <item x="1106"/>
        <item x="617"/>
        <item x="204"/>
        <item x="52"/>
        <item x="1312"/>
        <item x="1230"/>
        <item x="575"/>
        <item x="161"/>
        <item x="1744"/>
        <item x="566"/>
        <item x="1037"/>
        <item x="1268"/>
        <item x="50"/>
        <item x="51"/>
        <item x="1267"/>
        <item x="379"/>
        <item x="567"/>
        <item x="1228"/>
        <item x="160"/>
        <item x="1313"/>
        <item x="1745"/>
        <item x="574"/>
        <item x="616"/>
        <item x="159"/>
        <item x="208"/>
        <item x="1231"/>
        <item x="1038"/>
        <item x="207"/>
        <item x="206"/>
        <item x="1269"/>
        <item x="1265"/>
        <item x="158"/>
        <item x="1266"/>
        <item x="1743"/>
        <item x="381"/>
        <item x="383"/>
        <item x="384"/>
        <item x="565"/>
        <item x="1036"/>
        <item x="157"/>
        <item x="156"/>
        <item x="1746"/>
        <item x="573"/>
        <item x="1314"/>
        <item x="1270"/>
        <item x="1229"/>
        <item x="1747"/>
        <item x="49"/>
        <item x="209"/>
        <item x="155"/>
        <item x="382"/>
        <item x="385"/>
        <item x="563"/>
        <item x="1039"/>
        <item x="1107"/>
        <item x="377"/>
        <item x="586"/>
        <item x="373"/>
        <item x="1315"/>
        <item x="572"/>
        <item x="388"/>
        <item x="615"/>
        <item x="48"/>
        <item x="585"/>
        <item x="1748"/>
        <item x="387"/>
        <item x="1108"/>
        <item x="378"/>
        <item x="386"/>
        <item x="1035"/>
        <item x="1040"/>
        <item x="1054"/>
        <item x="1264"/>
        <item x="1110"/>
        <item x="1316"/>
        <item x="1034"/>
        <item x="584"/>
        <item x="564"/>
        <item x="1232"/>
        <item x="1109"/>
        <item x="210"/>
        <item x="669"/>
        <item x="1749"/>
        <item x="1053"/>
        <item x="1097"/>
        <item x="1234"/>
        <item x="670"/>
        <item x="375"/>
        <item x="1033"/>
        <item x="1233"/>
        <item x="2"/>
        <item x="1098"/>
        <item x="583"/>
        <item x="1052"/>
        <item x="571"/>
        <item x="1"/>
        <item x="3"/>
        <item x="1050"/>
        <item x="1118"/>
        <item x="582"/>
        <item x="1051"/>
        <item x="1049"/>
        <item x="203"/>
        <item x="4"/>
        <item x="5"/>
        <item x="376"/>
        <item x="6"/>
        <item x="581"/>
        <item x="667"/>
        <item x="1235"/>
        <item x="7"/>
        <item x="909"/>
        <item x="668"/>
        <item x="0"/>
        <item x="908"/>
        <item x="1236"/>
        <item x="1263"/>
        <item x="910"/>
        <item x="1099"/>
        <item x="1191"/>
        <item x="671"/>
        <item x="455"/>
        <item x="1192"/>
        <item x="1742"/>
        <item x="580"/>
        <item x="1103"/>
        <item x="1190"/>
        <item x="766"/>
        <item x="1193"/>
        <item x="767"/>
        <item x="454"/>
        <item x="1189"/>
        <item x="911"/>
        <item x="1241"/>
        <item x="1237"/>
        <item x="458"/>
        <item x="672"/>
        <item x="679"/>
        <item x="765"/>
        <item x="1239"/>
        <item x="456"/>
        <item x="907"/>
        <item x="1176"/>
        <item x="457"/>
        <item x="677"/>
        <item x="1032"/>
        <item x="356"/>
        <item x="1185"/>
        <item x="759"/>
        <item x="764"/>
        <item x="355"/>
        <item x="1161"/>
        <item x="1238"/>
        <item x="459"/>
        <item x="906"/>
        <item x="1102"/>
        <item x="763"/>
        <item x="678"/>
        <item x="680"/>
        <item x="762"/>
        <item x="901"/>
        <item x="758"/>
        <item x="1048"/>
        <item x="673"/>
        <item x="1188"/>
        <item x="676"/>
        <item x="354"/>
        <item x="902"/>
        <item x="900"/>
        <item x="1187"/>
        <item x="905"/>
        <item x="899"/>
        <item x="903"/>
        <item x="623"/>
        <item x="898"/>
        <item x="761"/>
        <item x="148"/>
        <item x="1119"/>
        <item x="674"/>
        <item x="1240"/>
        <item x="352"/>
        <item x="579"/>
        <item x="1166"/>
        <item x="351"/>
        <item x="897"/>
        <item x="460"/>
        <item x="1164"/>
        <item x="154"/>
        <item x="1162"/>
        <item x="622"/>
        <item x="1165"/>
        <item x="147"/>
        <item x="152"/>
        <item x="353"/>
        <item x="149"/>
        <item x="151"/>
        <item x="350"/>
        <item x="1184"/>
        <item x="150"/>
        <item x="1182"/>
        <item x="621"/>
        <item x="153"/>
        <item x="1183"/>
        <item x="1100"/>
        <item x="1163"/>
        <item x="760"/>
        <item x="1101"/>
        <item x="1180"/>
        <item x="896"/>
        <item x="620"/>
        <item x="1181"/>
        <item x="1179"/>
        <item x="675"/>
        <item x="681"/>
        <item x="1186"/>
        <item x="682"/>
        <item x="453"/>
        <item x="904"/>
        <item x="757"/>
        <item x="1160"/>
        <item x="684"/>
        <item x="683"/>
        <item x="1178"/>
        <item x="1120"/>
        <item x="1177"/>
        <item x="1111"/>
        <item x="602"/>
        <item x="651"/>
        <item x="601"/>
        <item x="653"/>
        <item x="146"/>
        <item x="652"/>
        <item x="649"/>
        <item x="600"/>
        <item x="686"/>
        <item x="650"/>
        <item x="1121"/>
        <item x="599"/>
        <item x="685"/>
        <item x="688"/>
        <item x="687"/>
        <item x="597"/>
        <item x="598"/>
        <item x="594"/>
        <item x="654"/>
        <item x="145"/>
        <item x="593"/>
        <item x="1112"/>
        <item x="592"/>
        <item x="1122"/>
        <item x="596"/>
        <item x="689"/>
        <item x="591"/>
        <item x="144"/>
        <item x="143"/>
        <item x="590"/>
        <item x="655"/>
        <item x="1242"/>
        <item x="595"/>
        <item x="589"/>
        <item x="142"/>
        <item x="1243"/>
        <item x="690"/>
        <item x="656"/>
        <item x="588"/>
        <item x="691"/>
        <item x="1123"/>
        <item x="141"/>
        <item x="892"/>
        <item x="1113"/>
        <item x="140"/>
        <item x="1244"/>
        <item x="893"/>
        <item x="891"/>
        <item x="1124"/>
        <item x="890"/>
        <item x="889"/>
        <item x="692"/>
        <item x="587"/>
        <item x="1245"/>
        <item x="693"/>
        <item x="139"/>
        <item x="1246"/>
        <item x="1247"/>
        <item x="1158"/>
        <item x="1157"/>
        <item x="1156"/>
        <item x="894"/>
        <item x="619"/>
        <item x="1248"/>
        <item x="657"/>
        <item x="1159"/>
        <item x="173"/>
        <item x="1114"/>
        <item x="888"/>
        <item x="1155"/>
        <item x="176"/>
        <item x="175"/>
        <item x="895"/>
        <item x="174"/>
        <item x="177"/>
        <item x="172"/>
        <item x="1154"/>
        <item x="1197"/>
        <item x="178"/>
        <item x="1198"/>
        <item x="1713"/>
        <item x="1200"/>
        <item x="1199"/>
        <item x="1115"/>
        <item x="1201"/>
        <item x="1202"/>
        <item x="1715"/>
        <item x="1716"/>
        <item x="1714"/>
        <item x="1717"/>
        <item x="1196"/>
        <item x="618"/>
        <item x="626"/>
        <item x="1712"/>
        <item x="1153"/>
        <item x="629"/>
        <item x="628"/>
        <item x="1718"/>
        <item x="1116"/>
        <item x="627"/>
        <item x="171"/>
        <item x="1117"/>
        <item x="345"/>
        <item x="1195"/>
        <item x="347"/>
        <item x="346"/>
        <item x="344"/>
        <item x="348"/>
        <item x="614"/>
        <item x="349"/>
        <item x="613"/>
        <item x="1711"/>
        <item x="343"/>
        <item x="99"/>
        <item x="105"/>
        <item x="103"/>
        <item x="98"/>
        <item x="104"/>
        <item x="100"/>
        <item x="102"/>
        <item x="101"/>
        <item x="1194"/>
        <item x="1257"/>
        <item x="1256"/>
        <item x="1006"/>
        <item x="1005"/>
        <item x="1262"/>
        <item x="1007"/>
        <item x="612"/>
        <item x="97"/>
        <item x="398"/>
        <item x="399"/>
        <item x="1259"/>
        <item x="1261"/>
        <item x="1004"/>
        <item x="1260"/>
        <item x="1258"/>
        <item x="625"/>
        <item x="400"/>
        <item x="402"/>
        <item x="401"/>
        <item x="404"/>
        <item x="403"/>
        <item x="96"/>
        <item x="397"/>
        <item x="95"/>
        <item x="1003"/>
        <item x="755"/>
        <item x="94"/>
        <item x="93"/>
        <item x="624"/>
        <item x="92"/>
        <item x="1002"/>
        <item x="91"/>
        <item x="754"/>
        <item x="90"/>
        <item x="1001"/>
        <item x="756"/>
        <item x="861"/>
        <item x="860"/>
        <item x="859"/>
        <item x="858"/>
        <item x="1215"/>
        <item x="639"/>
        <item x="862"/>
        <item x="857"/>
        <item x="638"/>
        <item x="637"/>
        <item x="1216"/>
        <item x="1090"/>
        <item x="1000"/>
        <item x="1218"/>
        <item x="863"/>
        <item x="1217"/>
        <item x="1219"/>
        <item x="856"/>
        <item x="1220"/>
        <item x="1214"/>
        <item x="632"/>
        <item x="633"/>
        <item x="634"/>
        <item x="1130"/>
        <item x="1129"/>
        <item x="1131"/>
        <item x="1127"/>
        <item x="1128"/>
        <item x="1126"/>
        <item x="631"/>
        <item x="1091"/>
        <item x="1213"/>
        <item x="1125"/>
        <item x="321"/>
        <item x="630"/>
        <item x="1092"/>
        <item x="319"/>
        <item x="320"/>
        <item x="318"/>
        <item x="317"/>
        <item x="316"/>
        <item x="315"/>
        <item x="562"/>
        <item x="1093"/>
        <item x="561"/>
        <item x="560"/>
        <item x="636"/>
        <item x="643"/>
        <item x="743"/>
        <item x="642"/>
        <item x="1094"/>
        <item x="559"/>
        <item x="641"/>
        <item x="640"/>
        <item x="558"/>
        <item x="635"/>
        <item x="1095"/>
        <item x="742"/>
        <item x="557"/>
        <item x="644"/>
        <item x="1096"/>
        <item x="744"/>
        <item x="391"/>
        <item x="556"/>
        <item x="390"/>
        <item x="645"/>
        <item x="1249"/>
        <item x="646"/>
        <item x="1250"/>
        <item x="392"/>
        <item x="555"/>
        <item x="389"/>
        <item x="647"/>
        <item x="393"/>
        <item x="394"/>
        <item x="395"/>
        <item x="648"/>
        <item x="396"/>
        <item x="1251"/>
        <item x="1252"/>
        <item x="1255"/>
        <item x="1253"/>
        <item x="1254"/>
        <item x="1212"/>
        <item x="1203"/>
        <item x="358"/>
        <item x="359"/>
        <item x="357"/>
        <item x="360"/>
        <item x="611"/>
        <item x="361"/>
        <item x="610"/>
        <item x="362"/>
        <item x="609"/>
        <item x="363"/>
        <item x="364"/>
        <item x="607"/>
        <item x="1221"/>
        <item x="606"/>
        <item x="1222"/>
        <item x="605"/>
        <item x="1223"/>
        <item x="1224"/>
        <item x="1206"/>
        <item x="1227"/>
        <item x="1225"/>
        <item x="1209"/>
        <item x="1208"/>
        <item x="1226"/>
        <item x="1210"/>
        <item x="1207"/>
        <item x="1205"/>
        <item x="1211"/>
        <item x="1204"/>
        <item x="604"/>
        <item x="608"/>
        <item x="603"/>
        <item x="1170"/>
        <item x="1173"/>
        <item x="1172"/>
        <item x="1171"/>
        <item x="1174"/>
        <item x="1167"/>
        <item x="1175"/>
        <item x="1169"/>
        <item x="1168"/>
        <item t="default"/>
      </items>
    </pivotField>
    <pivotField showAll="0"/>
  </pivotFields>
  <rowFields count="1">
    <field x="0"/>
  </rowFields>
  <rowItems count="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Fields count="1">
    <field x="2"/>
  </colFields>
  <colItems count="6">
    <i>
      <x/>
    </i>
    <i>
      <x v="1"/>
    </i>
    <i>
      <x v="2"/>
    </i>
    <i>
      <x v="3"/>
    </i>
    <i>
      <x v="4"/>
    </i>
    <i t="grand">
      <x/>
    </i>
  </colItems>
  <dataFields count="1">
    <dataField name="Sum of Value" fld="6" showDataAs="percentOfRow" baseField="0" baseItem="0" numFmtId="10"/>
  </dataFields>
  <formats count="2">
    <format dxfId="0">
      <pivotArea outline="0" collapsedLevelsAreSubtotals="1" fieldPosition="0"/>
    </format>
    <format dxfId="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G24"/>
  <sheetViews>
    <sheetView showGridLines="0" tabSelected="1" workbookViewId="0">
      <selection activeCell="C12" sqref="C12"/>
    </sheetView>
  </sheetViews>
  <sheetFormatPr defaultColWidth="10.875" defaultRowHeight="15.95"/>
  <cols>
    <col min="1" max="1" width="10.875" style="16"/>
    <col min="2" max="2" width="43.375" style="16" customWidth="1"/>
    <col min="3" max="3" width="38" style="16" customWidth="1"/>
    <col min="4" max="4" width="69.5" style="16" customWidth="1"/>
    <col min="5" max="5" width="44" style="16" customWidth="1"/>
    <col min="6" max="16384" width="10.875" style="16"/>
  </cols>
  <sheetData>
    <row r="1" spans="2:7">
      <c r="B1" s="4" t="s">
        <v>0</v>
      </c>
      <c r="C1" s="73"/>
      <c r="D1" s="73"/>
      <c r="E1" s="73"/>
      <c r="F1" s="73"/>
      <c r="G1" s="73"/>
    </row>
    <row r="3" spans="2:7">
      <c r="B3" s="74" t="s">
        <v>1</v>
      </c>
    </row>
    <row r="4" spans="2:7">
      <c r="B4" s="75" t="s">
        <v>2</v>
      </c>
    </row>
    <row r="5" spans="2:7">
      <c r="B5" s="76"/>
    </row>
    <row r="6" spans="2:7">
      <c r="B6" s="4" t="s">
        <v>3</v>
      </c>
      <c r="C6" s="73"/>
      <c r="D6" s="73"/>
      <c r="E6" s="73"/>
      <c r="F6" s="73"/>
    </row>
    <row r="7" spans="2:7" ht="17.100000000000001" thickBot="1"/>
    <row r="8" spans="2:7" ht="17.100000000000001" thickBot="1">
      <c r="B8" s="77" t="s">
        <v>4</v>
      </c>
      <c r="C8" s="78"/>
      <c r="D8" s="16" t="s">
        <v>5</v>
      </c>
      <c r="E8" s="16" t="s">
        <v>6</v>
      </c>
    </row>
    <row r="9" spans="2:7">
      <c r="B9" s="5" t="s">
        <v>7</v>
      </c>
      <c r="C9" s="79">
        <v>0.17</v>
      </c>
      <c r="D9" s="16" t="s">
        <v>8</v>
      </c>
      <c r="E9" s="16" t="s">
        <v>9</v>
      </c>
    </row>
    <row r="10" spans="2:7">
      <c r="B10" s="6" t="s">
        <v>10</v>
      </c>
      <c r="C10" s="80">
        <v>0.04</v>
      </c>
      <c r="D10" s="16" t="s">
        <v>11</v>
      </c>
      <c r="E10" s="16" t="s">
        <v>12</v>
      </c>
    </row>
    <row r="11" spans="2:7">
      <c r="B11" s="6" t="s">
        <v>13</v>
      </c>
      <c r="C11" s="80">
        <v>0.08</v>
      </c>
      <c r="D11" s="16" t="s">
        <v>14</v>
      </c>
      <c r="E11" s="16" t="s">
        <v>15</v>
      </c>
    </row>
    <row r="12" spans="2:7">
      <c r="B12" s="6" t="s">
        <v>16</v>
      </c>
      <c r="C12" s="80">
        <v>0.02</v>
      </c>
      <c r="D12" s="16" t="s">
        <v>17</v>
      </c>
      <c r="E12" s="16" t="s">
        <v>18</v>
      </c>
    </row>
    <row r="13" spans="2:7">
      <c r="B13" s="6" t="s">
        <v>19</v>
      </c>
      <c r="C13" s="80">
        <v>0.2</v>
      </c>
      <c r="D13" s="16" t="s">
        <v>20</v>
      </c>
      <c r="E13" s="16" t="s">
        <v>15</v>
      </c>
    </row>
    <row r="14" spans="2:7">
      <c r="B14" s="6" t="s">
        <v>21</v>
      </c>
      <c r="C14" s="81">
        <v>500</v>
      </c>
      <c r="D14" s="16" t="s">
        <v>22</v>
      </c>
    </row>
    <row r="15" spans="2:7">
      <c r="B15" s="6" t="s">
        <v>23</v>
      </c>
      <c r="C15" s="82">
        <v>0.03</v>
      </c>
      <c r="D15" s="16" t="s">
        <v>24</v>
      </c>
    </row>
    <row r="16" spans="2:7">
      <c r="B16" s="6" t="s">
        <v>25</v>
      </c>
      <c r="C16" s="83">
        <f>'BLS Data_Job Type'!B40</f>
        <v>1.6264257736126667E-2</v>
      </c>
      <c r="D16" s="16" t="s">
        <v>2</v>
      </c>
      <c r="E16" s="16" t="s">
        <v>15</v>
      </c>
    </row>
    <row r="17" spans="2:5" ht="17.100000000000001" thickBot="1">
      <c r="B17" s="8" t="s">
        <v>26</v>
      </c>
      <c r="C17" s="84">
        <f>C11*(1-C16)</f>
        <v>7.8698859381109862E-2</v>
      </c>
      <c r="D17" s="16" t="s">
        <v>2</v>
      </c>
      <c r="E17" s="16" t="s">
        <v>15</v>
      </c>
    </row>
    <row r="18" spans="2:5">
      <c r="B18" s="7"/>
      <c r="C18" s="85"/>
    </row>
    <row r="19" spans="2:5">
      <c r="E19" s="16" t="s">
        <v>27</v>
      </c>
    </row>
    <row r="20" spans="2:5">
      <c r="E20" s="16" t="s">
        <v>9</v>
      </c>
    </row>
    <row r="21" spans="2:5">
      <c r="E21" s="16" t="s">
        <v>28</v>
      </c>
    </row>
    <row r="22" spans="2:5">
      <c r="E22" s="16" t="s">
        <v>18</v>
      </c>
    </row>
    <row r="23" spans="2:5">
      <c r="E23" s="16" t="s">
        <v>29</v>
      </c>
    </row>
    <row r="24" spans="2:5">
      <c r="E24" s="16" t="s">
        <v>30</v>
      </c>
    </row>
  </sheetData>
  <sheetProtection algorithmName="SHA-512" hashValue="x5I5Bq8z3b2FmEaeXQLkUg2zAAsx4Aw+nzaTw9ZUF2gUIumIOeG5OaCqcZbRqMVoUUnz28C+1QTKZGJsS6RprQ==" saltValue="XIZauiRcKGwTUMV8m4w+Tg=="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U31"/>
  <sheetViews>
    <sheetView showGridLines="0" zoomScale="90" zoomScaleNormal="90" workbookViewId="0">
      <selection activeCell="A32" sqref="A32"/>
    </sheetView>
  </sheetViews>
  <sheetFormatPr defaultColWidth="10.875" defaultRowHeight="15.95"/>
  <cols>
    <col min="1" max="1" width="2" style="16" customWidth="1"/>
    <col min="2" max="14" width="15.125" style="16" customWidth="1"/>
    <col min="15" max="15" width="4.5" style="16" customWidth="1"/>
    <col min="16" max="18" width="15.125" style="16" customWidth="1"/>
    <col min="19" max="19" width="3.875" style="16" customWidth="1"/>
    <col min="20" max="21" width="18.125" style="16" customWidth="1"/>
    <col min="22" max="16384" width="10.875" style="16"/>
  </cols>
  <sheetData>
    <row r="1" spans="2:21" ht="17.100000000000001" thickBot="1"/>
    <row r="2" spans="2:21" ht="17.100000000000001" thickBot="1">
      <c r="D2" s="86" t="s">
        <v>31</v>
      </c>
      <c r="E2" s="87"/>
      <c r="F2" s="87"/>
      <c r="G2" s="88"/>
      <c r="H2" s="86" t="s">
        <v>32</v>
      </c>
      <c r="I2" s="87"/>
      <c r="J2" s="87"/>
      <c r="K2" s="88"/>
      <c r="M2" s="86" t="s">
        <v>33</v>
      </c>
      <c r="N2" s="88"/>
      <c r="P2" s="86" t="s">
        <v>34</v>
      </c>
      <c r="Q2" s="87"/>
      <c r="R2" s="88"/>
      <c r="T2" s="89" t="s">
        <v>35</v>
      </c>
      <c r="U2" s="90"/>
    </row>
    <row r="3" spans="2:21" s="55" customFormat="1" ht="72.95" customHeight="1">
      <c r="B3" s="52" t="s">
        <v>36</v>
      </c>
      <c r="C3" s="52" t="s">
        <v>37</v>
      </c>
      <c r="D3" s="53" t="s">
        <v>38</v>
      </c>
      <c r="E3" s="53" t="s">
        <v>39</v>
      </c>
      <c r="F3" s="53" t="s">
        <v>40</v>
      </c>
      <c r="G3" s="53" t="s">
        <v>41</v>
      </c>
      <c r="H3" s="53" t="s">
        <v>42</v>
      </c>
      <c r="I3" s="53" t="s">
        <v>32</v>
      </c>
      <c r="J3" s="53" t="s">
        <v>43</v>
      </c>
      <c r="K3" s="53" t="s">
        <v>44</v>
      </c>
      <c r="L3" s="54" t="s">
        <v>45</v>
      </c>
      <c r="M3" s="53" t="s">
        <v>46</v>
      </c>
      <c r="N3" s="53" t="s">
        <v>47</v>
      </c>
      <c r="P3" s="53" t="s">
        <v>48</v>
      </c>
      <c r="Q3" s="53" t="s">
        <v>49</v>
      </c>
      <c r="R3" s="53" t="s">
        <v>50</v>
      </c>
      <c r="S3" s="56"/>
      <c r="T3" s="57" t="s">
        <v>51</v>
      </c>
      <c r="U3" s="57" t="s">
        <v>52</v>
      </c>
    </row>
    <row r="4" spans="2:21">
      <c r="B4" s="17" t="s">
        <v>53</v>
      </c>
      <c r="C4" s="58">
        <f>VLOOKUP(Model!B4,'Employees by Country'!$C$3:$F$52,4,FALSE)</f>
        <v>480000000</v>
      </c>
      <c r="D4" s="59">
        <f>Assumptions_Input!$C$9</f>
        <v>0.17</v>
      </c>
      <c r="E4" s="60">
        <f>Assumptions_Input!$C$10</f>
        <v>0.04</v>
      </c>
      <c r="F4" s="58">
        <f>C4*D4</f>
        <v>81600000</v>
      </c>
      <c r="G4" s="58">
        <f>C4*E4</f>
        <v>19200000</v>
      </c>
      <c r="H4" s="61">
        <f>VLOOKUP(Model!B4,'Self-employed_World'!$A$5:$D$268,4,FALSE)</f>
        <v>0.18843000411987298</v>
      </c>
      <c r="I4" s="58">
        <f t="shared" ref="I4:I20" si="0">C4*H4</f>
        <v>90446401.977539033</v>
      </c>
      <c r="J4" s="62">
        <f>'BLS Data_Job Type'!$B$38</f>
        <v>0.32335275459111823</v>
      </c>
      <c r="K4" s="63">
        <f>I4*J4</f>
        <v>29246093.222292811</v>
      </c>
      <c r="L4" s="63">
        <f t="shared" ref="L4:L20" si="1">G4+K4</f>
        <v>48446093.222292811</v>
      </c>
      <c r="M4" s="60">
        <f>Assumptions_Input!$C$15</f>
        <v>0.03</v>
      </c>
      <c r="N4" s="63">
        <f>L4*M4</f>
        <v>1453382.7966687842</v>
      </c>
      <c r="P4" s="17">
        <f>Assumptions_Input!$C$14</f>
        <v>500</v>
      </c>
      <c r="Q4" s="62">
        <f>VLOOKUP(B4,'PPP Index'!$A$2:$E$58,5,FALSE)</f>
        <v>0.60068973315241958</v>
      </c>
      <c r="R4" s="64">
        <f>P4*Q4</f>
        <v>300.34486657620977</v>
      </c>
      <c r="T4" s="65">
        <f>L4*R4</f>
        <v>14550535404.988155</v>
      </c>
      <c r="U4" s="65">
        <f>N4*R4</f>
        <v>436516062.14964461</v>
      </c>
    </row>
    <row r="5" spans="2:21">
      <c r="B5" s="17" t="s">
        <v>54</v>
      </c>
      <c r="C5" s="58">
        <f>VLOOKUP(Model!B5,'Employees by Country'!$C$3:$F$52,4,FALSE)</f>
        <v>273600000</v>
      </c>
      <c r="D5" s="59">
        <f>Assumptions_Input!$C$9</f>
        <v>0.17</v>
      </c>
      <c r="E5" s="60">
        <f>Assumptions_Input!$C$10</f>
        <v>0.04</v>
      </c>
      <c r="F5" s="58">
        <f t="shared" ref="F5:F15" si="2">C5*D5</f>
        <v>46512000</v>
      </c>
      <c r="G5" s="58">
        <f t="shared" ref="G5:G15" si="3">C5*E5</f>
        <v>10944000</v>
      </c>
      <c r="H5" s="61">
        <f>VLOOKUP(Model!B5,'Self-employed_World'!$A$5:$D$268,4,FALSE)</f>
        <v>0.36295997619628906</v>
      </c>
      <c r="I5" s="58">
        <f t="shared" si="0"/>
        <v>99305849.487304688</v>
      </c>
      <c r="J5" s="62">
        <f>'BLS Data_Job Type'!$B$38</f>
        <v>0.32335275459111823</v>
      </c>
      <c r="K5" s="63">
        <f t="shared" ref="K5:K15" si="4">I5*J5</f>
        <v>32110819.978730958</v>
      </c>
      <c r="L5" s="63">
        <f t="shared" si="1"/>
        <v>43054819.978730962</v>
      </c>
      <c r="M5" s="60">
        <f>Assumptions_Input!$C$15</f>
        <v>0.03</v>
      </c>
      <c r="N5" s="63">
        <f t="shared" ref="N5:N19" si="5">L5*M5</f>
        <v>1291644.5993619289</v>
      </c>
      <c r="P5" s="17">
        <f>Assumptions_Input!$C$14</f>
        <v>500</v>
      </c>
      <c r="Q5" s="62">
        <f>VLOOKUP(B5,'PPP Index'!$A$2:$E$58,5,FALSE)</f>
        <v>0.53382777648275115</v>
      </c>
      <c r="R5" s="64">
        <f t="shared" ref="R5:R19" si="6">P5*Q5</f>
        <v>266.91388824137556</v>
      </c>
      <c r="T5" s="65">
        <f t="shared" ref="T5:T19" si="7">L5*R5</f>
        <v>11491929408.05554</v>
      </c>
      <c r="U5" s="65">
        <f t="shared" ref="U5:U19" si="8">N5*R5</f>
        <v>344757882.2416662</v>
      </c>
    </row>
    <row r="6" spans="2:21">
      <c r="B6" s="17" t="s">
        <v>55</v>
      </c>
      <c r="C6" s="58">
        <f>VLOOKUP(Model!B6,'Employees by Country'!$C$3:$F$52,4,FALSE)</f>
        <v>90600000</v>
      </c>
      <c r="D6" s="59">
        <f>Assumptions_Input!$C$9</f>
        <v>0.17</v>
      </c>
      <c r="E6" s="60">
        <f>Assumptions_Input!$C$10</f>
        <v>0.04</v>
      </c>
      <c r="F6" s="58">
        <f t="shared" si="2"/>
        <v>15402000.000000002</v>
      </c>
      <c r="G6" s="58">
        <f t="shared" si="3"/>
        <v>3624000</v>
      </c>
      <c r="H6" s="61">
        <f>VLOOKUP(Model!B6,'Self-employed_World'!$A$5:$D$268,4,FALSE)</f>
        <v>0.11666382054278454</v>
      </c>
      <c r="I6" s="58">
        <f t="shared" si="0"/>
        <v>10569742.14117628</v>
      </c>
      <c r="J6" s="62">
        <f>'BLS Data_Job Type'!$B$38</f>
        <v>0.32335275459111823</v>
      </c>
      <c r="K6" s="63">
        <f t="shared" si="4"/>
        <v>3417755.2366671739</v>
      </c>
      <c r="L6" s="63">
        <f t="shared" si="1"/>
        <v>7041755.2366671739</v>
      </c>
      <c r="M6" s="60">
        <f>Assumptions_Input!$C$15</f>
        <v>0.03</v>
      </c>
      <c r="N6" s="63">
        <f t="shared" si="5"/>
        <v>211252.6571000152</v>
      </c>
      <c r="P6" s="17">
        <f>Assumptions_Input!$C$14</f>
        <v>500</v>
      </c>
      <c r="Q6" s="62">
        <f>VLOOKUP(B6,'PPP Index'!$A$2:$E$58,5,FALSE)</f>
        <v>0.91586884469696972</v>
      </c>
      <c r="R6" s="64">
        <f t="shared" si="6"/>
        <v>457.93442234848487</v>
      </c>
      <c r="T6" s="65">
        <f t="shared" si="7"/>
        <v>3224662116.6226006</v>
      </c>
      <c r="U6" s="65">
        <f t="shared" si="8"/>
        <v>96739863.498678014</v>
      </c>
    </row>
    <row r="7" spans="2:21">
      <c r="B7" s="17" t="s">
        <v>56</v>
      </c>
      <c r="C7" s="58">
        <f>VLOOKUP(Model!B7,'Employees by Country'!$C$3:$F$52,4,FALSE)</f>
        <v>191200000</v>
      </c>
      <c r="D7" s="59">
        <f>Assumptions_Input!$C$9</f>
        <v>0.17</v>
      </c>
      <c r="E7" s="60">
        <f>Assumptions_Input!$C$10</f>
        <v>0.04</v>
      </c>
      <c r="F7" s="58">
        <f t="shared" si="2"/>
        <v>32504000.000000004</v>
      </c>
      <c r="G7" s="58">
        <f t="shared" si="3"/>
        <v>7648000</v>
      </c>
      <c r="H7" s="61">
        <f>'Self-employed_industry_US'!$I$9+Assumptions_Input!$C$12</f>
        <v>7.7899166904157532E-2</v>
      </c>
      <c r="I7" s="58">
        <f t="shared" si="0"/>
        <v>14894320.712074921</v>
      </c>
      <c r="J7" s="62">
        <f>'BLS Data_Job Type'!$B$38</f>
        <v>0.32335275459111823</v>
      </c>
      <c r="K7" s="63">
        <f t="shared" si="4"/>
        <v>4816119.6300129713</v>
      </c>
      <c r="L7" s="63">
        <f t="shared" si="1"/>
        <v>12464119.63001297</v>
      </c>
      <c r="M7" s="60">
        <f>Assumptions_Input!$C$15</f>
        <v>0.03</v>
      </c>
      <c r="N7" s="63">
        <f t="shared" si="5"/>
        <v>373923.58890038909</v>
      </c>
      <c r="P7" s="17">
        <f>Assumptions_Input!$C$14</f>
        <v>500</v>
      </c>
      <c r="Q7" s="62">
        <f>VLOOKUP(B7,'PPP Index'!$A$2:$E$58,5,FALSE)</f>
        <v>1</v>
      </c>
      <c r="R7" s="64">
        <f t="shared" si="6"/>
        <v>500</v>
      </c>
      <c r="T7" s="65">
        <f t="shared" si="7"/>
        <v>6232059815.006485</v>
      </c>
      <c r="U7" s="65">
        <f t="shared" si="8"/>
        <v>186961794.45019454</v>
      </c>
    </row>
    <row r="8" spans="2:21">
      <c r="B8" s="17" t="s">
        <v>57</v>
      </c>
      <c r="C8" s="58">
        <f>VLOOKUP(Model!B8,'Employees by Country'!$C$3:$F$52,4,FALSE)</f>
        <v>119290600</v>
      </c>
      <c r="D8" s="59">
        <f>Assumptions_Input!$C$9</f>
        <v>0.17</v>
      </c>
      <c r="E8" s="60">
        <f>Assumptions_Input!$C$10</f>
        <v>0.04</v>
      </c>
      <c r="F8" s="58">
        <f t="shared" ref="F8" si="9">C8*D8</f>
        <v>20279402</v>
      </c>
      <c r="G8" s="58">
        <f t="shared" ref="G8" si="10">C8*E8</f>
        <v>4771624</v>
      </c>
      <c r="H8" s="61">
        <f>'Self-employed_industry_US'!$I$9+Assumptions_Input!$C$12</f>
        <v>7.7899166904157532E-2</v>
      </c>
      <c r="I8" s="58">
        <f t="shared" si="0"/>
        <v>9292638.3594970945</v>
      </c>
      <c r="J8" s="62">
        <f>'BLS Data_Job Type'!$B$38</f>
        <v>0.32335275459111823</v>
      </c>
      <c r="K8" s="63">
        <f t="shared" ref="K8" si="11">I8*J8</f>
        <v>3004800.2109624753</v>
      </c>
      <c r="L8" s="63">
        <f t="shared" si="1"/>
        <v>7776424.2109624753</v>
      </c>
      <c r="M8" s="60">
        <f>Assumptions_Input!$C$15</f>
        <v>0.03</v>
      </c>
      <c r="N8" s="63">
        <f t="shared" ref="N8" si="12">L8*M8</f>
        <v>233292.72632887424</v>
      </c>
      <c r="P8" s="17">
        <f>Assumptions_Input!$C$14</f>
        <v>500</v>
      </c>
      <c r="Q8" s="62">
        <f>VLOOKUP(B8,'PPP Index'!$A$2:$E$58,5,FALSE)</f>
        <v>0.50683683908476185</v>
      </c>
      <c r="R8" s="64">
        <f t="shared" ref="R8" si="13">P8*Q8</f>
        <v>253.41841954238092</v>
      </c>
      <c r="T8" s="65">
        <f t="shared" ref="T8" si="14">L8*R8</f>
        <v>1970689133.233217</v>
      </c>
      <c r="U8" s="65">
        <f t="shared" ref="U8" si="15">N8*R8</f>
        <v>59120673.996996507</v>
      </c>
    </row>
    <row r="9" spans="2:21">
      <c r="B9" s="17" t="s">
        <v>58</v>
      </c>
      <c r="C9" s="58">
        <f>VLOOKUP(Model!B9,'Employees by Country'!$C$3:$F$52,4,FALSE)</f>
        <v>43450000</v>
      </c>
      <c r="D9" s="59">
        <f>Assumptions_Input!$C$9</f>
        <v>0.17</v>
      </c>
      <c r="E9" s="60">
        <f>Assumptions_Input!$C$10</f>
        <v>0.04</v>
      </c>
      <c r="F9" s="58">
        <f t="shared" si="2"/>
        <v>7386500.0000000009</v>
      </c>
      <c r="G9" s="58">
        <f t="shared" si="3"/>
        <v>1738000</v>
      </c>
      <c r="H9" s="61">
        <f>VLOOKUP(Model!B9,'Self-employed_World'!$A$5:$D$268,4,FALSE)</f>
        <v>0.21891001701355001</v>
      </c>
      <c r="I9" s="58">
        <f t="shared" si="0"/>
        <v>9511640.2392387483</v>
      </c>
      <c r="J9" s="62">
        <f>'BLS Data_Job Type'!$B$38</f>
        <v>0.32335275459111823</v>
      </c>
      <c r="K9" s="63">
        <f t="shared" si="4"/>
        <v>3075615.072037572</v>
      </c>
      <c r="L9" s="63">
        <f t="shared" si="1"/>
        <v>4813615.072037572</v>
      </c>
      <c r="M9" s="60">
        <f>Assumptions_Input!$C$15</f>
        <v>0.03</v>
      </c>
      <c r="N9" s="63">
        <f t="shared" si="5"/>
        <v>144408.45216112715</v>
      </c>
      <c r="P9" s="17">
        <f>Assumptions_Input!$C$14</f>
        <v>500</v>
      </c>
      <c r="Q9" s="62">
        <f>VLOOKUP(B9,'PPP Index'!$A$2:$E$58,5,FALSE)</f>
        <v>0.96812168902382356</v>
      </c>
      <c r="R9" s="64">
        <f t="shared" si="6"/>
        <v>484.0608445119118</v>
      </c>
      <c r="T9" s="65">
        <f t="shared" si="7"/>
        <v>2330082576.9257741</v>
      </c>
      <c r="U9" s="65">
        <f t="shared" si="8"/>
        <v>69902477.307773218</v>
      </c>
    </row>
    <row r="10" spans="2:21">
      <c r="B10" s="17" t="s">
        <v>59</v>
      </c>
      <c r="C10" s="58">
        <f>VLOOKUP(Model!B10,'Employees by Country'!$C$3:$F$52,4,FALSE)</f>
        <v>47250000</v>
      </c>
      <c r="D10" s="59">
        <f>Assumptions_Input!$C$9</f>
        <v>0.17</v>
      </c>
      <c r="E10" s="60">
        <f>Assumptions_Input!$C$10</f>
        <v>0.04</v>
      </c>
      <c r="F10" s="58">
        <f t="shared" si="2"/>
        <v>8032500.0000000009</v>
      </c>
      <c r="G10" s="58">
        <f t="shared" si="3"/>
        <v>1890000</v>
      </c>
      <c r="H10" s="61">
        <f>VLOOKUP(Model!B10,'Self-employed_World'!$A$5:$D$268,4,FALSE)</f>
        <v>9.3100023269652998E-3</v>
      </c>
      <c r="I10" s="58">
        <f t="shared" si="0"/>
        <v>439897.60994911043</v>
      </c>
      <c r="J10" s="62">
        <f>'BLS Data_Job Type'!$B$38</f>
        <v>0.32335275459111823</v>
      </c>
      <c r="K10" s="63">
        <f t="shared" si="4"/>
        <v>142242.10391509417</v>
      </c>
      <c r="L10" s="63">
        <f t="shared" si="1"/>
        <v>2032242.1039150942</v>
      </c>
      <c r="M10" s="60">
        <f>Assumptions_Input!$C$15</f>
        <v>0.03</v>
      </c>
      <c r="N10" s="63">
        <f t="shared" si="5"/>
        <v>60967.263117452821</v>
      </c>
      <c r="P10" s="17">
        <f>Assumptions_Input!$C$14</f>
        <v>500</v>
      </c>
      <c r="Q10" s="62">
        <f>VLOOKUP(B10,'PPP Index'!$A$2:$E$58,5,FALSE)</f>
        <v>0.43389218646950611</v>
      </c>
      <c r="R10" s="64">
        <f t="shared" si="6"/>
        <v>216.94609323475305</v>
      </c>
      <c r="T10" s="65">
        <f t="shared" si="7"/>
        <v>440886984.95155472</v>
      </c>
      <c r="U10" s="65">
        <f t="shared" si="8"/>
        <v>13226609.54854664</v>
      </c>
    </row>
    <row r="11" spans="2:21">
      <c r="B11" s="17" t="s">
        <v>60</v>
      </c>
      <c r="C11" s="58">
        <f>VLOOKUP(Model!B11,'Employees by Country'!$C$3:$F$52,4,FALSE)</f>
        <v>48550000</v>
      </c>
      <c r="D11" s="59">
        <f>Assumptions_Input!$C$9</f>
        <v>0.17</v>
      </c>
      <c r="E11" s="60">
        <f>Assumptions_Input!$C$10</f>
        <v>0.04</v>
      </c>
      <c r="F11" s="58">
        <f t="shared" si="2"/>
        <v>8253500.0000000009</v>
      </c>
      <c r="G11" s="58">
        <f t="shared" si="3"/>
        <v>1942000</v>
      </c>
      <c r="H11" s="61">
        <f>VLOOKUP(Model!B11,'Self-employed_World'!$A$5:$D$268,4,FALSE)</f>
        <v>7.2999999523162606E-2</v>
      </c>
      <c r="I11" s="58">
        <f t="shared" si="0"/>
        <v>3544149.9768495443</v>
      </c>
      <c r="J11" s="62">
        <f>'BLS Data_Job Type'!$B$38</f>
        <v>0.32335275459111823</v>
      </c>
      <c r="K11" s="63">
        <f t="shared" si="4"/>
        <v>1146010.6576983482</v>
      </c>
      <c r="L11" s="63">
        <f t="shared" si="1"/>
        <v>3088010.6576983482</v>
      </c>
      <c r="M11" s="60">
        <f>Assumptions_Input!$C$15</f>
        <v>0.03</v>
      </c>
      <c r="N11" s="63">
        <f t="shared" si="5"/>
        <v>92640.319730950447</v>
      </c>
      <c r="P11" s="17">
        <f>Assumptions_Input!$C$14</f>
        <v>500</v>
      </c>
      <c r="Q11" s="62">
        <f>VLOOKUP(B11,'PPP Index'!$A$2:$E$58,5,FALSE)</f>
        <v>0.64998597398687707</v>
      </c>
      <c r="R11" s="64">
        <f t="shared" si="6"/>
        <v>324.99298699343854</v>
      </c>
      <c r="T11" s="65">
        <f t="shared" si="7"/>
        <v>1003581807.5129589</v>
      </c>
      <c r="U11" s="65">
        <f t="shared" si="8"/>
        <v>30107454.225388765</v>
      </c>
    </row>
    <row r="12" spans="2:21">
      <c r="B12" s="17" t="s">
        <v>61</v>
      </c>
      <c r="C12" s="58">
        <f>VLOOKUP(Model!B12,'Employees by Country'!$C$3:$F$52,4,FALSE)</f>
        <v>48200000</v>
      </c>
      <c r="D12" s="59">
        <f>Assumptions_Input!$C$9</f>
        <v>0.17</v>
      </c>
      <c r="E12" s="60">
        <f>Assumptions_Input!$C$10</f>
        <v>0.04</v>
      </c>
      <c r="F12" s="58">
        <f t="shared" si="2"/>
        <v>8194000.0000000009</v>
      </c>
      <c r="G12" s="58">
        <f t="shared" si="3"/>
        <v>1928000</v>
      </c>
      <c r="H12" s="61">
        <f>VLOOKUP(Model!B12,'Self-employed_World'!$A$5:$D$268,4,FALSE)</f>
        <v>0.18599999427795402</v>
      </c>
      <c r="I12" s="58">
        <f t="shared" si="0"/>
        <v>8965199.724197384</v>
      </c>
      <c r="J12" s="62">
        <f>'BLS Data_Job Type'!$B$38</f>
        <v>0.32335275459111823</v>
      </c>
      <c r="K12" s="63">
        <f t="shared" si="4"/>
        <v>2898922.0262787575</v>
      </c>
      <c r="L12" s="63">
        <f t="shared" si="1"/>
        <v>4826922.0262787575</v>
      </c>
      <c r="M12" s="60">
        <f>Assumptions_Input!$C$15</f>
        <v>0.03</v>
      </c>
      <c r="N12" s="63">
        <f t="shared" si="5"/>
        <v>144807.66078836273</v>
      </c>
      <c r="P12" s="17">
        <f>Assumptions_Input!$C$14</f>
        <v>500</v>
      </c>
      <c r="Q12" s="62">
        <f>VLOOKUP(B12,'PPP Index'!$A$2:$E$58,5,FALSE)</f>
        <v>0.48709561930554773</v>
      </c>
      <c r="R12" s="64">
        <f t="shared" si="6"/>
        <v>243.54780965277388</v>
      </c>
      <c r="T12" s="65">
        <f t="shared" si="7"/>
        <v>1175586286.8649204</v>
      </c>
      <c r="U12" s="65">
        <f t="shared" si="8"/>
        <v>35267588.605947614</v>
      </c>
    </row>
    <row r="13" spans="2:21">
      <c r="B13" s="17" t="s">
        <v>62</v>
      </c>
      <c r="C13" s="58">
        <f>VLOOKUP(Model!B13,'Employees by Country'!$C$3:$F$52,4,FALSE)</f>
        <v>44400000</v>
      </c>
      <c r="D13" s="59">
        <f>Assumptions_Input!$C$9</f>
        <v>0.17</v>
      </c>
      <c r="E13" s="60">
        <f>Assumptions_Input!$C$10</f>
        <v>0.04</v>
      </c>
      <c r="F13" s="58">
        <f t="shared" si="2"/>
        <v>7548000.0000000009</v>
      </c>
      <c r="G13" s="58">
        <f t="shared" si="3"/>
        <v>1776000</v>
      </c>
      <c r="H13" s="61">
        <f>VLOOKUP(Model!B13,'Self-employed_World'!$A$5:$D$268,4,FALSE)</f>
        <v>0.13690000534057598</v>
      </c>
      <c r="I13" s="58">
        <f t="shared" si="0"/>
        <v>6078360.2371215736</v>
      </c>
      <c r="J13" s="62">
        <f>'BLS Data_Job Type'!$B$38</f>
        <v>0.32335275459111823</v>
      </c>
      <c r="K13" s="63">
        <f t="shared" si="4"/>
        <v>1965454.5260703834</v>
      </c>
      <c r="L13" s="63">
        <f t="shared" si="1"/>
        <v>3741454.5260703834</v>
      </c>
      <c r="M13" s="60">
        <f>Assumptions_Input!$C$15</f>
        <v>0.03</v>
      </c>
      <c r="N13" s="63">
        <f t="shared" si="5"/>
        <v>112243.63578211149</v>
      </c>
      <c r="P13" s="17">
        <f>Assumptions_Input!$C$14</f>
        <v>500</v>
      </c>
      <c r="Q13" s="62">
        <f>VLOOKUP(B13,'PPP Index'!$A$2:$E$58,5,FALSE)</f>
        <v>0.53541914702699434</v>
      </c>
      <c r="R13" s="64">
        <f t="shared" si="6"/>
        <v>267.70957351349716</v>
      </c>
      <c r="T13" s="65">
        <f t="shared" si="7"/>
        <v>1001623195.494446</v>
      </c>
      <c r="U13" s="65">
        <f t="shared" si="8"/>
        <v>30048695.864833377</v>
      </c>
    </row>
    <row r="14" spans="2:21">
      <c r="B14" s="17" t="s">
        <v>63</v>
      </c>
      <c r="C14" s="58">
        <f>VLOOKUP(Model!B14,'Employees by Country'!$C$3:$F$52,4,FALSE)</f>
        <v>26426140</v>
      </c>
      <c r="D14" s="59">
        <f>Assumptions_Input!$C$9</f>
        <v>0.17</v>
      </c>
      <c r="E14" s="60">
        <f>Assumptions_Input!$C$10</f>
        <v>0.04</v>
      </c>
      <c r="F14" s="58">
        <f t="shared" si="2"/>
        <v>4492443.8000000007</v>
      </c>
      <c r="G14" s="58">
        <f t="shared" si="3"/>
        <v>1057045.6000000001</v>
      </c>
      <c r="H14" s="61">
        <f>VLOOKUP(Model!B14,'Self-employed_World'!$A$5:$D$268,4,FALSE)</f>
        <v>0.2457099914550786</v>
      </c>
      <c r="I14" s="58">
        <f t="shared" si="0"/>
        <v>6493166.6335907113</v>
      </c>
      <c r="J14" s="62">
        <f>'BLS Data_Job Type'!$B$38</f>
        <v>0.32335275459111823</v>
      </c>
      <c r="K14" s="63">
        <f t="shared" si="4"/>
        <v>2099583.3169906945</v>
      </c>
      <c r="L14" s="63">
        <f t="shared" si="1"/>
        <v>3156628.9169906946</v>
      </c>
      <c r="M14" s="60">
        <f>Assumptions_Input!$C$15</f>
        <v>0.03</v>
      </c>
      <c r="N14" s="63">
        <f t="shared" si="5"/>
        <v>94698.867509720832</v>
      </c>
      <c r="P14" s="17">
        <f>Assumptions_Input!$C$14</f>
        <v>500</v>
      </c>
      <c r="Q14" s="62">
        <f>VLOOKUP(B14,'PPP Index'!$A$2:$E$58,5,FALSE)</f>
        <v>0.77936248149014109</v>
      </c>
      <c r="R14" s="64">
        <f t="shared" si="6"/>
        <v>389.68124074507057</v>
      </c>
      <c r="T14" s="65">
        <f t="shared" si="7"/>
        <v>1230079072.9447021</v>
      </c>
      <c r="U14" s="65">
        <f t="shared" si="8"/>
        <v>36902372.188341066</v>
      </c>
    </row>
    <row r="15" spans="2:21">
      <c r="B15" s="17" t="s">
        <v>64</v>
      </c>
      <c r="C15" s="58">
        <f>VLOOKUP(Model!B15,'Employees by Country'!$C$3:$F$52,4,FALSE)</f>
        <v>22375690</v>
      </c>
      <c r="D15" s="59">
        <f>Assumptions_Input!$C$9</f>
        <v>0.17</v>
      </c>
      <c r="E15" s="60">
        <f>Assumptions_Input!$C$10</f>
        <v>0.04</v>
      </c>
      <c r="F15" s="58">
        <f t="shared" si="2"/>
        <v>3803867.3000000003</v>
      </c>
      <c r="G15" s="58">
        <f t="shared" si="3"/>
        <v>895027.6</v>
      </c>
      <c r="H15" s="61">
        <f>VLOOKUP(Model!B15,'Self-employed_World'!$A$5:$D$268,4,FALSE)</f>
        <v>0.34922998428344698</v>
      </c>
      <c r="I15" s="58">
        <f t="shared" si="0"/>
        <v>7814261.8670312818</v>
      </c>
      <c r="J15" s="62">
        <f>'BLS Data_Job Type'!$B$38</f>
        <v>0.32335275459111823</v>
      </c>
      <c r="K15" s="63">
        <f t="shared" si="4"/>
        <v>2526763.0998008996</v>
      </c>
      <c r="L15" s="63">
        <f t="shared" si="1"/>
        <v>3421790.6998008997</v>
      </c>
      <c r="M15" s="60">
        <f>Assumptions_Input!$C$15</f>
        <v>0.03</v>
      </c>
      <c r="N15" s="63">
        <f t="shared" si="5"/>
        <v>102653.72099402698</v>
      </c>
      <c r="P15" s="17">
        <f>Assumptions_Input!$C$14</f>
        <v>500</v>
      </c>
      <c r="Q15" s="62">
        <f>VLOOKUP(B15,'PPP Index'!$A$2:$E$58,5,FALSE)</f>
        <v>0.72584628616019697</v>
      </c>
      <c r="R15" s="64">
        <f t="shared" si="6"/>
        <v>362.9231430800985</v>
      </c>
      <c r="T15" s="65">
        <f t="shared" si="7"/>
        <v>1241847035.7339923</v>
      </c>
      <c r="U15" s="65">
        <f t="shared" si="8"/>
        <v>37255411.072019763</v>
      </c>
    </row>
    <row r="16" spans="2:21">
      <c r="B16" s="17" t="s">
        <v>65</v>
      </c>
      <c r="C16" s="58">
        <f>VLOOKUP(Model!B16,'Employees by Country'!$C$3:$F$52,4,FALSE)</f>
        <v>18251200</v>
      </c>
      <c r="D16" s="59">
        <f>Assumptions_Input!$C$9</f>
        <v>0.17</v>
      </c>
      <c r="E16" s="60">
        <f>Assumptions_Input!$C$10</f>
        <v>0.04</v>
      </c>
      <c r="F16" s="58">
        <f t="shared" ref="F16:F18" si="16">C16*D16</f>
        <v>3102704</v>
      </c>
      <c r="G16" s="58">
        <f t="shared" ref="G16:G18" si="17">C16*E16</f>
        <v>730048</v>
      </c>
      <c r="H16" s="61">
        <f>VLOOKUP(Model!B16,'Self-employed_World'!$A$5:$D$268,4,FALSE)</f>
        <v>0.13676000118255599</v>
      </c>
      <c r="I16" s="58">
        <f t="shared" si="0"/>
        <v>2496034.1335830661</v>
      </c>
      <c r="J16" s="62">
        <f>'BLS Data_Job Type'!$B$38</f>
        <v>0.32335275459111823</v>
      </c>
      <c r="K16" s="63">
        <f t="shared" ref="K16:K18" si="18">I16*J16</f>
        <v>807099.51264753961</v>
      </c>
      <c r="L16" s="63">
        <f t="shared" si="1"/>
        <v>1537147.5126475396</v>
      </c>
      <c r="M16" s="60">
        <f>Assumptions_Input!$C$15</f>
        <v>0.03</v>
      </c>
      <c r="N16" s="63">
        <f t="shared" si="5"/>
        <v>46114.425379426189</v>
      </c>
      <c r="P16" s="17">
        <f>Assumptions_Input!$C$14</f>
        <v>500</v>
      </c>
      <c r="Q16" s="62">
        <f>VLOOKUP(B16,'PPP Index'!$A$2:$E$58,5,FALSE)</f>
        <v>0.99569010597183005</v>
      </c>
      <c r="R16" s="64">
        <f t="shared" si="6"/>
        <v>497.845052985915</v>
      </c>
      <c r="T16" s="65">
        <f t="shared" si="7"/>
        <v>765261284.88118184</v>
      </c>
      <c r="U16" s="65">
        <f t="shared" si="8"/>
        <v>22957838.546435457</v>
      </c>
    </row>
    <row r="17" spans="1:21">
      <c r="B17" s="17" t="s">
        <v>66</v>
      </c>
      <c r="C17" s="58">
        <f>VLOOKUP(Model!B17,'Employees by Country'!$C$3:$F$52,4,FALSE)</f>
        <v>16542000</v>
      </c>
      <c r="D17" s="59">
        <f>Assumptions_Input!$C$9</f>
        <v>0.17</v>
      </c>
      <c r="E17" s="60">
        <f>Assumptions_Input!$C$10</f>
        <v>0.04</v>
      </c>
      <c r="F17" s="58">
        <f t="shared" si="16"/>
        <v>2812140</v>
      </c>
      <c r="G17" s="58">
        <f t="shared" si="17"/>
        <v>661680</v>
      </c>
      <c r="H17" s="61">
        <f>VLOOKUP(Model!B17,'Self-employed_World'!$A$5:$D$268,4,FALSE)</f>
        <v>0.24677999317646035</v>
      </c>
      <c r="I17" s="58">
        <f t="shared" si="0"/>
        <v>4082234.6471250071</v>
      </c>
      <c r="J17" s="62">
        <f>'BLS Data_Job Type'!$B$38</f>
        <v>0.32335275459111823</v>
      </c>
      <c r="K17" s="63">
        <f t="shared" si="18"/>
        <v>1320001.8180351725</v>
      </c>
      <c r="L17" s="63">
        <f t="shared" si="1"/>
        <v>1981681.8180351725</v>
      </c>
      <c r="M17" s="60">
        <f>Assumptions_Input!$C$15</f>
        <v>0.03</v>
      </c>
      <c r="N17" s="63">
        <f t="shared" si="5"/>
        <v>59450.454541055173</v>
      </c>
      <c r="P17" s="17">
        <f>Assumptions_Input!$C$14</f>
        <v>500</v>
      </c>
      <c r="Q17" s="62">
        <f>VLOOKUP(B17,'PPP Index'!$A$2:$E$58,5,FALSE)</f>
        <v>0.75007500750075007</v>
      </c>
      <c r="R17" s="64">
        <f t="shared" si="6"/>
        <v>375.03750375037504</v>
      </c>
      <c r="T17" s="65">
        <f t="shared" si="7"/>
        <v>743205002.26341605</v>
      </c>
      <c r="U17" s="65">
        <f t="shared" si="8"/>
        <v>22296150.067902479</v>
      </c>
    </row>
    <row r="18" spans="1:21">
      <c r="B18" s="17" t="s">
        <v>67</v>
      </c>
      <c r="C18" s="58">
        <f>VLOOKUP(Model!B18,'Employees by Country'!$C$3:$F$52,4,FALSE)</f>
        <v>16065560</v>
      </c>
      <c r="D18" s="59">
        <f>Assumptions_Input!$C$9</f>
        <v>0.17</v>
      </c>
      <c r="E18" s="60">
        <f>Assumptions_Input!$C$10</f>
        <v>0.04</v>
      </c>
      <c r="F18" s="58">
        <f t="shared" si="16"/>
        <v>2731145.2</v>
      </c>
      <c r="G18" s="58">
        <f t="shared" si="17"/>
        <v>642622.4</v>
      </c>
      <c r="H18" s="61">
        <f>VLOOKUP(Model!B18,'Self-employed_World'!$A$5:$D$268,4,FALSE)</f>
        <v>9.6119999885558804E-2</v>
      </c>
      <c r="I18" s="58">
        <f t="shared" si="0"/>
        <v>1544221.6253614381</v>
      </c>
      <c r="J18" s="62">
        <f>'BLS Data_Job Type'!$B$38</f>
        <v>0.32335275459111823</v>
      </c>
      <c r="K18" s="63">
        <f t="shared" si="18"/>
        <v>499328.31625979481</v>
      </c>
      <c r="L18" s="63">
        <f t="shared" si="1"/>
        <v>1141950.7162597948</v>
      </c>
      <c r="M18" s="60">
        <f>Assumptions_Input!$C$15</f>
        <v>0.03</v>
      </c>
      <c r="N18" s="63">
        <f t="shared" si="5"/>
        <v>34258.521487793842</v>
      </c>
      <c r="P18" s="17">
        <f>Assumptions_Input!$C$14</f>
        <v>500</v>
      </c>
      <c r="Q18" s="62">
        <f>VLOOKUP(B18,'PPP Index'!$A$2:$E$58,5,FALSE)</f>
        <v>0.46351351401460911</v>
      </c>
      <c r="R18" s="64">
        <f t="shared" si="6"/>
        <v>231.75675700730454</v>
      </c>
      <c r="T18" s="65">
        <f t="shared" si="7"/>
        <v>264654794.66253865</v>
      </c>
      <c r="U18" s="65">
        <f t="shared" si="8"/>
        <v>7939643.8398761591</v>
      </c>
    </row>
    <row r="19" spans="1:21">
      <c r="B19" s="17" t="s">
        <v>68</v>
      </c>
      <c r="C19" s="58">
        <f>VLOOKUP(Model!B19,'Employees by Country'!$C$3:$F$52,4,FALSE)</f>
        <v>12187040</v>
      </c>
      <c r="D19" s="59">
        <f>Assumptions_Input!$C$9</f>
        <v>0.17</v>
      </c>
      <c r="E19" s="60">
        <f>Assumptions_Input!$C$10</f>
        <v>0.04</v>
      </c>
      <c r="F19" s="58">
        <f t="shared" ref="F19" si="19">C19*D19</f>
        <v>2071796.8</v>
      </c>
      <c r="G19" s="58">
        <f t="shared" ref="G19" si="20">C19*E19</f>
        <v>487481.60000000003</v>
      </c>
      <c r="H19" s="61">
        <f>VLOOKUP(Model!B19,'Self-employed_World'!$A$5:$D$268,4,FALSE)</f>
        <v>0.1439300084114071</v>
      </c>
      <c r="I19" s="58">
        <f t="shared" si="0"/>
        <v>1754080.7697101547</v>
      </c>
      <c r="J19" s="62">
        <f>'BLS Data_Job Type'!$B$38</f>
        <v>0.32335275459111823</v>
      </c>
      <c r="K19" s="63">
        <f t="shared" ref="K19" si="21">I19*J19</f>
        <v>567186.84866108745</v>
      </c>
      <c r="L19" s="63">
        <f t="shared" si="1"/>
        <v>1054668.4486610875</v>
      </c>
      <c r="M19" s="60">
        <f>Assumptions_Input!$C$15</f>
        <v>0.03</v>
      </c>
      <c r="N19" s="63">
        <f t="shared" si="5"/>
        <v>31640.053459832627</v>
      </c>
      <c r="P19" s="17">
        <f>Assumptions_Input!$C$14</f>
        <v>500</v>
      </c>
      <c r="Q19" s="62">
        <f>VLOOKUP(B19,'PPP Index'!$A$2:$E$58,5,FALSE)</f>
        <v>0.89131344696969705</v>
      </c>
      <c r="R19" s="64">
        <f t="shared" si="6"/>
        <v>445.6567234848485</v>
      </c>
      <c r="T19" s="65">
        <f t="shared" si="7"/>
        <v>470020085.19314843</v>
      </c>
      <c r="U19" s="65">
        <f t="shared" si="8"/>
        <v>14100602.555794453</v>
      </c>
    </row>
    <row r="20" spans="1:21">
      <c r="B20" s="17" t="s">
        <v>69</v>
      </c>
      <c r="C20" s="58">
        <f>VLOOKUP(Model!B20,'Employees by Country'!$C$3:$F$52,4,FALSE)</f>
        <v>11648960</v>
      </c>
      <c r="D20" s="59">
        <f>Assumptions_Input!$C$9</f>
        <v>0.17</v>
      </c>
      <c r="E20" s="60">
        <f>Assumptions_Input!$C$10</f>
        <v>0.04</v>
      </c>
      <c r="F20" s="58">
        <f t="shared" ref="F20" si="22">C20*D20</f>
        <v>1980323.2000000002</v>
      </c>
      <c r="G20" s="58">
        <f t="shared" ref="G20" si="23">C20*E20</f>
        <v>465958.40000000002</v>
      </c>
      <c r="H20" s="61">
        <f>VLOOKUP(Model!B20,'Self-employed_World'!$A$5:$D$268,4,FALSE)</f>
        <v>0</v>
      </c>
      <c r="I20" s="58">
        <f t="shared" si="0"/>
        <v>0</v>
      </c>
      <c r="J20" s="62">
        <f>'BLS Data_Job Type'!$B$38</f>
        <v>0.32335275459111823</v>
      </c>
      <c r="K20" s="63">
        <f t="shared" ref="K20" si="24">I20*J20</f>
        <v>0</v>
      </c>
      <c r="L20" s="63">
        <f t="shared" si="1"/>
        <v>465958.40000000002</v>
      </c>
      <c r="M20" s="60">
        <f>Assumptions_Input!$C$15</f>
        <v>0.03</v>
      </c>
      <c r="N20" s="63">
        <f t="shared" ref="N20" si="25">L20*M20</f>
        <v>13978.752</v>
      </c>
      <c r="P20" s="17">
        <f>Assumptions_Input!$C$14</f>
        <v>500</v>
      </c>
      <c r="Q20" s="62">
        <f>VLOOKUP(B20,'PPP Index'!$A$2:$E$58,5,FALSE)</f>
        <v>0.60601212509059876</v>
      </c>
      <c r="R20" s="64">
        <f t="shared" ref="R20" si="26">P20*Q20</f>
        <v>303.00606254529936</v>
      </c>
      <c r="T20" s="65">
        <f t="shared" ref="T20" si="27">L20*R20</f>
        <v>141188220.09390762</v>
      </c>
      <c r="U20" s="65">
        <f t="shared" ref="U20" si="28">N20*R20</f>
        <v>4235646.602817229</v>
      </c>
    </row>
    <row r="21" spans="1:21">
      <c r="B21" s="66" t="s">
        <v>70</v>
      </c>
      <c r="C21" s="67">
        <f>SUM(C4:C20)</f>
        <v>1510037190</v>
      </c>
      <c r="D21" s="68"/>
      <c r="E21" s="68"/>
      <c r="F21" s="67">
        <f>SUM(F4:F20)</f>
        <v>256706322.30000001</v>
      </c>
      <c r="G21" s="67">
        <f>SUM(G4:G20)</f>
        <v>60401487.600000001</v>
      </c>
      <c r="H21" s="69"/>
      <c r="I21" s="67">
        <f>SUM(I4:I20)</f>
        <v>277232200.14135003</v>
      </c>
      <c r="J21" s="70"/>
      <c r="K21" s="67">
        <f>SUM(K4:K20)</f>
        <v>89643795.577061743</v>
      </c>
      <c r="L21" s="67">
        <f>SUM(L4:L20)</f>
        <v>150045283.1770618</v>
      </c>
      <c r="M21" s="67"/>
      <c r="N21" s="67">
        <f>SUM(N4:N20)</f>
        <v>4501358.4953118525</v>
      </c>
      <c r="T21" s="67">
        <f>SUM(T4:T20)</f>
        <v>48277892225.428528</v>
      </c>
      <c r="U21" s="67">
        <f>SUM(U4:U20)</f>
        <v>1448336766.7628558</v>
      </c>
    </row>
    <row r="22" spans="1:21">
      <c r="B22" s="71"/>
      <c r="C22" s="72"/>
      <c r="D22" s="72"/>
      <c r="E22" s="72"/>
      <c r="F22" s="72"/>
      <c r="G22" s="72"/>
      <c r="H22" s="72"/>
      <c r="I22" s="72"/>
      <c r="J22" s="72"/>
    </row>
    <row r="23" spans="1:21">
      <c r="A23" s="16" t="s">
        <v>71</v>
      </c>
      <c r="B23" s="71"/>
      <c r="C23" s="72"/>
      <c r="D23" s="72"/>
      <c r="E23" s="72"/>
      <c r="F23" s="72"/>
      <c r="G23" s="72"/>
      <c r="H23" s="72"/>
      <c r="I23" s="72"/>
      <c r="J23" s="72"/>
    </row>
    <row r="24" spans="1:21">
      <c r="A24" s="16" t="s">
        <v>72</v>
      </c>
      <c r="B24" s="71"/>
      <c r="C24" s="72"/>
      <c r="D24" s="72"/>
      <c r="E24" s="72"/>
      <c r="F24" s="72"/>
      <c r="G24" s="72"/>
      <c r="H24" s="72"/>
      <c r="I24" s="72"/>
      <c r="J24" s="72"/>
    </row>
    <row r="25" spans="1:21">
      <c r="A25" s="16" t="s">
        <v>73</v>
      </c>
      <c r="B25" s="71"/>
      <c r="C25" s="72"/>
      <c r="D25" s="72"/>
      <c r="E25" s="72"/>
      <c r="F25" s="72"/>
      <c r="G25" s="72"/>
      <c r="H25" s="72"/>
      <c r="I25" s="72"/>
      <c r="J25" s="72"/>
    </row>
    <row r="26" spans="1:21">
      <c r="A26" s="16" t="s">
        <v>74</v>
      </c>
      <c r="B26" s="71"/>
      <c r="C26" s="72"/>
      <c r="D26" s="72"/>
      <c r="E26" s="72"/>
      <c r="F26" s="72"/>
      <c r="G26" s="72"/>
      <c r="H26" s="72"/>
      <c r="I26" s="72"/>
      <c r="J26" s="72"/>
    </row>
    <row r="27" spans="1:21">
      <c r="A27" s="16" t="s">
        <v>75</v>
      </c>
      <c r="B27" s="71"/>
      <c r="C27" s="72"/>
      <c r="D27" s="72"/>
      <c r="E27" s="72"/>
      <c r="F27" s="72"/>
      <c r="G27" s="72"/>
      <c r="H27" s="72"/>
      <c r="I27" s="72"/>
      <c r="J27" s="72"/>
    </row>
    <row r="28" spans="1:21">
      <c r="A28" s="16" t="s">
        <v>76</v>
      </c>
      <c r="B28" s="71"/>
      <c r="C28" s="72"/>
      <c r="D28" s="72"/>
      <c r="E28" s="72"/>
      <c r="F28" s="72"/>
      <c r="G28" s="72"/>
      <c r="H28" s="72"/>
      <c r="I28" s="72"/>
      <c r="J28" s="72"/>
    </row>
    <row r="29" spans="1:21">
      <c r="A29" s="16" t="s">
        <v>77</v>
      </c>
      <c r="B29" s="71"/>
      <c r="C29" s="72"/>
      <c r="D29" s="72"/>
      <c r="E29" s="72"/>
      <c r="F29" s="72"/>
      <c r="G29" s="72"/>
      <c r="H29" s="72"/>
      <c r="I29" s="72"/>
      <c r="J29" s="72"/>
    </row>
    <row r="30" spans="1:21">
      <c r="A30" s="16" t="s">
        <v>78</v>
      </c>
    </row>
    <row r="31" spans="1:21">
      <c r="A31" s="16" t="s">
        <v>79</v>
      </c>
    </row>
  </sheetData>
  <sheetProtection algorithmName="SHA-512" hashValue="3FRqUslZFaiQUnjzuLX8/opvkjIe3fnQ/4UnrlnpEbfZRsLw2q5B8BrWZmY8zIC2FEgv6M+WqGGWH/ysZNMx1w==" saltValue="fykSEuwnX/eSr0MNUcT0Tg==" spinCount="100000" sheet="1" objects="1" scenarios="1"/>
  <mergeCells count="5">
    <mergeCell ref="D2:G2"/>
    <mergeCell ref="H2:K2"/>
    <mergeCell ref="P2:R2"/>
    <mergeCell ref="M2:N2"/>
    <mergeCell ref="T2:U2"/>
  </mergeCells>
  <pageMargins left="0.7" right="0.7" top="0.75" bottom="0.75" header="0.3" footer="0.3"/>
  <pageSetup orientation="portrait" horizontalDpi="0" verticalDpi="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AEACE-2D97-954C-B0AD-7B161E641DFF}">
  <dimension ref="A1"/>
  <sheetViews>
    <sheetView workbookViewId="0">
      <selection activeCell="T1" sqref="T1:U1048576"/>
    </sheetView>
  </sheetViews>
  <sheetFormatPr defaultColWidth="11" defaultRowHeight="15.9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4"/>
  </sheetPr>
  <dimension ref="B1:F52"/>
  <sheetViews>
    <sheetView topLeftCell="A23" workbookViewId="0">
      <selection activeCell="D8" sqref="D8:D24"/>
    </sheetView>
  </sheetViews>
  <sheetFormatPr defaultColWidth="10.875" defaultRowHeight="15.95"/>
  <cols>
    <col min="1" max="1" width="10.875" style="16"/>
    <col min="2" max="2" width="29.125" style="16" customWidth="1"/>
    <col min="3" max="3" width="21" style="16" customWidth="1"/>
    <col min="4" max="4" width="22.5" style="16" customWidth="1"/>
    <col min="5" max="5" width="21.5" style="16" customWidth="1"/>
    <col min="6" max="6" width="16" style="16" customWidth="1"/>
    <col min="7" max="7" width="20.625" style="16" customWidth="1"/>
    <col min="8" max="16384" width="10.875" style="16"/>
  </cols>
  <sheetData>
    <row r="1" spans="2:6">
      <c r="B1" s="16" t="s">
        <v>30</v>
      </c>
    </row>
    <row r="2" spans="2:6">
      <c r="D2" s="16" t="s">
        <v>80</v>
      </c>
      <c r="E2" s="16" t="s">
        <v>81</v>
      </c>
      <c r="F2" s="16" t="s">
        <v>82</v>
      </c>
    </row>
    <row r="3" spans="2:6">
      <c r="B3" s="16">
        <v>1</v>
      </c>
      <c r="C3" s="16" t="s">
        <v>53</v>
      </c>
      <c r="D3" s="50">
        <v>500000000</v>
      </c>
      <c r="E3" s="49">
        <f>VLOOKUP(C3,'Unemployment Rates_world'!$C$3:$D$220,2,FALSE)</f>
        <v>0.04</v>
      </c>
      <c r="F3" s="51">
        <f>D3*(1-E3)</f>
        <v>480000000</v>
      </c>
    </row>
    <row r="4" spans="2:6">
      <c r="B4" s="16">
        <v>2</v>
      </c>
      <c r="C4" s="16" t="s">
        <v>54</v>
      </c>
      <c r="D4" s="50">
        <v>300000000</v>
      </c>
      <c r="E4" s="49">
        <f>VLOOKUP(C4,'Unemployment Rates_world'!$C$3:$D$220,2,FALSE)</f>
        <v>8.8000000000000009E-2</v>
      </c>
      <c r="F4" s="51">
        <f t="shared" ref="F4:F52" si="0">D4*(1-E4)</f>
        <v>273600000</v>
      </c>
    </row>
    <row r="5" spans="2:6">
      <c r="B5" s="16">
        <v>3</v>
      </c>
      <c r="C5" s="16" t="s">
        <v>55</v>
      </c>
      <c r="D5" s="50">
        <v>100000000</v>
      </c>
      <c r="E5" s="49">
        <f>VLOOKUP(C5,'Unemployment Rates_world'!$C$3:$D$220,2,FALSE)</f>
        <v>9.4E-2</v>
      </c>
      <c r="F5" s="51">
        <f t="shared" si="0"/>
        <v>90600000</v>
      </c>
    </row>
    <row r="6" spans="2:6">
      <c r="B6" s="16">
        <v>4</v>
      </c>
      <c r="C6" s="16" t="s">
        <v>56</v>
      </c>
      <c r="D6" s="50">
        <v>200000000</v>
      </c>
      <c r="E6" s="49">
        <f>VLOOKUP(C6,'Unemployment Rates_world'!$C$3:$D$220,2,FALSE)</f>
        <v>4.4000000000000004E-2</v>
      </c>
      <c r="F6" s="51">
        <f t="shared" si="0"/>
        <v>191200000</v>
      </c>
    </row>
    <row r="7" spans="2:6">
      <c r="B7" s="16">
        <v>5</v>
      </c>
      <c r="C7" s="16" t="s">
        <v>57</v>
      </c>
      <c r="D7" s="50">
        <v>126100000</v>
      </c>
      <c r="E7" s="49">
        <f>VLOOKUP(C7,'Unemployment Rates_world'!$C$3:$D$220,2,FALSE)</f>
        <v>5.4000000000000006E-2</v>
      </c>
      <c r="F7" s="51">
        <f t="shared" si="0"/>
        <v>119290600</v>
      </c>
    </row>
    <row r="8" spans="2:6">
      <c r="B8" s="16">
        <v>6</v>
      </c>
      <c r="C8" s="16" t="s">
        <v>58</v>
      </c>
      <c r="D8" s="50">
        <v>50000000</v>
      </c>
      <c r="E8" s="49">
        <f>VLOOKUP(C8,'Unemployment Rates_world'!$C$3:$D$220,2,FALSE)</f>
        <v>0.13100000000000001</v>
      </c>
      <c r="F8" s="51">
        <f t="shared" si="0"/>
        <v>43450000</v>
      </c>
    </row>
    <row r="9" spans="2:6">
      <c r="B9" s="16">
        <v>7</v>
      </c>
      <c r="C9" s="16" t="s">
        <v>59</v>
      </c>
      <c r="D9" s="50">
        <v>50000000</v>
      </c>
      <c r="E9" s="49">
        <f>VLOOKUP(C9,'Unemployment Rates_world'!$C$3:$D$220,2,FALSE)</f>
        <v>5.5E-2</v>
      </c>
      <c r="F9" s="51">
        <f t="shared" si="0"/>
        <v>47250000</v>
      </c>
    </row>
    <row r="10" spans="2:6">
      <c r="B10" s="16">
        <v>8</v>
      </c>
      <c r="C10" s="16" t="s">
        <v>83</v>
      </c>
      <c r="D10" s="50">
        <v>50000000</v>
      </c>
      <c r="E10" s="49">
        <f>VLOOKUP(C10,'Unemployment Rates_world'!$C$3:$D$220,2,FALSE)</f>
        <v>4.0999999999999995E-2</v>
      </c>
      <c r="F10" s="51">
        <f t="shared" si="0"/>
        <v>47950000</v>
      </c>
    </row>
    <row r="11" spans="2:6">
      <c r="B11" s="16">
        <v>9</v>
      </c>
      <c r="C11" s="16" t="s">
        <v>60</v>
      </c>
      <c r="D11" s="50">
        <v>50000000</v>
      </c>
      <c r="E11" s="49">
        <f>VLOOKUP(C11,'Unemployment Rates_world'!$C$3:$D$220,2,FALSE)</f>
        <v>2.8999999999999998E-2</v>
      </c>
      <c r="F11" s="51">
        <f t="shared" si="0"/>
        <v>48550000</v>
      </c>
    </row>
    <row r="12" spans="2:6">
      <c r="B12" s="16">
        <v>10</v>
      </c>
      <c r="C12" s="16" t="s">
        <v>84</v>
      </c>
      <c r="D12" s="50">
        <v>50000000</v>
      </c>
      <c r="E12" s="49">
        <f>VLOOKUP(C12,'Unemployment Rates_world'!$C$3:$D$220,2,FALSE)</f>
        <v>0.06</v>
      </c>
      <c r="F12" s="51">
        <f t="shared" si="0"/>
        <v>47000000</v>
      </c>
    </row>
    <row r="13" spans="2:6">
      <c r="B13" s="16">
        <v>11</v>
      </c>
      <c r="C13" s="16" t="s">
        <v>85</v>
      </c>
      <c r="D13" s="50">
        <v>50000000</v>
      </c>
      <c r="E13" s="49">
        <f>VLOOKUP(C13,'Unemployment Rates_world'!$C$3:$D$220,2,FALSE)</f>
        <v>0.13400000000000001</v>
      </c>
      <c r="F13" s="51">
        <f t="shared" si="0"/>
        <v>43300000</v>
      </c>
    </row>
    <row r="14" spans="2:6">
      <c r="B14" s="16">
        <v>12</v>
      </c>
      <c r="C14" s="16" t="s">
        <v>86</v>
      </c>
      <c r="D14" s="50">
        <v>50000000</v>
      </c>
      <c r="E14" s="49">
        <f>VLOOKUP(C14,'Unemployment Rates_world'!$C$3:$D$220,2,FALSE)</f>
        <v>2.3E-2</v>
      </c>
      <c r="F14" s="51">
        <f t="shared" si="0"/>
        <v>48850000</v>
      </c>
    </row>
    <row r="15" spans="2:6">
      <c r="B15" s="16">
        <v>13</v>
      </c>
      <c r="C15" s="16" t="s">
        <v>61</v>
      </c>
      <c r="D15" s="50">
        <v>50000000</v>
      </c>
      <c r="E15" s="49">
        <f>VLOOKUP(C15,'Unemployment Rates_world'!$C$3:$D$220,2,FALSE)</f>
        <v>3.6000000000000004E-2</v>
      </c>
      <c r="F15" s="51">
        <f t="shared" si="0"/>
        <v>48200000</v>
      </c>
    </row>
    <row r="16" spans="2:6">
      <c r="B16" s="16">
        <v>14</v>
      </c>
      <c r="C16" s="16" t="s">
        <v>87</v>
      </c>
      <c r="D16" s="50">
        <v>50000000</v>
      </c>
      <c r="E16" s="49">
        <f>VLOOKUP(C16,'Unemployment Rates_world'!$C$3:$D$220,2,FALSE)</f>
        <v>0.17499999999999999</v>
      </c>
      <c r="F16" s="51">
        <f t="shared" si="0"/>
        <v>41250000</v>
      </c>
    </row>
    <row r="17" spans="2:6">
      <c r="B17" s="16">
        <v>15</v>
      </c>
      <c r="C17" s="16" t="s">
        <v>88</v>
      </c>
      <c r="D17" s="50">
        <v>50000000</v>
      </c>
      <c r="E17" s="49">
        <f>VLOOKUP(C17,'Unemployment Rates_world'!$C$3:$D$220,2,FALSE)</f>
        <v>3.7999999999999999E-2</v>
      </c>
      <c r="F17" s="51">
        <f t="shared" si="0"/>
        <v>48100000</v>
      </c>
    </row>
    <row r="18" spans="2:6">
      <c r="B18" s="16">
        <v>16</v>
      </c>
      <c r="C18" s="16" t="s">
        <v>89</v>
      </c>
      <c r="D18" s="50">
        <v>50000000</v>
      </c>
      <c r="E18" s="49">
        <f>VLOOKUP(C18,'Unemployment Rates_world'!$C$3:$D$220,2,FALSE)</f>
        <v>0.06</v>
      </c>
      <c r="F18" s="51">
        <f t="shared" si="0"/>
        <v>47000000</v>
      </c>
    </row>
    <row r="19" spans="2:6">
      <c r="B19" s="16">
        <v>17</v>
      </c>
      <c r="C19" s="16" t="s">
        <v>90</v>
      </c>
      <c r="D19" s="50">
        <v>50000000</v>
      </c>
      <c r="E19" s="49">
        <f>VLOOKUP(C19,'Unemployment Rates_world'!$C$3:$D$220,2,FALSE)</f>
        <v>6.9999999999999993E-3</v>
      </c>
      <c r="F19" s="51">
        <f t="shared" si="0"/>
        <v>49650000</v>
      </c>
    </row>
    <row r="20" spans="2:6">
      <c r="B20" s="16">
        <v>18</v>
      </c>
      <c r="C20" s="16" t="s">
        <v>91</v>
      </c>
      <c r="D20" s="50">
        <v>50000000</v>
      </c>
      <c r="E20" s="49">
        <f>VLOOKUP(C20,'Unemployment Rates_world'!$C$3:$D$220,2,FALSE)</f>
        <v>4.4000000000000004E-2</v>
      </c>
      <c r="F20" s="51">
        <f t="shared" si="0"/>
        <v>47800000</v>
      </c>
    </row>
    <row r="21" spans="2:6">
      <c r="B21" s="16">
        <v>19</v>
      </c>
      <c r="C21" s="16" t="s">
        <v>92</v>
      </c>
      <c r="D21" s="50">
        <v>50000000</v>
      </c>
      <c r="E21" s="49">
        <f>VLOOKUP(C21,'Unemployment Rates_world'!$C$3:$D$220,2,FALSE)</f>
        <v>0.36</v>
      </c>
      <c r="F21" s="51">
        <f t="shared" si="0"/>
        <v>32000000</v>
      </c>
    </row>
    <row r="22" spans="2:6">
      <c r="B22" s="16">
        <v>20</v>
      </c>
      <c r="C22" s="16" t="s">
        <v>62</v>
      </c>
      <c r="D22" s="50">
        <v>50000000</v>
      </c>
      <c r="E22" s="49">
        <f>VLOOKUP(C22,'Unemployment Rates_world'!$C$3:$D$220,2,FALSE)</f>
        <v>0.11199999999999999</v>
      </c>
      <c r="F22" s="51">
        <f t="shared" si="0"/>
        <v>44400000</v>
      </c>
    </row>
    <row r="23" spans="2:6">
      <c r="B23" s="16">
        <v>21</v>
      </c>
      <c r="C23" s="16" t="s">
        <v>93</v>
      </c>
      <c r="D23" s="50">
        <v>50000000</v>
      </c>
      <c r="E23" s="49">
        <f>VLOOKUP(C23,'Unemployment Rates_world'!$C$3:$D$220,2,FALSE)</f>
        <v>9.5000000000000001E-2</v>
      </c>
      <c r="F23" s="51">
        <f t="shared" si="0"/>
        <v>45250000</v>
      </c>
    </row>
    <row r="24" spans="2:6">
      <c r="B24" s="16">
        <v>22</v>
      </c>
      <c r="C24" s="16" t="s">
        <v>94</v>
      </c>
      <c r="D24" s="50">
        <v>50000000</v>
      </c>
      <c r="E24" s="49">
        <f>VLOOKUP(C24,'Unemployment Rates_world'!$C$3:$D$220,2,FALSE)</f>
        <v>0.124</v>
      </c>
      <c r="F24" s="51">
        <f t="shared" si="0"/>
        <v>43800000</v>
      </c>
    </row>
    <row r="25" spans="2:6">
      <c r="B25" s="16">
        <v>23</v>
      </c>
      <c r="C25" s="16" t="s">
        <v>95</v>
      </c>
      <c r="D25" s="50">
        <v>29950000</v>
      </c>
      <c r="E25" s="49">
        <f>VLOOKUP(C25,'Unemployment Rates_world'!$C$3:$D$220,2,FALSE)</f>
        <v>0.122</v>
      </c>
      <c r="F25" s="51">
        <f t="shared" si="0"/>
        <v>26296100</v>
      </c>
    </row>
    <row r="26" spans="2:6">
      <c r="B26" s="16">
        <v>24</v>
      </c>
      <c r="C26" s="16" t="s">
        <v>63</v>
      </c>
      <c r="D26" s="50">
        <v>27470000</v>
      </c>
      <c r="E26" s="49">
        <f>VLOOKUP(C26,'Unemployment Rates_world'!$C$3:$D$220,2,FALSE)</f>
        <v>3.7999999999999999E-2</v>
      </c>
      <c r="F26" s="51">
        <f t="shared" si="0"/>
        <v>26426140</v>
      </c>
    </row>
    <row r="27" spans="2:6">
      <c r="B27" s="16">
        <v>25</v>
      </c>
      <c r="C27" s="16" t="s">
        <v>96</v>
      </c>
      <c r="D27" s="50">
        <v>25940000</v>
      </c>
      <c r="E27" s="49">
        <f>VLOOKUP(C27,'Unemployment Rates_world'!$C$3:$D$220,2,FALSE)</f>
        <v>0.114</v>
      </c>
      <c r="F27" s="51">
        <f t="shared" si="0"/>
        <v>22982840</v>
      </c>
    </row>
    <row r="28" spans="2:6">
      <c r="B28" s="16">
        <v>26</v>
      </c>
      <c r="C28" s="16" t="s">
        <v>97</v>
      </c>
      <c r="D28" s="50">
        <v>24890000</v>
      </c>
      <c r="E28" s="49">
        <f>VLOOKUP(C28,'Unemployment Rates_world'!$C$3:$D$220,2,FALSE)</f>
        <v>0.10300000000000001</v>
      </c>
      <c r="F28" s="51">
        <f t="shared" si="0"/>
        <v>22326330</v>
      </c>
    </row>
    <row r="29" spans="2:6">
      <c r="B29" s="16">
        <v>27</v>
      </c>
      <c r="C29" s="16" t="s">
        <v>64</v>
      </c>
      <c r="D29" s="50">
        <v>24670000</v>
      </c>
      <c r="E29" s="49">
        <f>VLOOKUP(C29,'Unemployment Rates_world'!$C$3:$D$220,2,FALSE)</f>
        <v>9.3000000000000013E-2</v>
      </c>
      <c r="F29" s="51">
        <f t="shared" si="0"/>
        <v>22375690</v>
      </c>
    </row>
    <row r="30" spans="2:6">
      <c r="B30" s="16">
        <v>28</v>
      </c>
      <c r="C30" s="16" t="s">
        <v>98</v>
      </c>
      <c r="D30" s="50">
        <v>22750000</v>
      </c>
      <c r="E30" s="49">
        <f>VLOOKUP(C30,'Unemployment Rates_world'!$C$3:$D$220,2,FALSE)</f>
        <v>0.17100000000000001</v>
      </c>
      <c r="F30" s="51">
        <f t="shared" si="0"/>
        <v>18859750</v>
      </c>
    </row>
    <row r="31" spans="2:6">
      <c r="B31" s="16">
        <v>29</v>
      </c>
      <c r="C31" s="16" t="s">
        <v>99</v>
      </c>
      <c r="D31" s="50">
        <v>22300000</v>
      </c>
      <c r="E31" s="49">
        <f>VLOOKUP(C31,'Unemployment Rates_world'!$C$3:$D$220,2,FALSE)</f>
        <v>0.04</v>
      </c>
      <c r="F31" s="51">
        <f t="shared" si="0"/>
        <v>21408000</v>
      </c>
    </row>
    <row r="32" spans="2:6">
      <c r="B32" s="16">
        <v>30</v>
      </c>
      <c r="C32" s="16" t="s">
        <v>67</v>
      </c>
      <c r="D32" s="50">
        <v>22190000</v>
      </c>
      <c r="E32" s="49">
        <f>VLOOKUP(C32,'Unemployment Rates_world'!$C$3:$D$220,2,FALSE)</f>
        <v>0.27600000000000002</v>
      </c>
      <c r="F32" s="51">
        <f t="shared" si="0"/>
        <v>16065560</v>
      </c>
    </row>
    <row r="33" spans="2:6">
      <c r="B33" s="16">
        <v>31</v>
      </c>
      <c r="C33" s="16" t="s">
        <v>100</v>
      </c>
      <c r="D33" s="50">
        <v>20050000</v>
      </c>
      <c r="E33" s="49">
        <f>VLOOKUP(C33,'Unemployment Rates_world'!$C$3:$D$220,2,FALSE)</f>
        <v>9.4E-2</v>
      </c>
      <c r="F33" s="51">
        <f t="shared" si="0"/>
        <v>18165300</v>
      </c>
    </row>
    <row r="34" spans="2:6">
      <c r="B34" s="16">
        <v>32</v>
      </c>
      <c r="C34" s="16" t="s">
        <v>101</v>
      </c>
      <c r="D34" s="50">
        <v>19820000</v>
      </c>
      <c r="E34" s="49">
        <f>VLOOKUP(C34,'Unemployment Rates_world'!$C$3:$D$220,2,FALSE)</f>
        <v>0.4</v>
      </c>
      <c r="F34" s="51">
        <f t="shared" si="0"/>
        <v>11892000</v>
      </c>
    </row>
    <row r="35" spans="2:6">
      <c r="B35" s="16">
        <v>33</v>
      </c>
      <c r="C35" s="16" t="s">
        <v>65</v>
      </c>
      <c r="D35" s="50">
        <v>19520000</v>
      </c>
      <c r="E35" s="49">
        <f>VLOOKUP(C35,'Unemployment Rates_world'!$C$3:$D$220,2,FALSE)</f>
        <v>6.5000000000000002E-2</v>
      </c>
      <c r="F35" s="51">
        <f t="shared" si="0"/>
        <v>18251200</v>
      </c>
    </row>
    <row r="36" spans="2:6">
      <c r="B36" s="16">
        <v>34</v>
      </c>
      <c r="C36" s="16" t="s">
        <v>102</v>
      </c>
      <c r="D36" s="50">
        <v>18120000</v>
      </c>
      <c r="E36" s="49">
        <f>VLOOKUP(C36,'Unemployment Rates_world'!$C$3:$D$220,2,FALSE)</f>
        <v>4.9000000000000002E-2</v>
      </c>
      <c r="F36" s="51">
        <f t="shared" si="0"/>
        <v>17232120</v>
      </c>
    </row>
    <row r="37" spans="2:6">
      <c r="B37" s="16">
        <v>35</v>
      </c>
      <c r="C37" s="16" t="s">
        <v>66</v>
      </c>
      <c r="D37" s="50">
        <v>18000000</v>
      </c>
      <c r="E37" s="49">
        <f>VLOOKUP(C37,'Unemployment Rates_world'!$C$3:$D$220,2,FALSE)</f>
        <v>8.1000000000000003E-2</v>
      </c>
      <c r="F37" s="51">
        <f t="shared" si="0"/>
        <v>16542000</v>
      </c>
    </row>
    <row r="38" spans="2:6">
      <c r="B38" s="16">
        <v>36</v>
      </c>
      <c r="C38" s="16" t="s">
        <v>103</v>
      </c>
      <c r="D38" s="50">
        <v>17990000</v>
      </c>
      <c r="E38" s="49">
        <f>VLOOKUP(C38,'Unemployment Rates_world'!$C$3:$D$220,2,FALSE)</f>
        <v>9.5000000000000001E-2</v>
      </c>
      <c r="F38" s="51">
        <f t="shared" si="0"/>
        <v>16280950</v>
      </c>
    </row>
    <row r="39" spans="2:6">
      <c r="B39" s="16">
        <v>37</v>
      </c>
      <c r="C39" s="16" t="s">
        <v>104</v>
      </c>
      <c r="D39" s="50">
        <v>17600000</v>
      </c>
      <c r="E39" s="49">
        <f>VLOOKUP(C39,'Unemployment Rates_world'!$C$3:$D$220,2,FALSE)</f>
        <v>4.8000000000000001E-2</v>
      </c>
      <c r="F39" s="51">
        <f t="shared" si="0"/>
        <v>16755200</v>
      </c>
    </row>
    <row r="40" spans="2:6">
      <c r="B40" s="16">
        <v>38</v>
      </c>
      <c r="C40" s="16" t="s">
        <v>105</v>
      </c>
      <c r="D40" s="50">
        <v>17030000</v>
      </c>
      <c r="E40" s="49">
        <f>VLOOKUP(C40,'Unemployment Rates_world'!$C$3:$D$220,2,FALSE)</f>
        <v>6.7000000000000004E-2</v>
      </c>
      <c r="F40" s="51">
        <f t="shared" si="0"/>
        <v>15888990</v>
      </c>
    </row>
    <row r="41" spans="2:6">
      <c r="B41" s="16">
        <v>39</v>
      </c>
      <c r="C41" s="16" t="s">
        <v>106</v>
      </c>
      <c r="D41" s="50">
        <v>15600000</v>
      </c>
      <c r="E41" s="49">
        <f>VLOOKUP(C41,'Unemployment Rates_world'!$C$3:$D$220,2,FALSE)</f>
        <v>3.3000000000000002E-2</v>
      </c>
      <c r="F41" s="51">
        <f t="shared" si="0"/>
        <v>15085200</v>
      </c>
    </row>
    <row r="42" spans="2:6">
      <c r="B42" s="16">
        <v>40</v>
      </c>
      <c r="C42" s="16" t="s">
        <v>107</v>
      </c>
      <c r="D42" s="50">
        <v>14940000</v>
      </c>
      <c r="E42" s="49">
        <f>VLOOKUP(C42,'Unemployment Rates_world'!$C$3:$D$220,2,FALSE)</f>
        <v>3.4000000000000002E-2</v>
      </c>
      <c r="F42" s="51">
        <f t="shared" si="0"/>
        <v>14432040</v>
      </c>
    </row>
    <row r="43" spans="2:6">
      <c r="B43" s="16">
        <v>41</v>
      </c>
      <c r="C43" s="16" t="s">
        <v>108</v>
      </c>
      <c r="D43" s="50">
        <v>14210000</v>
      </c>
      <c r="E43" s="49">
        <f>VLOOKUP(C43,'Unemployment Rates_world'!$C$3:$D$220,2,FALSE)</f>
        <v>0.26400000000000001</v>
      </c>
      <c r="F43" s="51">
        <f t="shared" si="0"/>
        <v>10458560</v>
      </c>
    </row>
    <row r="44" spans="2:6">
      <c r="B44" s="16">
        <v>42</v>
      </c>
      <c r="C44" s="16" t="s">
        <v>109</v>
      </c>
      <c r="D44" s="50">
        <v>14000000</v>
      </c>
      <c r="E44" s="49">
        <f>VLOOKUP(C44,'Unemployment Rates_world'!$C$3:$D$220,2,FALSE)</f>
        <v>0.25600000000000001</v>
      </c>
      <c r="F44" s="51">
        <f t="shared" si="0"/>
        <v>10416000</v>
      </c>
    </row>
    <row r="45" spans="2:6">
      <c r="B45" s="16">
        <v>43</v>
      </c>
      <c r="C45" s="16" t="s">
        <v>110</v>
      </c>
      <c r="D45" s="50">
        <v>13400000</v>
      </c>
      <c r="E45" s="49">
        <f>VLOOKUP(C45,'Unemployment Rates_world'!$C$3:$D$220,2,FALSE)</f>
        <v>2.1000000000000001E-2</v>
      </c>
      <c r="F45" s="51">
        <f t="shared" si="0"/>
        <v>13118600</v>
      </c>
    </row>
    <row r="46" spans="2:6">
      <c r="B46" s="16">
        <v>44</v>
      </c>
      <c r="C46" s="16" t="s">
        <v>111</v>
      </c>
      <c r="D46" s="50">
        <v>12980000</v>
      </c>
      <c r="E46" s="49">
        <f>VLOOKUP(C46,'Unemployment Rates_world'!$C$3:$D$220,2,FALSE)</f>
        <v>0.22399999999999998</v>
      </c>
      <c r="F46" s="51">
        <f t="shared" si="0"/>
        <v>10072480</v>
      </c>
    </row>
    <row r="47" spans="2:6">
      <c r="B47" s="16">
        <v>45</v>
      </c>
      <c r="C47" s="16" t="s">
        <v>68</v>
      </c>
      <c r="D47" s="50">
        <v>12910000</v>
      </c>
      <c r="E47" s="49">
        <f>VLOOKUP(C47,'Unemployment Rates_world'!$C$3:$D$220,2,FALSE)</f>
        <v>5.5999999999999994E-2</v>
      </c>
      <c r="F47" s="51">
        <f t="shared" si="0"/>
        <v>12187040</v>
      </c>
    </row>
    <row r="48" spans="2:6">
      <c r="B48" s="16">
        <v>46</v>
      </c>
      <c r="C48" s="16" t="s">
        <v>112</v>
      </c>
      <c r="D48" s="50">
        <v>12510000</v>
      </c>
      <c r="E48" s="49">
        <f>VLOOKUP(C48,'Unemployment Rates_world'!$C$3:$D$220,2,FALSE)</f>
        <v>6.6000000000000003E-2</v>
      </c>
      <c r="F48" s="51">
        <f t="shared" si="0"/>
        <v>11684340</v>
      </c>
    </row>
    <row r="49" spans="2:6">
      <c r="B49" s="16">
        <v>47</v>
      </c>
      <c r="C49" s="16" t="s">
        <v>113</v>
      </c>
      <c r="D49" s="50">
        <v>12490000</v>
      </c>
      <c r="E49" s="49">
        <f>VLOOKUP(C49,'Unemployment Rates_world'!$C$3:$D$220,2,FALSE)</f>
        <v>0.11900000000000001</v>
      </c>
      <c r="F49" s="51">
        <f t="shared" si="0"/>
        <v>11003690</v>
      </c>
    </row>
    <row r="50" spans="2:6">
      <c r="B50" s="16">
        <v>48</v>
      </c>
      <c r="C50" s="16" t="s">
        <v>69</v>
      </c>
      <c r="D50" s="50">
        <v>12340000</v>
      </c>
      <c r="E50" s="49">
        <f>VLOOKUP(C50,'Unemployment Rates_world'!$C$3:$D$220,2,FALSE)</f>
        <v>5.5999999999999994E-2</v>
      </c>
      <c r="F50" s="51">
        <f t="shared" si="0"/>
        <v>11648960</v>
      </c>
    </row>
    <row r="51" spans="2:6">
      <c r="B51" s="16">
        <v>49</v>
      </c>
      <c r="C51" s="16" t="s">
        <v>114</v>
      </c>
      <c r="D51" s="50">
        <v>12000000</v>
      </c>
      <c r="E51" s="49">
        <f>VLOOKUP(C51,'Unemployment Rates_world'!$C$3:$D$220,2,FALSE)</f>
        <v>9.3000000000000013E-2</v>
      </c>
      <c r="F51" s="51">
        <f t="shared" si="0"/>
        <v>10884000</v>
      </c>
    </row>
    <row r="52" spans="2:6">
      <c r="B52" s="16">
        <v>50</v>
      </c>
      <c r="C52" s="16" t="s">
        <v>115</v>
      </c>
      <c r="D52" s="50">
        <v>11920000</v>
      </c>
      <c r="E52" s="49">
        <f>VLOOKUP(C52,'Unemployment Rates_world'!$C$3:$D$220,2,FALSE)</f>
        <v>0.19600000000000001</v>
      </c>
      <c r="F52" s="51">
        <f t="shared" si="0"/>
        <v>9583680</v>
      </c>
    </row>
  </sheetData>
  <sheetProtection algorithmName="SHA-512" hashValue="gKJHRgtkHoT66j9RytVr5Kd0dR0WXI7RtZJXzkCKFFF/dgfUjSRWJ1cgXBA+wNHoyYH+TivT9OaymzIP9WxIuw==" saltValue="Cetog23QcaHXOohKLez5G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4"/>
  </sheetPr>
  <dimension ref="A1:D220"/>
  <sheetViews>
    <sheetView topLeftCell="A116" workbookViewId="0">
      <selection activeCell="D10" sqref="D10"/>
    </sheetView>
  </sheetViews>
  <sheetFormatPr defaultColWidth="10.875" defaultRowHeight="15.95"/>
  <cols>
    <col min="1" max="2" width="10.875" style="16"/>
    <col min="3" max="3" width="23.625" style="16" customWidth="1"/>
    <col min="4" max="4" width="19.625" style="16" customWidth="1"/>
    <col min="5" max="16384" width="10.875" style="16"/>
  </cols>
  <sheetData>
    <row r="1" spans="1:4">
      <c r="A1" s="16" t="s">
        <v>116</v>
      </c>
    </row>
    <row r="3" spans="1:4" ht="17.100000000000001">
      <c r="B3" s="48">
        <v>1</v>
      </c>
      <c r="C3" s="16" t="s">
        <v>117</v>
      </c>
      <c r="D3" s="49">
        <v>1E-3</v>
      </c>
    </row>
    <row r="4" spans="1:4" ht="17.100000000000001">
      <c r="B4" s="48">
        <v>2</v>
      </c>
      <c r="C4" s="16" t="s">
        <v>118</v>
      </c>
      <c r="D4" s="49">
        <v>3.0000000000000001E-3</v>
      </c>
    </row>
    <row r="5" spans="1:4" ht="17.100000000000001">
      <c r="B5" s="48">
        <v>3</v>
      </c>
      <c r="C5" s="16" t="s">
        <v>119</v>
      </c>
      <c r="D5" s="49">
        <v>6.0000000000000001E-3</v>
      </c>
    </row>
    <row r="6" spans="1:4" ht="17.100000000000001">
      <c r="B6" s="48">
        <v>4</v>
      </c>
      <c r="C6" s="16" t="s">
        <v>90</v>
      </c>
      <c r="D6" s="49">
        <v>6.9999999999999993E-3</v>
      </c>
    </row>
    <row r="7" spans="1:4" ht="17.100000000000001">
      <c r="B7" s="48">
        <v>5</v>
      </c>
      <c r="C7" s="16" t="s">
        <v>120</v>
      </c>
      <c r="D7" s="49">
        <v>0.01</v>
      </c>
    </row>
    <row r="8" spans="1:4" ht="17.100000000000001">
      <c r="B8" s="48">
        <v>6</v>
      </c>
      <c r="C8" s="16" t="s">
        <v>121</v>
      </c>
      <c r="D8" s="49">
        <v>0.01</v>
      </c>
    </row>
    <row r="9" spans="1:4" ht="17.100000000000001">
      <c r="B9" s="48">
        <v>7</v>
      </c>
      <c r="C9" s="16" t="s">
        <v>122</v>
      </c>
      <c r="D9" s="49">
        <v>0.01</v>
      </c>
    </row>
    <row r="10" spans="1:4" ht="17.100000000000001">
      <c r="B10" s="48">
        <v>8</v>
      </c>
      <c r="C10" s="16" t="s">
        <v>123</v>
      </c>
      <c r="D10" s="49">
        <v>1.1000000000000001E-2</v>
      </c>
    </row>
    <row r="11" spans="1:4" ht="17.100000000000001">
      <c r="B11" s="48">
        <v>9</v>
      </c>
      <c r="C11" s="16" t="s">
        <v>124</v>
      </c>
      <c r="D11" s="49">
        <v>1.2E-2</v>
      </c>
    </row>
    <row r="12" spans="1:4" ht="17.100000000000001">
      <c r="B12" s="48">
        <v>10</v>
      </c>
      <c r="C12" s="16" t="s">
        <v>125</v>
      </c>
      <c r="D12" s="49">
        <v>1.4999999999999999E-2</v>
      </c>
    </row>
    <row r="13" spans="1:4" ht="17.100000000000001">
      <c r="B13" s="48">
        <v>11</v>
      </c>
      <c r="C13" s="16" t="s">
        <v>126</v>
      </c>
      <c r="D13" s="49">
        <v>1.7000000000000001E-2</v>
      </c>
    </row>
    <row r="14" spans="1:4" ht="17.100000000000001">
      <c r="B14" s="48">
        <v>12</v>
      </c>
      <c r="C14" s="16" t="s">
        <v>127</v>
      </c>
      <c r="D14" s="49">
        <v>1.7000000000000001E-2</v>
      </c>
    </row>
    <row r="15" spans="1:4" ht="17.100000000000001">
      <c r="B15" s="48">
        <v>13</v>
      </c>
      <c r="C15" s="16" t="s">
        <v>128</v>
      </c>
      <c r="D15" s="49">
        <v>0.02</v>
      </c>
    </row>
    <row r="16" spans="1:4" ht="17.100000000000001">
      <c r="B16" s="48">
        <v>14</v>
      </c>
      <c r="C16" s="16" t="s">
        <v>129</v>
      </c>
      <c r="D16" s="49">
        <v>0.02</v>
      </c>
    </row>
    <row r="17" spans="2:4" ht="17.100000000000001">
      <c r="B17" s="48">
        <v>15</v>
      </c>
      <c r="C17" s="16" t="s">
        <v>110</v>
      </c>
      <c r="D17" s="49">
        <v>2.1000000000000001E-2</v>
      </c>
    </row>
    <row r="18" spans="2:4" ht="17.100000000000001">
      <c r="B18" s="48">
        <v>16</v>
      </c>
      <c r="C18" s="16" t="s">
        <v>130</v>
      </c>
      <c r="D18" s="49">
        <v>2.1000000000000001E-2</v>
      </c>
    </row>
    <row r="19" spans="2:4" ht="17.100000000000001">
      <c r="B19" s="48">
        <v>17</v>
      </c>
      <c r="C19" s="16" t="s">
        <v>131</v>
      </c>
      <c r="D19" s="49">
        <v>2.2000000000000002E-2</v>
      </c>
    </row>
    <row r="20" spans="2:4" ht="17.100000000000001">
      <c r="B20" s="48">
        <v>18</v>
      </c>
      <c r="C20" s="16" t="s">
        <v>132</v>
      </c>
      <c r="D20" s="49">
        <v>2.2000000000000002E-2</v>
      </c>
    </row>
    <row r="21" spans="2:4" ht="17.100000000000001">
      <c r="B21" s="48">
        <v>19</v>
      </c>
      <c r="C21" s="16" t="s">
        <v>86</v>
      </c>
      <c r="D21" s="49">
        <v>2.3E-2</v>
      </c>
    </row>
    <row r="22" spans="2:4" ht="17.100000000000001">
      <c r="B22" s="48">
        <v>20</v>
      </c>
      <c r="C22" s="16" t="s">
        <v>133</v>
      </c>
      <c r="D22" s="49">
        <v>2.4E-2</v>
      </c>
    </row>
    <row r="23" spans="2:4" ht="17.100000000000001">
      <c r="B23" s="48">
        <v>21</v>
      </c>
      <c r="C23" s="16" t="s">
        <v>134</v>
      </c>
      <c r="D23" s="49">
        <v>2.4E-2</v>
      </c>
    </row>
    <row r="24" spans="2:4" ht="17.100000000000001">
      <c r="B24" s="48">
        <v>22</v>
      </c>
      <c r="C24" s="16" t="s">
        <v>135</v>
      </c>
      <c r="D24" s="49">
        <v>2.4E-2</v>
      </c>
    </row>
    <row r="25" spans="2:4" ht="17.100000000000001">
      <c r="B25" s="48">
        <v>23</v>
      </c>
      <c r="C25" s="16" t="s">
        <v>136</v>
      </c>
      <c r="D25" s="49">
        <v>2.5000000000000001E-2</v>
      </c>
    </row>
    <row r="26" spans="2:4" ht="17.100000000000001">
      <c r="B26" s="48">
        <v>24</v>
      </c>
      <c r="C26" s="16" t="s">
        <v>137</v>
      </c>
      <c r="D26" s="49">
        <v>2.6000000000000002E-2</v>
      </c>
    </row>
    <row r="27" spans="2:4" ht="17.100000000000001">
      <c r="B27" s="48">
        <v>25</v>
      </c>
      <c r="C27" s="16" t="s">
        <v>138</v>
      </c>
      <c r="D27" s="49">
        <v>2.6000000000000002E-2</v>
      </c>
    </row>
    <row r="28" spans="2:4" ht="17.100000000000001">
      <c r="B28" s="48">
        <v>26</v>
      </c>
      <c r="C28" s="16" t="s">
        <v>139</v>
      </c>
      <c r="D28" s="49">
        <v>2.7000000000000003E-2</v>
      </c>
    </row>
    <row r="29" spans="2:4" ht="17.100000000000001">
      <c r="B29" s="48">
        <v>27</v>
      </c>
      <c r="C29" s="16" t="s">
        <v>140</v>
      </c>
      <c r="D29" s="49">
        <v>2.7000000000000003E-2</v>
      </c>
    </row>
    <row r="30" spans="2:4" ht="17.100000000000001">
      <c r="B30" s="48">
        <v>28</v>
      </c>
      <c r="C30" s="16" t="s">
        <v>141</v>
      </c>
      <c r="D30" s="49">
        <v>2.7999999999999997E-2</v>
      </c>
    </row>
    <row r="31" spans="2:4" ht="17.100000000000001">
      <c r="B31" s="48">
        <v>29</v>
      </c>
      <c r="C31" s="16" t="s">
        <v>142</v>
      </c>
      <c r="D31" s="49">
        <v>2.7999999999999997E-2</v>
      </c>
    </row>
    <row r="32" spans="2:4" ht="17.100000000000001">
      <c r="B32" s="48">
        <v>30</v>
      </c>
      <c r="C32" s="16" t="s">
        <v>143</v>
      </c>
      <c r="D32" s="49">
        <v>2.7999999999999997E-2</v>
      </c>
    </row>
    <row r="33" spans="2:4" ht="17.100000000000001">
      <c r="B33" s="48">
        <v>31</v>
      </c>
      <c r="C33" s="16" t="s">
        <v>144</v>
      </c>
      <c r="D33" s="49">
        <v>2.7999999999999997E-2</v>
      </c>
    </row>
    <row r="34" spans="2:4" ht="17.100000000000001">
      <c r="B34" s="48">
        <v>32</v>
      </c>
      <c r="C34" s="16" t="s">
        <v>145</v>
      </c>
      <c r="D34" s="49">
        <v>2.7999999999999997E-2</v>
      </c>
    </row>
    <row r="35" spans="2:4" ht="17.100000000000001">
      <c r="B35" s="48">
        <v>33</v>
      </c>
      <c r="C35" s="16" t="s">
        <v>60</v>
      </c>
      <c r="D35" s="49">
        <v>2.8999999999999998E-2</v>
      </c>
    </row>
    <row r="36" spans="2:4" ht="17.100000000000001">
      <c r="B36" s="48">
        <v>34</v>
      </c>
      <c r="C36" s="16" t="s">
        <v>146</v>
      </c>
      <c r="D36" s="49">
        <v>0.03</v>
      </c>
    </row>
    <row r="37" spans="2:4" ht="17.100000000000001">
      <c r="B37" s="48">
        <v>35</v>
      </c>
      <c r="C37" s="16" t="s">
        <v>147</v>
      </c>
      <c r="D37" s="49">
        <v>0.03</v>
      </c>
    </row>
    <row r="38" spans="2:4" ht="17.100000000000001">
      <c r="B38" s="48">
        <v>36</v>
      </c>
      <c r="C38" s="16" t="s">
        <v>148</v>
      </c>
      <c r="D38" s="49">
        <v>3.2000000000000001E-2</v>
      </c>
    </row>
    <row r="39" spans="2:4" ht="17.100000000000001">
      <c r="B39" s="48">
        <v>37</v>
      </c>
      <c r="C39" s="16" t="s">
        <v>106</v>
      </c>
      <c r="D39" s="49">
        <v>3.3000000000000002E-2</v>
      </c>
    </row>
    <row r="40" spans="2:4" ht="17.100000000000001">
      <c r="B40" s="48">
        <v>38</v>
      </c>
      <c r="C40" s="16" t="s">
        <v>107</v>
      </c>
      <c r="D40" s="49">
        <v>3.4000000000000002E-2</v>
      </c>
    </row>
    <row r="41" spans="2:4" ht="17.100000000000001">
      <c r="B41" s="48">
        <v>39</v>
      </c>
      <c r="C41" s="16" t="s">
        <v>149</v>
      </c>
      <c r="D41" s="49">
        <v>3.6000000000000004E-2</v>
      </c>
    </row>
    <row r="42" spans="2:4" ht="17.100000000000001">
      <c r="B42" s="48">
        <v>40</v>
      </c>
      <c r="C42" s="16" t="s">
        <v>61</v>
      </c>
      <c r="D42" s="49">
        <v>3.6000000000000004E-2</v>
      </c>
    </row>
    <row r="43" spans="2:4" ht="17.100000000000001">
      <c r="B43" s="48">
        <v>41</v>
      </c>
      <c r="C43" s="16" t="s">
        <v>150</v>
      </c>
      <c r="D43" s="49">
        <v>3.7000000000000005E-2</v>
      </c>
    </row>
    <row r="44" spans="2:4" ht="17.100000000000001">
      <c r="B44" s="48">
        <v>42</v>
      </c>
      <c r="C44" s="16" t="s">
        <v>151</v>
      </c>
      <c r="D44" s="49">
        <v>3.7999999999999999E-2</v>
      </c>
    </row>
    <row r="45" spans="2:4" ht="17.100000000000001">
      <c r="B45" s="48">
        <v>43</v>
      </c>
      <c r="C45" s="16" t="s">
        <v>63</v>
      </c>
      <c r="D45" s="49">
        <v>3.7999999999999999E-2</v>
      </c>
    </row>
    <row r="46" spans="2:4" ht="17.100000000000001">
      <c r="B46" s="48">
        <v>44</v>
      </c>
      <c r="C46" s="16" t="s">
        <v>152</v>
      </c>
      <c r="D46" s="49">
        <v>3.7999999999999999E-2</v>
      </c>
    </row>
    <row r="47" spans="2:4" ht="17.100000000000001">
      <c r="B47" s="48">
        <v>45</v>
      </c>
      <c r="C47" s="16" t="s">
        <v>88</v>
      </c>
      <c r="D47" s="49">
        <v>3.7999999999999999E-2</v>
      </c>
    </row>
    <row r="48" spans="2:4" ht="17.100000000000001">
      <c r="B48" s="48">
        <v>46</v>
      </c>
      <c r="C48" s="16" t="s">
        <v>153</v>
      </c>
      <c r="D48" s="49">
        <v>0.04</v>
      </c>
    </row>
    <row r="49" spans="2:4" ht="17.100000000000001">
      <c r="B49" s="48">
        <v>47</v>
      </c>
      <c r="C49" s="16" t="s">
        <v>154</v>
      </c>
      <c r="D49" s="49">
        <v>0.04</v>
      </c>
    </row>
    <row r="50" spans="2:4" ht="17.100000000000001">
      <c r="B50" s="48">
        <v>48</v>
      </c>
      <c r="C50" s="16" t="s">
        <v>53</v>
      </c>
      <c r="D50" s="49">
        <v>0.04</v>
      </c>
    </row>
    <row r="51" spans="2:4" ht="17.100000000000001">
      <c r="B51" s="48">
        <v>49</v>
      </c>
      <c r="C51" s="16" t="s">
        <v>155</v>
      </c>
      <c r="D51" s="49">
        <v>0.04</v>
      </c>
    </row>
    <row r="52" spans="2:4" ht="17.100000000000001">
      <c r="B52" s="48">
        <v>50</v>
      </c>
      <c r="C52" s="16" t="s">
        <v>156</v>
      </c>
      <c r="D52" s="49">
        <v>0.04</v>
      </c>
    </row>
    <row r="53" spans="2:4" ht="17.100000000000001">
      <c r="B53" s="48">
        <v>51</v>
      </c>
      <c r="C53" s="16" t="s">
        <v>99</v>
      </c>
      <c r="D53" s="49">
        <v>0.04</v>
      </c>
    </row>
    <row r="54" spans="2:4" ht="17.100000000000001">
      <c r="B54" s="48">
        <v>52</v>
      </c>
      <c r="C54" s="16" t="s">
        <v>157</v>
      </c>
      <c r="D54" s="49">
        <v>0.04</v>
      </c>
    </row>
    <row r="55" spans="2:4" ht="17.100000000000001">
      <c r="B55" s="48">
        <v>53</v>
      </c>
      <c r="C55" s="16" t="s">
        <v>158</v>
      </c>
      <c r="D55" s="49">
        <v>4.0999999999999995E-2</v>
      </c>
    </row>
    <row r="56" spans="2:4" ht="17.100000000000001">
      <c r="B56" s="48">
        <v>54</v>
      </c>
      <c r="C56" s="16" t="s">
        <v>159</v>
      </c>
      <c r="D56" s="49">
        <v>4.0999999999999995E-2</v>
      </c>
    </row>
    <row r="57" spans="2:4" ht="17.100000000000001">
      <c r="B57" s="48">
        <v>55</v>
      </c>
      <c r="C57" s="16" t="s">
        <v>83</v>
      </c>
      <c r="D57" s="49">
        <v>4.0999999999999995E-2</v>
      </c>
    </row>
    <row r="58" spans="2:4" ht="17.100000000000001">
      <c r="B58" s="48">
        <v>56</v>
      </c>
      <c r="C58" s="16" t="s">
        <v>160</v>
      </c>
      <c r="D58" s="49">
        <v>4.2999999999999997E-2</v>
      </c>
    </row>
    <row r="59" spans="2:4" ht="17.100000000000001">
      <c r="B59" s="48">
        <v>57</v>
      </c>
      <c r="C59" s="16" t="s">
        <v>161</v>
      </c>
      <c r="D59" s="49">
        <v>4.2999999999999997E-2</v>
      </c>
    </row>
    <row r="60" spans="2:4" ht="17.100000000000001">
      <c r="B60" s="48">
        <v>58</v>
      </c>
      <c r="C60" s="16" t="s">
        <v>162</v>
      </c>
      <c r="D60" s="49">
        <v>4.2999999999999997E-2</v>
      </c>
    </row>
    <row r="61" spans="2:4" ht="17.100000000000001">
      <c r="B61" s="48">
        <v>59</v>
      </c>
      <c r="C61" s="16" t="s">
        <v>163</v>
      </c>
      <c r="D61" s="49">
        <v>4.4000000000000004E-2</v>
      </c>
    </row>
    <row r="62" spans="2:4" ht="17.100000000000001">
      <c r="B62" s="48">
        <v>60</v>
      </c>
      <c r="C62" s="16" t="s">
        <v>56</v>
      </c>
      <c r="D62" s="49">
        <v>4.4000000000000004E-2</v>
      </c>
    </row>
    <row r="63" spans="2:4" ht="17.100000000000001">
      <c r="B63" s="48">
        <v>61</v>
      </c>
      <c r="C63" s="16" t="s">
        <v>91</v>
      </c>
      <c r="D63" s="49">
        <v>4.4000000000000004E-2</v>
      </c>
    </row>
    <row r="64" spans="2:4" ht="17.100000000000001">
      <c r="B64" s="48">
        <v>62</v>
      </c>
      <c r="C64" s="16" t="s">
        <v>164</v>
      </c>
      <c r="D64" s="49">
        <v>4.4000000000000004E-2</v>
      </c>
    </row>
    <row r="65" spans="2:4" ht="17.100000000000001">
      <c r="B65" s="48">
        <v>63</v>
      </c>
      <c r="C65" s="16" t="s">
        <v>165</v>
      </c>
      <c r="D65" s="49">
        <v>4.4000000000000004E-2</v>
      </c>
    </row>
    <row r="66" spans="2:4" ht="17.100000000000001">
      <c r="B66" s="48">
        <v>64</v>
      </c>
      <c r="C66" s="16" t="s">
        <v>166</v>
      </c>
      <c r="D66" s="49">
        <v>4.4999999999999998E-2</v>
      </c>
    </row>
    <row r="67" spans="2:4" ht="17.100000000000001">
      <c r="B67" s="48">
        <v>65</v>
      </c>
      <c r="C67" s="16" t="s">
        <v>104</v>
      </c>
      <c r="D67" s="49">
        <v>4.8000000000000001E-2</v>
      </c>
    </row>
    <row r="68" spans="2:4" ht="17.100000000000001">
      <c r="B68" s="48">
        <v>66</v>
      </c>
      <c r="C68" s="16" t="s">
        <v>167</v>
      </c>
      <c r="D68" s="49">
        <v>4.9000000000000002E-2</v>
      </c>
    </row>
    <row r="69" spans="2:4" ht="17.100000000000001">
      <c r="B69" s="48">
        <v>67</v>
      </c>
      <c r="C69" s="16" t="s">
        <v>102</v>
      </c>
      <c r="D69" s="49">
        <v>4.9000000000000002E-2</v>
      </c>
    </row>
    <row r="70" spans="2:4" ht="17.100000000000001">
      <c r="B70" s="48">
        <v>68</v>
      </c>
      <c r="C70" s="16" t="s">
        <v>168</v>
      </c>
      <c r="D70" s="49">
        <v>0.05</v>
      </c>
    </row>
    <row r="71" spans="2:4" ht="17.100000000000001">
      <c r="B71" s="48">
        <v>69</v>
      </c>
      <c r="C71" s="16" t="s">
        <v>169</v>
      </c>
      <c r="D71" s="49">
        <v>5.0999999999999997E-2</v>
      </c>
    </row>
    <row r="72" spans="2:4" ht="17.100000000000001">
      <c r="B72" s="48">
        <v>70</v>
      </c>
      <c r="C72" s="16" t="s">
        <v>170</v>
      </c>
      <c r="D72" s="49">
        <v>5.0999999999999997E-2</v>
      </c>
    </row>
    <row r="73" spans="2:4" ht="17.100000000000001">
      <c r="B73" s="48">
        <v>71</v>
      </c>
      <c r="C73" s="16" t="s">
        <v>171</v>
      </c>
      <c r="D73" s="49">
        <v>5.2999999999999999E-2</v>
      </c>
    </row>
    <row r="74" spans="2:4" ht="17.100000000000001">
      <c r="B74" s="48">
        <v>72</v>
      </c>
      <c r="C74" s="16" t="s">
        <v>172</v>
      </c>
      <c r="D74" s="49">
        <v>5.4000000000000006E-2</v>
      </c>
    </row>
    <row r="75" spans="2:4" ht="17.100000000000001">
      <c r="B75" s="48">
        <v>73</v>
      </c>
      <c r="C75" s="16" t="s">
        <v>57</v>
      </c>
      <c r="D75" s="49">
        <v>5.4000000000000006E-2</v>
      </c>
    </row>
    <row r="76" spans="2:4" ht="17.100000000000001">
      <c r="B76" s="48">
        <v>74</v>
      </c>
      <c r="C76" s="16" t="s">
        <v>173</v>
      </c>
      <c r="D76" s="49">
        <v>5.5E-2</v>
      </c>
    </row>
    <row r="77" spans="2:4" ht="17.100000000000001">
      <c r="B77" s="48">
        <v>75</v>
      </c>
      <c r="C77" s="16" t="s">
        <v>174</v>
      </c>
      <c r="D77" s="49">
        <v>5.5E-2</v>
      </c>
    </row>
    <row r="78" spans="2:4" ht="17.100000000000001">
      <c r="B78" s="48">
        <v>76</v>
      </c>
      <c r="C78" s="16" t="s">
        <v>59</v>
      </c>
      <c r="D78" s="49">
        <v>5.5E-2</v>
      </c>
    </row>
    <row r="79" spans="2:4" ht="17.100000000000001">
      <c r="B79" s="48">
        <v>77</v>
      </c>
      <c r="C79" s="16" t="s">
        <v>175</v>
      </c>
      <c r="D79" s="49">
        <v>5.5E-2</v>
      </c>
    </row>
    <row r="80" spans="2:4" ht="17.100000000000001">
      <c r="B80" s="48">
        <v>78</v>
      </c>
      <c r="C80" s="16" t="s">
        <v>69</v>
      </c>
      <c r="D80" s="49">
        <v>5.5999999999999994E-2</v>
      </c>
    </row>
    <row r="81" spans="2:4" ht="17.100000000000001">
      <c r="B81" s="48">
        <v>79</v>
      </c>
      <c r="C81" s="16" t="s">
        <v>68</v>
      </c>
      <c r="D81" s="49">
        <v>5.5999999999999994E-2</v>
      </c>
    </row>
    <row r="82" spans="2:4" ht="17.100000000000001">
      <c r="B82" s="48">
        <v>80</v>
      </c>
      <c r="C82" s="16" t="s">
        <v>176</v>
      </c>
      <c r="D82" s="49">
        <v>5.7999999999999996E-2</v>
      </c>
    </row>
    <row r="83" spans="2:4" ht="17.100000000000001">
      <c r="B83" s="48">
        <v>81</v>
      </c>
      <c r="C83" s="16" t="s">
        <v>177</v>
      </c>
      <c r="D83" s="49">
        <v>5.9000000000000004E-2</v>
      </c>
    </row>
    <row r="84" spans="2:4" ht="17.100000000000001">
      <c r="B84" s="48">
        <v>82</v>
      </c>
      <c r="C84" s="16" t="s">
        <v>178</v>
      </c>
      <c r="D84" s="49">
        <v>5.9000000000000004E-2</v>
      </c>
    </row>
    <row r="85" spans="2:4" ht="17.100000000000001">
      <c r="B85" s="48">
        <v>83</v>
      </c>
      <c r="C85" s="16" t="s">
        <v>179</v>
      </c>
      <c r="D85" s="49">
        <v>0.06</v>
      </c>
    </row>
    <row r="86" spans="2:4" ht="17.100000000000001">
      <c r="B86" s="48">
        <v>84</v>
      </c>
      <c r="C86" s="16" t="s">
        <v>180</v>
      </c>
      <c r="D86" s="49">
        <v>0.06</v>
      </c>
    </row>
    <row r="87" spans="2:4" ht="17.100000000000001">
      <c r="B87" s="48">
        <v>85</v>
      </c>
      <c r="C87" s="16" t="s">
        <v>84</v>
      </c>
      <c r="D87" s="49">
        <v>0.06</v>
      </c>
    </row>
    <row r="88" spans="2:4" ht="17.100000000000001">
      <c r="B88" s="48">
        <v>86</v>
      </c>
      <c r="C88" s="16" t="s">
        <v>89</v>
      </c>
      <c r="D88" s="49">
        <v>0.06</v>
      </c>
    </row>
    <row r="89" spans="2:4" ht="17.100000000000001">
      <c r="B89" s="48">
        <v>87</v>
      </c>
      <c r="C89" s="16" t="s">
        <v>181</v>
      </c>
      <c r="D89" s="49">
        <v>6.4000000000000001E-2</v>
      </c>
    </row>
    <row r="90" spans="2:4" ht="17.100000000000001">
      <c r="B90" s="48">
        <v>88</v>
      </c>
      <c r="C90" s="16" t="s">
        <v>182</v>
      </c>
      <c r="D90" s="49">
        <v>6.5000000000000002E-2</v>
      </c>
    </row>
    <row r="91" spans="2:4" ht="17.100000000000001">
      <c r="B91" s="48">
        <v>89</v>
      </c>
      <c r="C91" s="16" t="s">
        <v>183</v>
      </c>
      <c r="D91" s="49">
        <v>6.5000000000000002E-2</v>
      </c>
    </row>
    <row r="92" spans="2:4" ht="17.100000000000001">
      <c r="B92" s="48">
        <v>90</v>
      </c>
      <c r="C92" s="16" t="s">
        <v>184</v>
      </c>
      <c r="D92" s="49">
        <v>6.5000000000000002E-2</v>
      </c>
    </row>
    <row r="93" spans="2:4" ht="17.100000000000001">
      <c r="B93" s="48">
        <v>91</v>
      </c>
      <c r="C93" s="16" t="s">
        <v>65</v>
      </c>
      <c r="D93" s="49">
        <v>6.5000000000000002E-2</v>
      </c>
    </row>
    <row r="94" spans="2:4" ht="17.100000000000001">
      <c r="B94" s="48">
        <v>92</v>
      </c>
      <c r="C94" s="16" t="s">
        <v>185</v>
      </c>
      <c r="D94" s="49">
        <v>6.6000000000000003E-2</v>
      </c>
    </row>
    <row r="95" spans="2:4" ht="17.100000000000001">
      <c r="B95" s="48">
        <v>93</v>
      </c>
      <c r="C95" s="16" t="s">
        <v>186</v>
      </c>
      <c r="D95" s="49">
        <v>6.6000000000000003E-2</v>
      </c>
    </row>
    <row r="96" spans="2:4" ht="17.100000000000001">
      <c r="B96" s="48">
        <v>94</v>
      </c>
      <c r="C96" s="16" t="s">
        <v>112</v>
      </c>
      <c r="D96" s="49">
        <v>6.6000000000000003E-2</v>
      </c>
    </row>
    <row r="97" spans="2:4" ht="17.100000000000001">
      <c r="B97" s="48">
        <v>95</v>
      </c>
      <c r="C97" s="16" t="s">
        <v>105</v>
      </c>
      <c r="D97" s="49">
        <v>6.7000000000000004E-2</v>
      </c>
    </row>
    <row r="98" spans="2:4" ht="17.100000000000001">
      <c r="B98" s="48">
        <v>96</v>
      </c>
      <c r="C98" s="16" t="s">
        <v>187</v>
      </c>
      <c r="D98" s="49">
        <v>6.8000000000000005E-2</v>
      </c>
    </row>
    <row r="99" spans="2:4" ht="17.100000000000001">
      <c r="B99" s="48">
        <v>97</v>
      </c>
      <c r="C99" s="16" t="s">
        <v>188</v>
      </c>
      <c r="D99" s="49">
        <v>6.9000000000000006E-2</v>
      </c>
    </row>
    <row r="100" spans="2:4" ht="17.100000000000001">
      <c r="B100" s="48">
        <v>98</v>
      </c>
      <c r="C100" s="16" t="s">
        <v>189</v>
      </c>
      <c r="D100" s="49">
        <v>6.9000000000000006E-2</v>
      </c>
    </row>
    <row r="101" spans="2:4" ht="17.100000000000001">
      <c r="B101" s="48">
        <v>99</v>
      </c>
      <c r="C101" s="16" t="s">
        <v>190</v>
      </c>
      <c r="D101" s="49">
        <v>6.9000000000000006E-2</v>
      </c>
    </row>
    <row r="102" spans="2:4" ht="17.100000000000001">
      <c r="B102" s="48">
        <v>100</v>
      </c>
      <c r="C102" s="16" t="s">
        <v>191</v>
      </c>
      <c r="D102" s="49">
        <v>6.9000000000000006E-2</v>
      </c>
    </row>
    <row r="103" spans="2:4" ht="17.100000000000001">
      <c r="B103" s="48">
        <v>101</v>
      </c>
      <c r="C103" s="16" t="s">
        <v>192</v>
      </c>
      <c r="D103" s="49">
        <v>7.0000000000000007E-2</v>
      </c>
    </row>
    <row r="104" spans="2:4" ht="17.100000000000001">
      <c r="B104" s="48">
        <v>102</v>
      </c>
      <c r="C104" s="16" t="s">
        <v>193</v>
      </c>
      <c r="D104" s="49">
        <v>7.0000000000000007E-2</v>
      </c>
    </row>
    <row r="105" spans="2:4" ht="17.100000000000001">
      <c r="B105" s="48">
        <v>103</v>
      </c>
      <c r="C105" s="16" t="s">
        <v>194</v>
      </c>
      <c r="D105" s="49">
        <v>7.0000000000000007E-2</v>
      </c>
    </row>
    <row r="106" spans="2:4" ht="17.100000000000001">
      <c r="B106" s="48">
        <v>104</v>
      </c>
      <c r="C106" s="16" t="s">
        <v>195</v>
      </c>
      <c r="D106" s="49">
        <v>7.2999999999999995E-2</v>
      </c>
    </row>
    <row r="107" spans="2:4" ht="17.100000000000001">
      <c r="B107" s="48">
        <v>105</v>
      </c>
      <c r="C107" s="16" t="s">
        <v>196</v>
      </c>
      <c r="D107" s="49">
        <v>7.400000000000001E-2</v>
      </c>
    </row>
    <row r="108" spans="2:4" ht="17.100000000000001">
      <c r="B108" s="48">
        <v>106</v>
      </c>
      <c r="C108" s="16" t="s">
        <v>197</v>
      </c>
      <c r="D108" s="49">
        <v>7.4999999999999997E-2</v>
      </c>
    </row>
    <row r="109" spans="2:4" ht="17.100000000000001">
      <c r="B109" s="48">
        <v>107</v>
      </c>
      <c r="C109" s="16" t="s">
        <v>198</v>
      </c>
      <c r="D109" s="49">
        <v>0.08</v>
      </c>
    </row>
    <row r="110" spans="2:4" ht="17.100000000000001">
      <c r="B110" s="48">
        <v>108</v>
      </c>
      <c r="C110" s="16" t="s">
        <v>199</v>
      </c>
      <c r="D110" s="49">
        <v>0.08</v>
      </c>
    </row>
    <row r="111" spans="2:4" ht="17.100000000000001">
      <c r="B111" s="48">
        <v>109</v>
      </c>
      <c r="C111" s="16" t="s">
        <v>200</v>
      </c>
      <c r="D111" s="49">
        <v>0.08</v>
      </c>
    </row>
    <row r="112" spans="2:4" ht="17.100000000000001">
      <c r="B112" s="48">
        <v>110</v>
      </c>
      <c r="C112" s="16" t="s">
        <v>201</v>
      </c>
      <c r="D112" s="49">
        <v>0.08</v>
      </c>
    </row>
    <row r="113" spans="2:4" ht="17.100000000000001">
      <c r="B113" s="48">
        <v>111</v>
      </c>
      <c r="C113" s="16" t="s">
        <v>202</v>
      </c>
      <c r="D113" s="49">
        <v>8.1000000000000003E-2</v>
      </c>
    </row>
    <row r="114" spans="2:4" ht="17.100000000000001">
      <c r="B114" s="48">
        <v>112</v>
      </c>
      <c r="C114" s="16" t="s">
        <v>66</v>
      </c>
      <c r="D114" s="49">
        <v>8.1000000000000003E-2</v>
      </c>
    </row>
    <row r="115" spans="2:4" ht="17.100000000000001">
      <c r="B115" s="48">
        <v>113</v>
      </c>
      <c r="C115" s="16" t="s">
        <v>203</v>
      </c>
      <c r="D115" s="49">
        <v>8.1000000000000003E-2</v>
      </c>
    </row>
    <row r="116" spans="2:4" ht="17.100000000000001">
      <c r="B116" s="48">
        <v>114</v>
      </c>
      <c r="C116" s="16" t="s">
        <v>204</v>
      </c>
      <c r="D116" s="49">
        <v>8.1000000000000003E-2</v>
      </c>
    </row>
    <row r="117" spans="2:4" ht="17.100000000000001">
      <c r="B117" s="48">
        <v>115</v>
      </c>
      <c r="C117" s="16" t="s">
        <v>205</v>
      </c>
      <c r="D117" s="49">
        <v>8.4000000000000005E-2</v>
      </c>
    </row>
    <row r="118" spans="2:4" ht="17.100000000000001">
      <c r="B118" s="48">
        <v>116</v>
      </c>
      <c r="C118" s="16" t="s">
        <v>206</v>
      </c>
      <c r="D118" s="49">
        <v>8.4000000000000005E-2</v>
      </c>
    </row>
    <row r="119" spans="2:4" ht="17.100000000000001">
      <c r="B119" s="48">
        <v>117</v>
      </c>
      <c r="C119" s="16" t="s">
        <v>207</v>
      </c>
      <c r="D119" s="49">
        <v>8.5999999999999993E-2</v>
      </c>
    </row>
    <row r="120" spans="2:4" ht="17.100000000000001">
      <c r="B120" s="48">
        <v>118</v>
      </c>
      <c r="C120" s="16" t="s">
        <v>208</v>
      </c>
      <c r="D120" s="49">
        <v>8.5999999999999993E-2</v>
      </c>
    </row>
    <row r="121" spans="2:4" ht="17.100000000000001">
      <c r="B121" s="48">
        <v>119</v>
      </c>
      <c r="C121" s="16" t="s">
        <v>209</v>
      </c>
      <c r="D121" s="49">
        <v>8.6999999999999994E-2</v>
      </c>
    </row>
    <row r="122" spans="2:4" ht="17.100000000000001">
      <c r="B122" s="48">
        <v>120</v>
      </c>
      <c r="C122" s="16" t="s">
        <v>210</v>
      </c>
      <c r="D122" s="49">
        <v>8.6999999999999994E-2</v>
      </c>
    </row>
    <row r="123" spans="2:4" ht="17.100000000000001">
      <c r="B123" s="48">
        <v>121</v>
      </c>
      <c r="C123" s="16" t="s">
        <v>211</v>
      </c>
      <c r="D123" s="49">
        <v>8.8000000000000009E-2</v>
      </c>
    </row>
    <row r="124" spans="2:4" ht="17.100000000000001">
      <c r="B124" s="48">
        <v>122</v>
      </c>
      <c r="C124" s="16" t="s">
        <v>54</v>
      </c>
      <c r="D124" s="49">
        <v>8.8000000000000009E-2</v>
      </c>
    </row>
    <row r="125" spans="2:4" ht="17.100000000000001">
      <c r="B125" s="48">
        <v>123</v>
      </c>
      <c r="C125" s="16" t="s">
        <v>212</v>
      </c>
      <c r="D125" s="49">
        <v>0.09</v>
      </c>
    </row>
    <row r="126" spans="2:4" ht="17.100000000000001">
      <c r="B126" s="48">
        <v>124</v>
      </c>
      <c r="C126" s="16" t="s">
        <v>213</v>
      </c>
      <c r="D126" s="49">
        <v>0.09</v>
      </c>
    </row>
    <row r="127" spans="2:4" ht="17.100000000000001">
      <c r="B127" s="48">
        <v>125</v>
      </c>
      <c r="C127" s="16" t="s">
        <v>214</v>
      </c>
      <c r="D127" s="49">
        <v>0.09</v>
      </c>
    </row>
    <row r="128" spans="2:4" ht="17.100000000000001">
      <c r="B128" s="48">
        <v>126</v>
      </c>
      <c r="C128" s="16" t="s">
        <v>215</v>
      </c>
      <c r="D128" s="49">
        <v>9.0999999999999998E-2</v>
      </c>
    </row>
    <row r="129" spans="2:4" ht="17.100000000000001">
      <c r="B129" s="48">
        <v>127</v>
      </c>
      <c r="C129" s="16" t="s">
        <v>216</v>
      </c>
      <c r="D129" s="49">
        <v>9.0999999999999998E-2</v>
      </c>
    </row>
    <row r="130" spans="2:4" ht="17.100000000000001">
      <c r="B130" s="48">
        <v>128</v>
      </c>
      <c r="C130" s="16" t="s">
        <v>217</v>
      </c>
      <c r="D130" s="49">
        <v>9.0999999999999998E-2</v>
      </c>
    </row>
    <row r="131" spans="2:4" ht="17.100000000000001">
      <c r="B131" s="48">
        <v>129</v>
      </c>
      <c r="C131" s="16" t="s">
        <v>64</v>
      </c>
      <c r="D131" s="49">
        <v>9.3000000000000013E-2</v>
      </c>
    </row>
    <row r="132" spans="2:4" ht="17.100000000000001">
      <c r="B132" s="48">
        <v>130</v>
      </c>
      <c r="C132" s="16" t="s">
        <v>114</v>
      </c>
      <c r="D132" s="49">
        <v>9.3000000000000013E-2</v>
      </c>
    </row>
    <row r="133" spans="2:4" ht="17.100000000000001">
      <c r="B133" s="48">
        <v>131</v>
      </c>
      <c r="C133" s="16" t="s">
        <v>55</v>
      </c>
      <c r="D133" s="49">
        <v>9.4E-2</v>
      </c>
    </row>
    <row r="134" spans="2:4" ht="17.100000000000001">
      <c r="B134" s="48">
        <v>132</v>
      </c>
      <c r="C134" s="16" t="s">
        <v>100</v>
      </c>
      <c r="D134" s="49">
        <v>9.4E-2</v>
      </c>
    </row>
    <row r="135" spans="2:4" ht="17.100000000000001">
      <c r="B135" s="48">
        <v>133</v>
      </c>
      <c r="C135" s="16" t="s">
        <v>218</v>
      </c>
      <c r="D135" s="49">
        <v>9.4E-2</v>
      </c>
    </row>
    <row r="136" spans="2:4" ht="17.100000000000001">
      <c r="B136" s="48">
        <v>134</v>
      </c>
      <c r="C136" s="16" t="s">
        <v>103</v>
      </c>
      <c r="D136" s="49">
        <v>9.5000000000000001E-2</v>
      </c>
    </row>
    <row r="137" spans="2:4" ht="17.100000000000001">
      <c r="B137" s="48">
        <v>135</v>
      </c>
      <c r="C137" s="16" t="s">
        <v>93</v>
      </c>
      <c r="D137" s="49">
        <v>9.5000000000000001E-2</v>
      </c>
    </row>
    <row r="138" spans="2:4" ht="17.100000000000001">
      <c r="B138" s="48">
        <v>136</v>
      </c>
      <c r="C138" s="16" t="s">
        <v>219</v>
      </c>
      <c r="D138" s="49">
        <v>9.6999999999999989E-2</v>
      </c>
    </row>
    <row r="139" spans="2:4" ht="17.100000000000001">
      <c r="B139" s="48">
        <v>137</v>
      </c>
      <c r="C139" s="16" t="s">
        <v>220</v>
      </c>
      <c r="D139" s="49">
        <v>9.8000000000000004E-2</v>
      </c>
    </row>
    <row r="140" spans="2:4" ht="17.100000000000001">
      <c r="B140" s="48">
        <v>138</v>
      </c>
      <c r="C140" s="16" t="s">
        <v>221</v>
      </c>
      <c r="D140" s="49">
        <v>9.9000000000000005E-2</v>
      </c>
    </row>
    <row r="141" spans="2:4" ht="17.100000000000001">
      <c r="B141" s="48">
        <v>139</v>
      </c>
      <c r="C141" s="16" t="s">
        <v>222</v>
      </c>
      <c r="D141" s="49">
        <v>0.1</v>
      </c>
    </row>
    <row r="142" spans="2:4" ht="17.100000000000001">
      <c r="B142" s="48">
        <v>140</v>
      </c>
      <c r="C142" s="16" t="s">
        <v>223</v>
      </c>
      <c r="D142" s="49">
        <v>0.1</v>
      </c>
    </row>
    <row r="143" spans="2:4" ht="17.100000000000001">
      <c r="B143" s="48">
        <v>141</v>
      </c>
      <c r="C143" s="16" t="s">
        <v>224</v>
      </c>
      <c r="D143" s="49">
        <v>0.10099999999999999</v>
      </c>
    </row>
    <row r="144" spans="2:4" ht="17.100000000000001">
      <c r="B144" s="48">
        <v>142</v>
      </c>
      <c r="C144" s="16" t="s">
        <v>97</v>
      </c>
      <c r="D144" s="49">
        <v>0.10300000000000001</v>
      </c>
    </row>
    <row r="145" spans="2:4" ht="17.100000000000001">
      <c r="B145" s="48">
        <v>143</v>
      </c>
      <c r="C145" s="16" t="s">
        <v>225</v>
      </c>
      <c r="D145" s="49">
        <v>0.11</v>
      </c>
    </row>
    <row r="146" spans="2:4" ht="17.100000000000001">
      <c r="B146" s="48">
        <v>144</v>
      </c>
      <c r="C146" s="16" t="s">
        <v>226</v>
      </c>
      <c r="D146" s="49">
        <v>0.11</v>
      </c>
    </row>
    <row r="147" spans="2:4" ht="17.100000000000001">
      <c r="B147" s="48">
        <v>145</v>
      </c>
      <c r="C147" s="16" t="s">
        <v>227</v>
      </c>
      <c r="D147" s="49">
        <v>0.111</v>
      </c>
    </row>
    <row r="148" spans="2:4" ht="17.100000000000001">
      <c r="B148" s="48">
        <v>146</v>
      </c>
      <c r="C148" s="16" t="s">
        <v>228</v>
      </c>
      <c r="D148" s="49">
        <v>0.11199999999999999</v>
      </c>
    </row>
    <row r="149" spans="2:4" ht="17.100000000000001">
      <c r="B149" s="48">
        <v>147</v>
      </c>
      <c r="C149" s="16" t="s">
        <v>62</v>
      </c>
      <c r="D149" s="49">
        <v>0.11199999999999999</v>
      </c>
    </row>
    <row r="150" spans="2:4" ht="17.100000000000001">
      <c r="B150" s="48">
        <v>148</v>
      </c>
      <c r="C150" s="16" t="s">
        <v>96</v>
      </c>
      <c r="D150" s="49">
        <v>0.114</v>
      </c>
    </row>
    <row r="151" spans="2:4" ht="17.100000000000001">
      <c r="B151" s="48">
        <v>149</v>
      </c>
      <c r="C151" s="16" t="s">
        <v>229</v>
      </c>
      <c r="D151" s="49">
        <v>0.115</v>
      </c>
    </row>
    <row r="152" spans="2:4" ht="17.100000000000001">
      <c r="B152" s="48">
        <v>150</v>
      </c>
      <c r="C152" s="16" t="s">
        <v>230</v>
      </c>
      <c r="D152" s="49">
        <v>0.115</v>
      </c>
    </row>
    <row r="153" spans="2:4" ht="17.100000000000001">
      <c r="B153" s="48">
        <v>151</v>
      </c>
      <c r="C153" s="16" t="s">
        <v>231</v>
      </c>
      <c r="D153" s="49">
        <v>0.11599999999999999</v>
      </c>
    </row>
    <row r="154" spans="2:4" ht="17.100000000000001">
      <c r="B154" s="48">
        <v>152</v>
      </c>
      <c r="C154" s="16" t="s">
        <v>232</v>
      </c>
      <c r="D154" s="49">
        <v>0.11699999999999999</v>
      </c>
    </row>
    <row r="155" spans="2:4" ht="17.100000000000001">
      <c r="B155" s="48">
        <v>153</v>
      </c>
      <c r="C155" s="16" t="s">
        <v>233</v>
      </c>
      <c r="D155" s="49">
        <v>0.11699999999999999</v>
      </c>
    </row>
    <row r="156" spans="2:4" ht="17.100000000000001">
      <c r="B156" s="48">
        <v>154</v>
      </c>
      <c r="C156" s="16" t="s">
        <v>234</v>
      </c>
      <c r="D156" s="49">
        <v>0.11800000000000001</v>
      </c>
    </row>
    <row r="157" spans="2:4" ht="17.100000000000001">
      <c r="B157" s="48">
        <v>155</v>
      </c>
      <c r="C157" s="16" t="s">
        <v>113</v>
      </c>
      <c r="D157" s="49">
        <v>0.11900000000000001</v>
      </c>
    </row>
    <row r="158" spans="2:4" ht="17.100000000000001">
      <c r="B158" s="48">
        <v>156</v>
      </c>
      <c r="C158" s="16" t="s">
        <v>235</v>
      </c>
      <c r="D158" s="49">
        <v>0.12</v>
      </c>
    </row>
    <row r="159" spans="2:4" ht="17.100000000000001">
      <c r="B159" s="48">
        <v>157</v>
      </c>
      <c r="C159" s="16" t="s">
        <v>236</v>
      </c>
      <c r="D159" s="49">
        <v>0.12</v>
      </c>
    </row>
    <row r="160" spans="2:4" ht="17.100000000000001">
      <c r="B160" s="48">
        <v>158</v>
      </c>
      <c r="C160" s="16" t="s">
        <v>237</v>
      </c>
      <c r="D160" s="49">
        <v>0.122</v>
      </c>
    </row>
    <row r="161" spans="2:4" ht="17.100000000000001">
      <c r="B161" s="48">
        <v>159</v>
      </c>
      <c r="C161" s="16" t="s">
        <v>238</v>
      </c>
      <c r="D161" s="49">
        <v>0.122</v>
      </c>
    </row>
    <row r="162" spans="2:4" ht="17.100000000000001">
      <c r="B162" s="48">
        <v>160</v>
      </c>
      <c r="C162" s="16" t="s">
        <v>95</v>
      </c>
      <c r="D162" s="49">
        <v>0.122</v>
      </c>
    </row>
    <row r="163" spans="2:4" ht="17.100000000000001">
      <c r="B163" s="48">
        <v>161</v>
      </c>
      <c r="C163" s="16" t="s">
        <v>94</v>
      </c>
      <c r="D163" s="49">
        <v>0.124</v>
      </c>
    </row>
    <row r="164" spans="2:4" ht="17.100000000000001">
      <c r="B164" s="48">
        <v>162</v>
      </c>
      <c r="C164" s="16" t="s">
        <v>239</v>
      </c>
      <c r="D164" s="49">
        <v>0.13</v>
      </c>
    </row>
    <row r="165" spans="2:4" ht="17.100000000000001">
      <c r="B165" s="48">
        <v>163</v>
      </c>
      <c r="C165" s="16" t="s">
        <v>240</v>
      </c>
      <c r="D165" s="49">
        <v>0.13</v>
      </c>
    </row>
    <row r="166" spans="2:4" ht="17.100000000000001">
      <c r="B166" s="48">
        <v>164</v>
      </c>
      <c r="C166" s="16" t="s">
        <v>241</v>
      </c>
      <c r="D166" s="49">
        <v>0.13</v>
      </c>
    </row>
    <row r="167" spans="2:4" ht="17.100000000000001">
      <c r="B167" s="48">
        <v>165</v>
      </c>
      <c r="C167" s="16" t="s">
        <v>242</v>
      </c>
      <c r="D167" s="49">
        <v>0.13100000000000001</v>
      </c>
    </row>
    <row r="168" spans="2:4" ht="17.100000000000001">
      <c r="B168" s="48">
        <v>166</v>
      </c>
      <c r="C168" s="16" t="s">
        <v>58</v>
      </c>
      <c r="D168" s="49">
        <v>0.13100000000000001</v>
      </c>
    </row>
    <row r="169" spans="2:4" ht="17.100000000000001">
      <c r="B169" s="48">
        <v>167</v>
      </c>
      <c r="C169" s="16" t="s">
        <v>85</v>
      </c>
      <c r="D169" s="49">
        <v>0.13400000000000001</v>
      </c>
    </row>
    <row r="170" spans="2:4" ht="17.100000000000001">
      <c r="B170" s="48">
        <v>168</v>
      </c>
      <c r="C170" s="16" t="s">
        <v>243</v>
      </c>
      <c r="D170" s="49">
        <v>0.13900000000000001</v>
      </c>
    </row>
    <row r="171" spans="2:4" ht="17.100000000000001">
      <c r="B171" s="48">
        <v>169</v>
      </c>
      <c r="C171" s="16" t="s">
        <v>244</v>
      </c>
      <c r="D171" s="49">
        <v>0.14000000000000001</v>
      </c>
    </row>
    <row r="172" spans="2:4" ht="17.100000000000001">
      <c r="B172" s="48">
        <v>170</v>
      </c>
      <c r="C172" s="16" t="s">
        <v>245</v>
      </c>
      <c r="D172" s="49">
        <v>0.14000000000000001</v>
      </c>
    </row>
    <row r="173" spans="2:4" ht="17.100000000000001">
      <c r="B173" s="48">
        <v>171</v>
      </c>
      <c r="C173" s="16" t="s">
        <v>246</v>
      </c>
      <c r="D173" s="49">
        <v>0.14699999999999999</v>
      </c>
    </row>
    <row r="174" spans="2:4" ht="17.100000000000001">
      <c r="B174" s="48">
        <v>172</v>
      </c>
      <c r="C174" s="16" t="s">
        <v>247</v>
      </c>
      <c r="D174" s="49">
        <v>0.15</v>
      </c>
    </row>
    <row r="175" spans="2:4" ht="17.100000000000001">
      <c r="B175" s="48">
        <v>173</v>
      </c>
      <c r="C175" s="16" t="s">
        <v>248</v>
      </c>
      <c r="D175" s="49">
        <v>0.15</v>
      </c>
    </row>
    <row r="176" spans="2:4" ht="17.100000000000001">
      <c r="B176" s="48">
        <v>174</v>
      </c>
      <c r="C176" s="16" t="s">
        <v>249</v>
      </c>
      <c r="D176" s="49">
        <v>0.16</v>
      </c>
    </row>
    <row r="177" spans="2:4" ht="17.100000000000001">
      <c r="B177" s="48">
        <v>175</v>
      </c>
      <c r="C177" s="16" t="s">
        <v>250</v>
      </c>
      <c r="D177" s="49">
        <v>0.16</v>
      </c>
    </row>
    <row r="178" spans="2:4" ht="17.100000000000001">
      <c r="B178" s="48">
        <v>176</v>
      </c>
      <c r="C178" s="16" t="s">
        <v>251</v>
      </c>
      <c r="D178" s="49">
        <v>0.16200000000000001</v>
      </c>
    </row>
    <row r="179" spans="2:4" ht="17.100000000000001">
      <c r="B179" s="48">
        <v>177</v>
      </c>
      <c r="C179" s="16" t="s">
        <v>252</v>
      </c>
      <c r="D179" s="49">
        <v>0.16500000000000001</v>
      </c>
    </row>
    <row r="180" spans="2:4" ht="17.100000000000001">
      <c r="B180" s="48">
        <v>178</v>
      </c>
      <c r="C180" s="16" t="s">
        <v>98</v>
      </c>
      <c r="D180" s="49">
        <v>0.17100000000000001</v>
      </c>
    </row>
    <row r="181" spans="2:4" ht="17.100000000000001">
      <c r="B181" s="48">
        <v>179</v>
      </c>
      <c r="C181" s="16" t="s">
        <v>253</v>
      </c>
      <c r="D181" s="49">
        <v>0.17100000000000001</v>
      </c>
    </row>
    <row r="182" spans="2:4" ht="17.100000000000001">
      <c r="B182" s="48">
        <v>180</v>
      </c>
      <c r="C182" s="16" t="s">
        <v>87</v>
      </c>
      <c r="D182" s="49">
        <v>0.17499999999999999</v>
      </c>
    </row>
    <row r="183" spans="2:4" ht="17.100000000000001">
      <c r="B183" s="48">
        <v>181</v>
      </c>
      <c r="C183" s="16" t="s">
        <v>254</v>
      </c>
      <c r="D183" s="49">
        <v>0.188</v>
      </c>
    </row>
    <row r="184" spans="2:4" ht="17.100000000000001">
      <c r="B184" s="48">
        <v>182</v>
      </c>
      <c r="C184" s="16" t="s">
        <v>255</v>
      </c>
      <c r="D184" s="49">
        <v>0.18899999999999997</v>
      </c>
    </row>
    <row r="185" spans="2:4" ht="17.100000000000001">
      <c r="B185" s="48">
        <v>183</v>
      </c>
      <c r="C185" s="16" t="s">
        <v>115</v>
      </c>
      <c r="D185" s="49">
        <v>0.19600000000000001</v>
      </c>
    </row>
    <row r="186" spans="2:4" ht="17.100000000000001">
      <c r="B186" s="48">
        <v>184</v>
      </c>
      <c r="C186" s="16" t="s">
        <v>256</v>
      </c>
      <c r="D186" s="49">
        <v>0.2</v>
      </c>
    </row>
    <row r="187" spans="2:4" ht="17.100000000000001">
      <c r="B187" s="48">
        <v>185</v>
      </c>
      <c r="C187" s="16" t="s">
        <v>257</v>
      </c>
      <c r="D187" s="49">
        <v>0.2</v>
      </c>
    </row>
    <row r="188" spans="2:4" ht="17.100000000000001">
      <c r="B188" s="48">
        <v>186</v>
      </c>
      <c r="C188" s="16" t="s">
        <v>258</v>
      </c>
      <c r="D188" s="49">
        <v>0.20399999999999999</v>
      </c>
    </row>
    <row r="189" spans="2:4" ht="17.100000000000001">
      <c r="B189" s="48">
        <v>187</v>
      </c>
      <c r="C189" s="16" t="s">
        <v>259</v>
      </c>
      <c r="D189" s="49">
        <v>0.20499999999999999</v>
      </c>
    </row>
    <row r="190" spans="2:4" ht="17.100000000000001">
      <c r="B190" s="48">
        <v>188</v>
      </c>
      <c r="C190" s="16" t="s">
        <v>260</v>
      </c>
      <c r="D190" s="49">
        <v>0.218</v>
      </c>
    </row>
    <row r="191" spans="2:4" ht="17.100000000000001">
      <c r="B191" s="48">
        <v>189</v>
      </c>
      <c r="C191" s="16" t="s">
        <v>261</v>
      </c>
      <c r="D191" s="49">
        <v>0.223</v>
      </c>
    </row>
    <row r="192" spans="2:4" ht="17.100000000000001">
      <c r="B192" s="48">
        <v>190</v>
      </c>
      <c r="C192" s="16" t="s">
        <v>111</v>
      </c>
      <c r="D192" s="49">
        <v>0.22399999999999998</v>
      </c>
    </row>
    <row r="193" spans="2:4" ht="17.100000000000001">
      <c r="B193" s="48">
        <v>191</v>
      </c>
      <c r="C193" s="16" t="s">
        <v>262</v>
      </c>
      <c r="D193" s="49">
        <v>0.23</v>
      </c>
    </row>
    <row r="194" spans="2:4" ht="17.100000000000001">
      <c r="B194" s="48">
        <v>192</v>
      </c>
      <c r="C194" s="16" t="s">
        <v>263</v>
      </c>
      <c r="D194" s="49">
        <v>0.23</v>
      </c>
    </row>
    <row r="195" spans="2:4" ht="17.100000000000001">
      <c r="B195" s="48">
        <v>193</v>
      </c>
      <c r="C195" s="16" t="s">
        <v>264</v>
      </c>
      <c r="D195" s="49">
        <v>0.23399999999999999</v>
      </c>
    </row>
    <row r="196" spans="2:4" ht="17.100000000000001">
      <c r="B196" s="48">
        <v>194</v>
      </c>
      <c r="C196" s="16" t="s">
        <v>109</v>
      </c>
      <c r="D196" s="49">
        <v>0.25600000000000001</v>
      </c>
    </row>
    <row r="197" spans="2:4" ht="17.100000000000001">
      <c r="B197" s="48">
        <v>195</v>
      </c>
      <c r="C197" s="16" t="s">
        <v>108</v>
      </c>
      <c r="D197" s="49">
        <v>0.26400000000000001</v>
      </c>
    </row>
    <row r="198" spans="2:4" ht="17.100000000000001">
      <c r="B198" s="48">
        <v>196</v>
      </c>
      <c r="C198" s="16" t="s">
        <v>265</v>
      </c>
      <c r="D198" s="49">
        <v>0.26700000000000002</v>
      </c>
    </row>
    <row r="199" spans="2:4" ht="17.100000000000001">
      <c r="B199" s="48">
        <v>197</v>
      </c>
      <c r="C199" s="16" t="s">
        <v>266</v>
      </c>
      <c r="D199" s="49">
        <v>0.26700000000000002</v>
      </c>
    </row>
    <row r="200" spans="2:4" ht="17.100000000000001">
      <c r="B200" s="48">
        <v>198</v>
      </c>
      <c r="C200" s="16" t="s">
        <v>267</v>
      </c>
      <c r="D200" s="49">
        <v>0.27</v>
      </c>
    </row>
    <row r="201" spans="2:4" ht="17.100000000000001">
      <c r="B201" s="48">
        <v>199</v>
      </c>
      <c r="C201" s="16" t="s">
        <v>67</v>
      </c>
      <c r="D201" s="49">
        <v>0.27600000000000002</v>
      </c>
    </row>
    <row r="202" spans="2:4" ht="17.100000000000001">
      <c r="B202" s="48">
        <v>200</v>
      </c>
      <c r="C202" s="16" t="s">
        <v>268</v>
      </c>
      <c r="D202" s="49">
        <v>0.28000000000000003</v>
      </c>
    </row>
    <row r="203" spans="2:4" ht="17.100000000000001">
      <c r="B203" s="48">
        <v>201</v>
      </c>
      <c r="C203" s="16" t="s">
        <v>269</v>
      </c>
      <c r="D203" s="49">
        <v>0.28000000000000003</v>
      </c>
    </row>
    <row r="204" spans="2:4" ht="17.100000000000001">
      <c r="B204" s="48">
        <v>202</v>
      </c>
      <c r="C204" s="16" t="s">
        <v>270</v>
      </c>
      <c r="D204" s="49">
        <v>0.28100000000000003</v>
      </c>
    </row>
    <row r="205" spans="2:4" ht="17.100000000000001">
      <c r="B205" s="48">
        <v>203</v>
      </c>
      <c r="C205" s="16" t="s">
        <v>271</v>
      </c>
      <c r="D205" s="49">
        <v>0.28100000000000003</v>
      </c>
    </row>
    <row r="206" spans="2:4" ht="17.100000000000001">
      <c r="B206" s="48">
        <v>204</v>
      </c>
      <c r="C206" s="16" t="s">
        <v>272</v>
      </c>
      <c r="D206" s="49">
        <v>0.29799999999999999</v>
      </c>
    </row>
    <row r="207" spans="2:4" ht="17.100000000000001">
      <c r="B207" s="48">
        <v>205</v>
      </c>
      <c r="C207" s="16" t="s">
        <v>273</v>
      </c>
      <c r="D207" s="49">
        <v>0.3</v>
      </c>
    </row>
    <row r="208" spans="2:4" ht="17.100000000000001">
      <c r="B208" s="48">
        <v>206</v>
      </c>
      <c r="C208" s="16" t="s">
        <v>274</v>
      </c>
      <c r="D208" s="49">
        <v>0.30599999999999999</v>
      </c>
    </row>
    <row r="209" spans="2:4" ht="17.100000000000001">
      <c r="B209" s="48">
        <v>207</v>
      </c>
      <c r="C209" s="16" t="s">
        <v>275</v>
      </c>
      <c r="D209" s="49">
        <v>0.33500000000000002</v>
      </c>
    </row>
    <row r="210" spans="2:4" ht="17.100000000000001">
      <c r="B210" s="48">
        <v>208</v>
      </c>
      <c r="C210" s="16" t="s">
        <v>276</v>
      </c>
      <c r="D210" s="49">
        <v>0.34799999999999998</v>
      </c>
    </row>
    <row r="211" spans="2:4" ht="17.100000000000001">
      <c r="B211" s="48">
        <v>209</v>
      </c>
      <c r="C211" s="16" t="s">
        <v>277</v>
      </c>
      <c r="D211" s="49">
        <v>0.35</v>
      </c>
    </row>
    <row r="212" spans="2:4" ht="17.100000000000001">
      <c r="B212" s="48">
        <v>210</v>
      </c>
      <c r="C212" s="16" t="s">
        <v>92</v>
      </c>
      <c r="D212" s="49">
        <v>0.36</v>
      </c>
    </row>
    <row r="213" spans="2:4" ht="17.100000000000001">
      <c r="B213" s="48">
        <v>211</v>
      </c>
      <c r="C213" s="16" t="s">
        <v>278</v>
      </c>
      <c r="D213" s="49">
        <v>0.36</v>
      </c>
    </row>
    <row r="214" spans="2:4" ht="17.100000000000001">
      <c r="B214" s="48">
        <v>212</v>
      </c>
      <c r="C214" s="16" t="s">
        <v>101</v>
      </c>
      <c r="D214" s="49">
        <v>0.4</v>
      </c>
    </row>
    <row r="215" spans="2:4" ht="17.100000000000001">
      <c r="B215" s="48">
        <v>213</v>
      </c>
      <c r="C215" s="16" t="s">
        <v>279</v>
      </c>
      <c r="D215" s="49">
        <v>0.40600000000000003</v>
      </c>
    </row>
    <row r="216" spans="2:4" ht="17.100000000000001">
      <c r="B216" s="48">
        <v>214</v>
      </c>
      <c r="C216" s="16" t="s">
        <v>280</v>
      </c>
      <c r="D216" s="49">
        <v>0.48</v>
      </c>
    </row>
    <row r="217" spans="2:4" ht="17.100000000000001">
      <c r="B217" s="48">
        <v>215</v>
      </c>
      <c r="C217" s="16" t="s">
        <v>281</v>
      </c>
      <c r="D217" s="49">
        <v>0.5</v>
      </c>
    </row>
    <row r="218" spans="2:4" ht="17.100000000000001">
      <c r="B218" s="48">
        <v>216</v>
      </c>
      <c r="C218" s="16" t="s">
        <v>282</v>
      </c>
      <c r="D218" s="49">
        <v>0.6</v>
      </c>
    </row>
    <row r="219" spans="2:4" ht="17.100000000000001">
      <c r="B219" s="48">
        <v>217</v>
      </c>
      <c r="C219" s="16" t="s">
        <v>283</v>
      </c>
      <c r="D219" s="49">
        <v>0.77</v>
      </c>
    </row>
    <row r="220" spans="2:4" ht="17.100000000000001">
      <c r="B220" s="48">
        <v>218</v>
      </c>
      <c r="C220" s="16" t="s">
        <v>284</v>
      </c>
      <c r="D220" s="49">
        <v>0.95</v>
      </c>
    </row>
  </sheetData>
  <sheetProtection algorithmName="SHA-512" hashValue="XGhV3OxcT6sjoVZgaQBq3PDshGa0jAchC1nKLyqJydUul0bTE84tqdGIr1BDBwlBJyIf31Fo1CIuzcNJZjHWQw==" saltValue="4ETXDQTxFNosuSdOjUQTig=="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1AC77-FA51-C246-82EC-6FC2C3698429}">
  <sheetPr>
    <tabColor theme="4"/>
  </sheetPr>
  <dimension ref="A1:F268"/>
  <sheetViews>
    <sheetView workbookViewId="0">
      <selection sqref="A1:XFD1048576"/>
    </sheetView>
  </sheetViews>
  <sheetFormatPr defaultColWidth="11" defaultRowHeight="15"/>
  <cols>
    <col min="1" max="1" width="44" style="44" bestFit="1" customWidth="1"/>
    <col min="2" max="2" width="23" style="44" customWidth="1"/>
    <col min="3" max="3" width="26.375" style="44" customWidth="1"/>
    <col min="4" max="4" width="30.375" style="44" customWidth="1"/>
    <col min="5" max="5" width="22.125" style="44" customWidth="1"/>
    <col min="6" max="6" width="16.375" style="44" customWidth="1"/>
    <col min="7" max="256" width="8.875" style="44" customWidth="1"/>
    <col min="257" max="257" width="44" style="44" bestFit="1" customWidth="1"/>
    <col min="258" max="258" width="19.375" style="44" customWidth="1"/>
    <col min="259" max="512" width="8.875" style="44" customWidth="1"/>
    <col min="513" max="513" width="44" style="44" bestFit="1" customWidth="1"/>
    <col min="514" max="514" width="19.375" style="44" customWidth="1"/>
    <col min="515" max="768" width="8.875" style="44" customWidth="1"/>
    <col min="769" max="769" width="44" style="44" bestFit="1" customWidth="1"/>
    <col min="770" max="770" width="19.375" style="44" customWidth="1"/>
    <col min="771" max="1024" width="8.875" style="44" customWidth="1"/>
    <col min="1025" max="1025" width="44" style="44" bestFit="1" customWidth="1"/>
    <col min="1026" max="1026" width="19.375" style="44" customWidth="1"/>
    <col min="1027" max="1280" width="8.875" style="44" customWidth="1"/>
    <col min="1281" max="1281" width="44" style="44" bestFit="1" customWidth="1"/>
    <col min="1282" max="1282" width="19.375" style="44" customWidth="1"/>
    <col min="1283" max="1536" width="8.875" style="44" customWidth="1"/>
    <col min="1537" max="1537" width="44" style="44" bestFit="1" customWidth="1"/>
    <col min="1538" max="1538" width="19.375" style="44" customWidth="1"/>
    <col min="1539" max="1792" width="8.875" style="44" customWidth="1"/>
    <col min="1793" max="1793" width="44" style="44" bestFit="1" customWidth="1"/>
    <col min="1794" max="1794" width="19.375" style="44" customWidth="1"/>
    <col min="1795" max="2048" width="8.875" style="44" customWidth="1"/>
    <col min="2049" max="2049" width="44" style="44" bestFit="1" customWidth="1"/>
    <col min="2050" max="2050" width="19.375" style="44" customWidth="1"/>
    <col min="2051" max="2304" width="8.875" style="44" customWidth="1"/>
    <col min="2305" max="2305" width="44" style="44" bestFit="1" customWidth="1"/>
    <col min="2306" max="2306" width="19.375" style="44" customWidth="1"/>
    <col min="2307" max="2560" width="8.875" style="44" customWidth="1"/>
    <col min="2561" max="2561" width="44" style="44" bestFit="1" customWidth="1"/>
    <col min="2562" max="2562" width="19.375" style="44" customWidth="1"/>
    <col min="2563" max="2816" width="8.875" style="44" customWidth="1"/>
    <col min="2817" max="2817" width="44" style="44" bestFit="1" customWidth="1"/>
    <col min="2818" max="2818" width="19.375" style="44" customWidth="1"/>
    <col min="2819" max="3072" width="8.875" style="44" customWidth="1"/>
    <col min="3073" max="3073" width="44" style="44" bestFit="1" customWidth="1"/>
    <col min="3074" max="3074" width="19.375" style="44" customWidth="1"/>
    <col min="3075" max="3328" width="8.875" style="44" customWidth="1"/>
    <col min="3329" max="3329" width="44" style="44" bestFit="1" customWidth="1"/>
    <col min="3330" max="3330" width="19.375" style="44" customWidth="1"/>
    <col min="3331" max="3584" width="8.875" style="44" customWidth="1"/>
    <col min="3585" max="3585" width="44" style="44" bestFit="1" customWidth="1"/>
    <col min="3586" max="3586" width="19.375" style="44" customWidth="1"/>
    <col min="3587" max="3840" width="8.875" style="44" customWidth="1"/>
    <col min="3841" max="3841" width="44" style="44" bestFit="1" customWidth="1"/>
    <col min="3842" max="3842" width="19.375" style="44" customWidth="1"/>
    <col min="3843" max="4096" width="8.875" style="44" customWidth="1"/>
    <col min="4097" max="4097" width="44" style="44" bestFit="1" customWidth="1"/>
    <col min="4098" max="4098" width="19.375" style="44" customWidth="1"/>
    <col min="4099" max="4352" width="8.875" style="44" customWidth="1"/>
    <col min="4353" max="4353" width="44" style="44" bestFit="1" customWidth="1"/>
    <col min="4354" max="4354" width="19.375" style="44" customWidth="1"/>
    <col min="4355" max="4608" width="8.875" style="44" customWidth="1"/>
    <col min="4609" max="4609" width="44" style="44" bestFit="1" customWidth="1"/>
    <col min="4610" max="4610" width="19.375" style="44" customWidth="1"/>
    <col min="4611" max="4864" width="8.875" style="44" customWidth="1"/>
    <col min="4865" max="4865" width="44" style="44" bestFit="1" customWidth="1"/>
    <col min="4866" max="4866" width="19.375" style="44" customWidth="1"/>
    <col min="4867" max="5120" width="8.875" style="44" customWidth="1"/>
    <col min="5121" max="5121" width="44" style="44" bestFit="1" customWidth="1"/>
    <col min="5122" max="5122" width="19.375" style="44" customWidth="1"/>
    <col min="5123" max="5376" width="8.875" style="44" customWidth="1"/>
    <col min="5377" max="5377" width="44" style="44" bestFit="1" customWidth="1"/>
    <col min="5378" max="5378" width="19.375" style="44" customWidth="1"/>
    <col min="5379" max="5632" width="8.875" style="44" customWidth="1"/>
    <col min="5633" max="5633" width="44" style="44" bestFit="1" customWidth="1"/>
    <col min="5634" max="5634" width="19.375" style="44" customWidth="1"/>
    <col min="5635" max="5888" width="8.875" style="44" customWidth="1"/>
    <col min="5889" max="5889" width="44" style="44" bestFit="1" customWidth="1"/>
    <col min="5890" max="5890" width="19.375" style="44" customWidth="1"/>
    <col min="5891" max="6144" width="8.875" style="44" customWidth="1"/>
    <col min="6145" max="6145" width="44" style="44" bestFit="1" customWidth="1"/>
    <col min="6146" max="6146" width="19.375" style="44" customWidth="1"/>
    <col min="6147" max="6400" width="8.875" style="44" customWidth="1"/>
    <col min="6401" max="6401" width="44" style="44" bestFit="1" customWidth="1"/>
    <col min="6402" max="6402" width="19.375" style="44" customWidth="1"/>
    <col min="6403" max="6656" width="8.875" style="44" customWidth="1"/>
    <col min="6657" max="6657" width="44" style="44" bestFit="1" customWidth="1"/>
    <col min="6658" max="6658" width="19.375" style="44" customWidth="1"/>
    <col min="6659" max="6912" width="8.875" style="44" customWidth="1"/>
    <col min="6913" max="6913" width="44" style="44" bestFit="1" customWidth="1"/>
    <col min="6914" max="6914" width="19.375" style="44" customWidth="1"/>
    <col min="6915" max="7168" width="8.875" style="44" customWidth="1"/>
    <col min="7169" max="7169" width="44" style="44" bestFit="1" customWidth="1"/>
    <col min="7170" max="7170" width="19.375" style="44" customWidth="1"/>
    <col min="7171" max="7424" width="8.875" style="44" customWidth="1"/>
    <col min="7425" max="7425" width="44" style="44" bestFit="1" customWidth="1"/>
    <col min="7426" max="7426" width="19.375" style="44" customWidth="1"/>
    <col min="7427" max="7680" width="8.875" style="44" customWidth="1"/>
    <col min="7681" max="7681" width="44" style="44" bestFit="1" customWidth="1"/>
    <col min="7682" max="7682" width="19.375" style="44" customWidth="1"/>
    <col min="7683" max="7936" width="8.875" style="44" customWidth="1"/>
    <col min="7937" max="7937" width="44" style="44" bestFit="1" customWidth="1"/>
    <col min="7938" max="7938" width="19.375" style="44" customWidth="1"/>
    <col min="7939" max="8192" width="8.875" style="44" customWidth="1"/>
    <col min="8193" max="8193" width="44" style="44" bestFit="1" customWidth="1"/>
    <col min="8194" max="8194" width="19.375" style="44" customWidth="1"/>
    <col min="8195" max="8448" width="8.875" style="44" customWidth="1"/>
    <col min="8449" max="8449" width="44" style="44" bestFit="1" customWidth="1"/>
    <col min="8450" max="8450" width="19.375" style="44" customWidth="1"/>
    <col min="8451" max="8704" width="8.875" style="44" customWidth="1"/>
    <col min="8705" max="8705" width="44" style="44" bestFit="1" customWidth="1"/>
    <col min="8706" max="8706" width="19.375" style="44" customWidth="1"/>
    <col min="8707" max="8960" width="8.875" style="44" customWidth="1"/>
    <col min="8961" max="8961" width="44" style="44" bestFit="1" customWidth="1"/>
    <col min="8962" max="8962" width="19.375" style="44" customWidth="1"/>
    <col min="8963" max="9216" width="8.875" style="44" customWidth="1"/>
    <col min="9217" max="9217" width="44" style="44" bestFit="1" customWidth="1"/>
    <col min="9218" max="9218" width="19.375" style="44" customWidth="1"/>
    <col min="9219" max="9472" width="8.875" style="44" customWidth="1"/>
    <col min="9473" max="9473" width="44" style="44" bestFit="1" customWidth="1"/>
    <col min="9474" max="9474" width="19.375" style="44" customWidth="1"/>
    <col min="9475" max="9728" width="8.875" style="44" customWidth="1"/>
    <col min="9729" max="9729" width="44" style="44" bestFit="1" customWidth="1"/>
    <col min="9730" max="9730" width="19.375" style="44" customWidth="1"/>
    <col min="9731" max="9984" width="8.875" style="44" customWidth="1"/>
    <col min="9985" max="9985" width="44" style="44" bestFit="1" customWidth="1"/>
    <col min="9986" max="9986" width="19.375" style="44" customWidth="1"/>
    <col min="9987" max="10240" width="8.875" style="44" customWidth="1"/>
    <col min="10241" max="10241" width="44" style="44" bestFit="1" customWidth="1"/>
    <col min="10242" max="10242" width="19.375" style="44" customWidth="1"/>
    <col min="10243" max="10496" width="8.875" style="44" customWidth="1"/>
    <col min="10497" max="10497" width="44" style="44" bestFit="1" customWidth="1"/>
    <col min="10498" max="10498" width="19.375" style="44" customWidth="1"/>
    <col min="10499" max="10752" width="8.875" style="44" customWidth="1"/>
    <col min="10753" max="10753" width="44" style="44" bestFit="1" customWidth="1"/>
    <col min="10754" max="10754" width="19.375" style="44" customWidth="1"/>
    <col min="10755" max="11008" width="8.875" style="44" customWidth="1"/>
    <col min="11009" max="11009" width="44" style="44" bestFit="1" customWidth="1"/>
    <col min="11010" max="11010" width="19.375" style="44" customWidth="1"/>
    <col min="11011" max="11264" width="8.875" style="44" customWidth="1"/>
    <col min="11265" max="11265" width="44" style="44" bestFit="1" customWidth="1"/>
    <col min="11266" max="11266" width="19.375" style="44" customWidth="1"/>
    <col min="11267" max="11520" width="8.875" style="44" customWidth="1"/>
    <col min="11521" max="11521" width="44" style="44" bestFit="1" customWidth="1"/>
    <col min="11522" max="11522" width="19.375" style="44" customWidth="1"/>
    <col min="11523" max="11776" width="8.875" style="44" customWidth="1"/>
    <col min="11777" max="11777" width="44" style="44" bestFit="1" customWidth="1"/>
    <col min="11778" max="11778" width="19.375" style="44" customWidth="1"/>
    <col min="11779" max="12032" width="8.875" style="44" customWidth="1"/>
    <col min="12033" max="12033" width="44" style="44" bestFit="1" customWidth="1"/>
    <col min="12034" max="12034" width="19.375" style="44" customWidth="1"/>
    <col min="12035" max="12288" width="8.875" style="44" customWidth="1"/>
    <col min="12289" max="12289" width="44" style="44" bestFit="1" customWidth="1"/>
    <col min="12290" max="12290" width="19.375" style="44" customWidth="1"/>
    <col min="12291" max="12544" width="8.875" style="44" customWidth="1"/>
    <col min="12545" max="12545" width="44" style="44" bestFit="1" customWidth="1"/>
    <col min="12546" max="12546" width="19.375" style="44" customWidth="1"/>
    <col min="12547" max="12800" width="8.875" style="44" customWidth="1"/>
    <col min="12801" max="12801" width="44" style="44" bestFit="1" customWidth="1"/>
    <col min="12802" max="12802" width="19.375" style="44" customWidth="1"/>
    <col min="12803" max="13056" width="8.875" style="44" customWidth="1"/>
    <col min="13057" max="13057" width="44" style="44" bestFit="1" customWidth="1"/>
    <col min="13058" max="13058" width="19.375" style="44" customWidth="1"/>
    <col min="13059" max="13312" width="8.875" style="44" customWidth="1"/>
    <col min="13313" max="13313" width="44" style="44" bestFit="1" customWidth="1"/>
    <col min="13314" max="13314" width="19.375" style="44" customWidth="1"/>
    <col min="13315" max="13568" width="8.875" style="44" customWidth="1"/>
    <col min="13569" max="13569" width="44" style="44" bestFit="1" customWidth="1"/>
    <col min="13570" max="13570" width="19.375" style="44" customWidth="1"/>
    <col min="13571" max="13824" width="8.875" style="44" customWidth="1"/>
    <col min="13825" max="13825" width="44" style="44" bestFit="1" customWidth="1"/>
    <col min="13826" max="13826" width="19.375" style="44" customWidth="1"/>
    <col min="13827" max="14080" width="8.875" style="44" customWidth="1"/>
    <col min="14081" max="14081" width="44" style="44" bestFit="1" customWidth="1"/>
    <col min="14082" max="14082" width="19.375" style="44" customWidth="1"/>
    <col min="14083" max="14336" width="8.875" style="44" customWidth="1"/>
    <col min="14337" max="14337" width="44" style="44" bestFit="1" customWidth="1"/>
    <col min="14338" max="14338" width="19.375" style="44" customWidth="1"/>
    <col min="14339" max="14592" width="8.875" style="44" customWidth="1"/>
    <col min="14593" max="14593" width="44" style="44" bestFit="1" customWidth="1"/>
    <col min="14594" max="14594" width="19.375" style="44" customWidth="1"/>
    <col min="14595" max="14848" width="8.875" style="44" customWidth="1"/>
    <col min="14849" max="14849" width="44" style="44" bestFit="1" customWidth="1"/>
    <col min="14850" max="14850" width="19.375" style="44" customWidth="1"/>
    <col min="14851" max="15104" width="8.875" style="44" customWidth="1"/>
    <col min="15105" max="15105" width="44" style="44" bestFit="1" customWidth="1"/>
    <col min="15106" max="15106" width="19.375" style="44" customWidth="1"/>
    <col min="15107" max="15360" width="8.875" style="44" customWidth="1"/>
    <col min="15361" max="15361" width="44" style="44" bestFit="1" customWidth="1"/>
    <col min="15362" max="15362" width="19.375" style="44" customWidth="1"/>
    <col min="15363" max="15616" width="8.875" style="44" customWidth="1"/>
    <col min="15617" max="15617" width="44" style="44" bestFit="1" customWidth="1"/>
    <col min="15618" max="15618" width="19.375" style="44" customWidth="1"/>
    <col min="15619" max="15872" width="8.875" style="44" customWidth="1"/>
    <col min="15873" max="15873" width="44" style="44" bestFit="1" customWidth="1"/>
    <col min="15874" max="15874" width="19.375" style="44" customWidth="1"/>
    <col min="15875" max="16128" width="8.875" style="44" customWidth="1"/>
    <col min="16129" max="16129" width="44" style="44" bestFit="1" customWidth="1"/>
    <col min="16130" max="16130" width="19.375" style="44" customWidth="1"/>
    <col min="16131" max="16384" width="8.875" style="44" customWidth="1"/>
  </cols>
  <sheetData>
    <row r="1" spans="1:6">
      <c r="A1" s="44" t="s">
        <v>285</v>
      </c>
      <c r="B1" s="44" t="s">
        <v>286</v>
      </c>
    </row>
    <row r="2" spans="1:6">
      <c r="A2" s="44" t="s">
        <v>287</v>
      </c>
    </row>
    <row r="4" spans="1:6" ht="15.95">
      <c r="A4" s="44" t="s">
        <v>288</v>
      </c>
      <c r="B4" s="45" t="s">
        <v>289</v>
      </c>
      <c r="C4" s="16" t="s">
        <v>290</v>
      </c>
      <c r="D4" s="44" t="s">
        <v>291</v>
      </c>
      <c r="E4" s="16"/>
      <c r="F4" s="16"/>
    </row>
    <row r="5" spans="1:6" ht="15.95">
      <c r="A5" s="44" t="s">
        <v>190</v>
      </c>
      <c r="B5" s="46">
        <v>0.67332000732421904</v>
      </c>
      <c r="C5" s="46">
        <v>0</v>
      </c>
      <c r="D5" s="47">
        <f>IF(B5-C5&lt;0,0,B5-C5)</f>
        <v>0.67332000732421904</v>
      </c>
      <c r="E5" s="16"/>
      <c r="F5" s="16"/>
    </row>
    <row r="6" spans="1:6" ht="15.95">
      <c r="A6" s="44" t="s">
        <v>277</v>
      </c>
      <c r="B6" s="46">
        <v>0.67332000732421904</v>
      </c>
      <c r="C6" s="46">
        <v>0.62194999694824193</v>
      </c>
      <c r="D6" s="47">
        <f>IF(B6-C6&lt;0,0,B6-C6)</f>
        <v>5.1370010375977104E-2</v>
      </c>
      <c r="E6" s="16"/>
      <c r="F6" s="16"/>
    </row>
    <row r="7" spans="1:6" ht="15.95">
      <c r="A7" s="44" t="s">
        <v>112</v>
      </c>
      <c r="B7" s="46">
        <v>0.71551002502441408</v>
      </c>
      <c r="C7" s="46">
        <v>0.50604000091552703</v>
      </c>
      <c r="D7" s="47">
        <f t="shared" ref="D7:D70" si="0">IF(B7-C7&lt;0,0,B7-C7)</f>
        <v>0.20947002410888704</v>
      </c>
      <c r="E7" s="16"/>
      <c r="F7" s="16"/>
    </row>
    <row r="8" spans="1:6" ht="15.95">
      <c r="A8" s="44" t="s">
        <v>245</v>
      </c>
      <c r="B8" s="46">
        <v>0.59634998321533206</v>
      </c>
      <c r="C8" s="46">
        <v>0.40275001525878901</v>
      </c>
      <c r="D8" s="47">
        <f t="shared" si="0"/>
        <v>0.19359996795654305</v>
      </c>
      <c r="E8" s="16"/>
      <c r="F8" s="16"/>
    </row>
    <row r="9" spans="1:6" ht="15.95">
      <c r="A9" s="44" t="s">
        <v>150</v>
      </c>
      <c r="B9" s="46">
        <v>0</v>
      </c>
      <c r="C9" s="46">
        <v>0</v>
      </c>
      <c r="D9" s="47">
        <f t="shared" si="0"/>
        <v>0</v>
      </c>
      <c r="E9" s="16"/>
      <c r="F9" s="16"/>
    </row>
    <row r="10" spans="1:6" ht="15.95">
      <c r="A10" s="44" t="s">
        <v>292</v>
      </c>
      <c r="B10" s="46">
        <v>0.31839469746439703</v>
      </c>
      <c r="C10" s="46">
        <v>0.23969085123051695</v>
      </c>
      <c r="D10" s="47">
        <f t="shared" si="0"/>
        <v>7.8703846233880076E-2</v>
      </c>
      <c r="E10" s="16"/>
      <c r="F10" s="16"/>
    </row>
    <row r="11" spans="1:6" ht="15.95">
      <c r="A11" s="44" t="s">
        <v>149</v>
      </c>
      <c r="B11" s="46">
        <v>3.0959999561309803E-2</v>
      </c>
      <c r="C11" s="46">
        <v>3.5199999809265099E-3</v>
      </c>
      <c r="D11" s="47">
        <f t="shared" si="0"/>
        <v>2.7439999580383293E-2</v>
      </c>
      <c r="E11" s="16"/>
      <c r="F11" s="16"/>
    </row>
    <row r="12" spans="1:6" ht="15.95">
      <c r="A12" s="44" t="s">
        <v>66</v>
      </c>
      <c r="B12" s="46">
        <v>0.25219999313354502</v>
      </c>
      <c r="C12" s="46">
        <v>5.4199999570846598E-3</v>
      </c>
      <c r="D12" s="47">
        <f t="shared" si="0"/>
        <v>0.24677999317646035</v>
      </c>
      <c r="E12" s="16"/>
      <c r="F12" s="16"/>
    </row>
    <row r="13" spans="1:6" ht="15.95">
      <c r="A13" s="44" t="s">
        <v>255</v>
      </c>
      <c r="B13" s="46">
        <v>0.42417999267578099</v>
      </c>
      <c r="C13" s="46">
        <v>0.34347000122070298</v>
      </c>
      <c r="D13" s="47">
        <f t="shared" si="0"/>
        <v>8.0709991455078012E-2</v>
      </c>
      <c r="E13" s="16"/>
      <c r="F13" s="16"/>
    </row>
    <row r="14" spans="1:6" ht="15.95">
      <c r="A14" s="44" t="s">
        <v>272</v>
      </c>
      <c r="B14" s="46">
        <v>0</v>
      </c>
      <c r="C14" s="46">
        <v>0</v>
      </c>
      <c r="D14" s="47">
        <f t="shared" si="0"/>
        <v>0</v>
      </c>
      <c r="E14" s="16"/>
      <c r="F14" s="16"/>
    </row>
    <row r="15" spans="1:6" ht="15.95">
      <c r="A15" s="44" t="s">
        <v>226</v>
      </c>
      <c r="B15" s="46">
        <v>0</v>
      </c>
      <c r="C15" s="46">
        <v>0</v>
      </c>
      <c r="D15" s="47">
        <f t="shared" si="0"/>
        <v>0</v>
      </c>
      <c r="E15" s="16"/>
      <c r="F15" s="16"/>
    </row>
    <row r="16" spans="1:6" ht="15.95">
      <c r="A16" s="44" t="s">
        <v>68</v>
      </c>
      <c r="B16" s="46">
        <v>0.16974000930786101</v>
      </c>
      <c r="C16" s="46">
        <v>2.58100008964539E-2</v>
      </c>
      <c r="D16" s="47">
        <f t="shared" si="0"/>
        <v>0.1439300084114071</v>
      </c>
      <c r="E16" s="16"/>
      <c r="F16" s="16"/>
    </row>
    <row r="17" spans="1:6" ht="15.95">
      <c r="A17" s="44" t="s">
        <v>172</v>
      </c>
      <c r="B17" s="46">
        <v>0.12663000106811501</v>
      </c>
      <c r="C17" s="46">
        <v>4.3109998703002902E-2</v>
      </c>
      <c r="D17" s="47">
        <f t="shared" si="0"/>
        <v>8.3520002365112103E-2</v>
      </c>
      <c r="E17" s="16"/>
      <c r="F17" s="16"/>
    </row>
    <row r="18" spans="1:6" ht="15.95">
      <c r="A18" s="44" t="s">
        <v>180</v>
      </c>
      <c r="B18" s="46">
        <v>0.69179000854492201</v>
      </c>
      <c r="C18" s="46">
        <v>0.37401000976562498</v>
      </c>
      <c r="D18" s="47">
        <f t="shared" si="0"/>
        <v>0.31777999877929702</v>
      </c>
      <c r="E18" s="16"/>
      <c r="F18" s="16"/>
    </row>
    <row r="19" spans="1:6" ht="15.95">
      <c r="A19" s="44" t="s">
        <v>293</v>
      </c>
      <c r="B19" s="46">
        <v>0.93262001037597697</v>
      </c>
      <c r="C19" s="46">
        <v>0.91444999694824203</v>
      </c>
      <c r="D19" s="47">
        <f t="shared" si="0"/>
        <v>1.8170013427734943E-2</v>
      </c>
      <c r="E19" s="16"/>
      <c r="F19" s="16"/>
    </row>
    <row r="20" spans="1:6" ht="15.95">
      <c r="A20" s="44" t="s">
        <v>197</v>
      </c>
      <c r="B20" s="46">
        <v>0.14987000465393099</v>
      </c>
      <c r="C20" s="46">
        <v>1.2699999809265099E-2</v>
      </c>
      <c r="D20" s="47">
        <f t="shared" si="0"/>
        <v>0.1371700048446659</v>
      </c>
      <c r="E20" s="16"/>
      <c r="F20" s="16"/>
    </row>
    <row r="21" spans="1:6" ht="15.95">
      <c r="A21" s="44" t="s">
        <v>121</v>
      </c>
      <c r="B21" s="46">
        <v>0.89194000244140592</v>
      </c>
      <c r="C21" s="46">
        <v>0.43195999145507796</v>
      </c>
      <c r="D21" s="47">
        <f t="shared" si="0"/>
        <v>0.45998001098632796</v>
      </c>
      <c r="E21" s="16"/>
      <c r="F21" s="16"/>
    </row>
    <row r="22" spans="1:6" ht="15.95">
      <c r="A22" s="44" t="s">
        <v>283</v>
      </c>
      <c r="B22" s="46">
        <v>0.87890998840332002</v>
      </c>
      <c r="C22" s="46">
        <v>0.28277000427246102</v>
      </c>
      <c r="D22" s="47">
        <f t="shared" si="0"/>
        <v>0.596139984130859</v>
      </c>
      <c r="E22" s="16"/>
      <c r="F22" s="16"/>
    </row>
    <row r="23" spans="1:6" ht="15.95">
      <c r="A23" s="44" t="s">
        <v>83</v>
      </c>
      <c r="B23" s="46">
        <v>0.60289001464843794</v>
      </c>
      <c r="C23" s="46">
        <v>0.39068000793457003</v>
      </c>
      <c r="D23" s="47">
        <f t="shared" si="0"/>
        <v>0.21221000671386792</v>
      </c>
      <c r="E23" s="16"/>
      <c r="F23" s="16"/>
    </row>
    <row r="24" spans="1:6" ht="15.95">
      <c r="A24" s="44" t="s">
        <v>185</v>
      </c>
      <c r="B24" s="46">
        <v>0.11770999908447299</v>
      </c>
      <c r="C24" s="46">
        <v>6.2589998245239309E-2</v>
      </c>
      <c r="D24" s="47">
        <f t="shared" si="0"/>
        <v>5.5120000839233685E-2</v>
      </c>
      <c r="E24" s="16"/>
      <c r="F24" s="16"/>
    </row>
    <row r="25" spans="1:6" ht="15.95">
      <c r="A25" s="44" t="s">
        <v>151</v>
      </c>
      <c r="B25" s="46">
        <v>3.2860000133514401E-2</v>
      </c>
      <c r="C25" s="46">
        <v>1.0329999923706099E-2</v>
      </c>
      <c r="D25" s="47">
        <f t="shared" si="0"/>
        <v>2.2530000209808304E-2</v>
      </c>
      <c r="E25" s="16"/>
      <c r="F25" s="16"/>
    </row>
    <row r="26" spans="1:6" ht="15.95">
      <c r="A26" s="44" t="s">
        <v>223</v>
      </c>
      <c r="B26" s="46">
        <v>0.18819999694824202</v>
      </c>
      <c r="C26" s="46">
        <v>4.01300001144409E-2</v>
      </c>
      <c r="D26" s="47">
        <f t="shared" si="0"/>
        <v>0.14806999683380112</v>
      </c>
      <c r="E26" s="16"/>
      <c r="F26" s="16"/>
    </row>
    <row r="27" spans="1:6" ht="15.95">
      <c r="A27" s="44" t="s">
        <v>259</v>
      </c>
      <c r="B27" s="46">
        <v>0.25415000915527303</v>
      </c>
      <c r="C27" s="46">
        <v>0.19115999221801799</v>
      </c>
      <c r="D27" s="47">
        <f t="shared" si="0"/>
        <v>6.2990016937255033E-2</v>
      </c>
      <c r="E27" s="16"/>
      <c r="F27" s="16"/>
    </row>
    <row r="28" spans="1:6" ht="15.95">
      <c r="A28" s="44" t="s">
        <v>122</v>
      </c>
      <c r="B28" s="46">
        <v>3.3689999580383302E-2</v>
      </c>
      <c r="C28" s="46">
        <v>9.871000289916991E-2</v>
      </c>
      <c r="D28" s="47">
        <f t="shared" si="0"/>
        <v>0</v>
      </c>
      <c r="E28" s="16"/>
      <c r="F28" s="16"/>
    </row>
    <row r="29" spans="1:6" ht="15.95">
      <c r="A29" s="44" t="s">
        <v>224</v>
      </c>
      <c r="B29" s="46">
        <v>0.31788000106811498</v>
      </c>
      <c r="C29" s="46">
        <v>0.15390000343322799</v>
      </c>
      <c r="D29" s="47">
        <f t="shared" si="0"/>
        <v>0.16397999763488699</v>
      </c>
      <c r="E29" s="16"/>
      <c r="F29" s="16"/>
    </row>
    <row r="30" spans="1:6" ht="15.95">
      <c r="A30" s="44" t="s">
        <v>214</v>
      </c>
      <c r="B30" s="46">
        <v>0</v>
      </c>
      <c r="C30" s="46">
        <v>0</v>
      </c>
      <c r="D30" s="47">
        <f t="shared" si="0"/>
        <v>0</v>
      </c>
      <c r="E30" s="16"/>
      <c r="F30" s="16"/>
    </row>
    <row r="31" spans="1:6" ht="15.95">
      <c r="A31" s="44" t="s">
        <v>157</v>
      </c>
      <c r="B31" s="46">
        <v>0.35067001342773402</v>
      </c>
      <c r="C31" s="46">
        <v>0.27020000457763699</v>
      </c>
      <c r="D31" s="47">
        <f t="shared" si="0"/>
        <v>8.047000885009703E-2</v>
      </c>
      <c r="E31" s="16"/>
      <c r="F31" s="16"/>
    </row>
    <row r="32" spans="1:6" ht="15.95">
      <c r="A32" s="44" t="s">
        <v>58</v>
      </c>
      <c r="B32" s="46">
        <v>0.32213001251220702</v>
      </c>
      <c r="C32" s="46">
        <v>0.103219995498657</v>
      </c>
      <c r="D32" s="47">
        <f t="shared" si="0"/>
        <v>0.21891001701355001</v>
      </c>
      <c r="E32" s="16"/>
      <c r="F32" s="16"/>
    </row>
    <row r="33" spans="1:6" ht="15.95">
      <c r="A33" s="44" t="s">
        <v>220</v>
      </c>
      <c r="B33" s="46">
        <v>0.16806999206543</v>
      </c>
      <c r="C33" s="46">
        <v>2.9040000438690199E-2</v>
      </c>
      <c r="D33" s="47">
        <f t="shared" si="0"/>
        <v>0.13902999162673979</v>
      </c>
      <c r="E33" s="16"/>
      <c r="F33" s="16"/>
    </row>
    <row r="34" spans="1:6" ht="15.95">
      <c r="A34" s="44" t="s">
        <v>294</v>
      </c>
      <c r="B34" s="46">
        <v>7.2480001449584996E-2</v>
      </c>
      <c r="C34" s="46">
        <v>5.1999998092651404E-3</v>
      </c>
      <c r="D34" s="47">
        <f t="shared" si="0"/>
        <v>6.7280001640319859E-2</v>
      </c>
      <c r="E34" s="16"/>
      <c r="F34" s="16"/>
    </row>
    <row r="35" spans="1:6" ht="15.95">
      <c r="A35" s="44" t="s">
        <v>148</v>
      </c>
      <c r="B35" s="46">
        <v>0.71559997558593802</v>
      </c>
      <c r="C35" s="46">
        <v>0.56777999877929697</v>
      </c>
      <c r="D35" s="47">
        <f t="shared" si="0"/>
        <v>0.14781997680664105</v>
      </c>
      <c r="E35" s="16"/>
      <c r="F35" s="16"/>
    </row>
    <row r="36" spans="1:6" ht="15.95">
      <c r="A36" s="44" t="s">
        <v>257</v>
      </c>
      <c r="B36" s="46">
        <v>0.17885999679565401</v>
      </c>
      <c r="C36" s="46">
        <v>0.26198999404907203</v>
      </c>
      <c r="D36" s="47">
        <f t="shared" si="0"/>
        <v>0</v>
      </c>
      <c r="E36" s="16"/>
      <c r="F36" s="16"/>
    </row>
    <row r="37" spans="1:6" ht="15.95">
      <c r="A37" s="44" t="s">
        <v>199</v>
      </c>
      <c r="B37" s="46">
        <v>0.69213996887207008</v>
      </c>
      <c r="C37" s="46">
        <v>0.85639999389648391</v>
      </c>
      <c r="D37" s="47">
        <f t="shared" si="0"/>
        <v>0</v>
      </c>
      <c r="E37" s="16"/>
      <c r="F37" s="16"/>
    </row>
    <row r="38" spans="1:6" ht="15.95">
      <c r="A38" s="44" t="s">
        <v>65</v>
      </c>
      <c r="B38" s="46">
        <v>0.15630000114440901</v>
      </c>
      <c r="C38" s="46">
        <v>1.9539999961853002E-2</v>
      </c>
      <c r="D38" s="47">
        <f t="shared" si="0"/>
        <v>0.13676000118255599</v>
      </c>
      <c r="E38" s="16"/>
      <c r="F38" s="16"/>
    </row>
    <row r="39" spans="1:6" ht="15.95">
      <c r="A39" s="44" t="s">
        <v>295</v>
      </c>
      <c r="B39" s="46">
        <v>0.18793899385022114</v>
      </c>
      <c r="C39" s="46">
        <v>0.10241619284794695</v>
      </c>
      <c r="D39" s="47">
        <f t="shared" si="0"/>
        <v>8.552280100227419E-2</v>
      </c>
      <c r="E39" s="16"/>
      <c r="F39" s="16"/>
    </row>
    <row r="40" spans="1:6" ht="15.95">
      <c r="A40" s="44" t="s">
        <v>147</v>
      </c>
      <c r="B40" s="46">
        <v>0.15505999565124498</v>
      </c>
      <c r="C40" s="46">
        <v>3.5090000629425001E-2</v>
      </c>
      <c r="D40" s="47">
        <f t="shared" si="0"/>
        <v>0.11996999502181999</v>
      </c>
      <c r="E40" s="16"/>
      <c r="F40" s="16"/>
    </row>
    <row r="41" spans="1:6" ht="15.95">
      <c r="A41" s="44" t="s">
        <v>296</v>
      </c>
      <c r="B41" s="46">
        <v>0.145430002212524</v>
      </c>
      <c r="C41" s="46">
        <v>0.199689998626709</v>
      </c>
      <c r="D41" s="47">
        <f t="shared" si="0"/>
        <v>0</v>
      </c>
      <c r="E41" s="16"/>
      <c r="F41" s="16"/>
    </row>
    <row r="42" spans="1:6" ht="15.95">
      <c r="A42" s="44" t="s">
        <v>193</v>
      </c>
      <c r="B42" s="46">
        <v>0.27877000808715802</v>
      </c>
      <c r="C42" s="46">
        <v>9.5559997558593804E-2</v>
      </c>
      <c r="D42" s="47">
        <f t="shared" si="0"/>
        <v>0.18321001052856423</v>
      </c>
      <c r="E42" s="16"/>
      <c r="F42" s="16"/>
    </row>
    <row r="43" spans="1:6" ht="15.95">
      <c r="A43" s="44" t="s">
        <v>53</v>
      </c>
      <c r="B43" s="46">
        <v>0.36353000640869099</v>
      </c>
      <c r="C43" s="46">
        <v>0.175100002288818</v>
      </c>
      <c r="D43" s="47">
        <f t="shared" si="0"/>
        <v>0.18843000411987298</v>
      </c>
      <c r="E43" s="16"/>
      <c r="F43" s="16"/>
    </row>
    <row r="44" spans="1:6" ht="15.95">
      <c r="A44" s="44" t="s">
        <v>218</v>
      </c>
      <c r="B44" s="46">
        <v>0.75324996948242207</v>
      </c>
      <c r="C44" s="46">
        <v>0.48320999145507798</v>
      </c>
      <c r="D44" s="47">
        <f t="shared" si="0"/>
        <v>0.27003997802734409</v>
      </c>
      <c r="E44" s="16"/>
      <c r="F44" s="16"/>
    </row>
    <row r="45" spans="1:6" ht="15.95">
      <c r="A45" s="44" t="s">
        <v>161</v>
      </c>
      <c r="B45" s="46">
        <v>0.75205001831054696</v>
      </c>
      <c r="C45" s="46">
        <v>0.62012001037597697</v>
      </c>
      <c r="D45" s="47">
        <f t="shared" si="0"/>
        <v>0.13193000793456999</v>
      </c>
      <c r="E45" s="16"/>
      <c r="F45" s="16"/>
    </row>
    <row r="46" spans="1:6" ht="15.95">
      <c r="A46" s="44" t="s">
        <v>297</v>
      </c>
      <c r="B46" s="46">
        <v>0.57306999206542997</v>
      </c>
      <c r="C46" s="46">
        <v>0.81929000854492207</v>
      </c>
      <c r="D46" s="47">
        <f t="shared" si="0"/>
        <v>0</v>
      </c>
      <c r="E46" s="16"/>
      <c r="F46" s="16"/>
    </row>
    <row r="47" spans="1:6" ht="15.95">
      <c r="A47" s="44" t="s">
        <v>298</v>
      </c>
      <c r="B47" s="46">
        <v>0.76401000976562505</v>
      </c>
      <c r="C47" s="46">
        <v>0.37228000640869097</v>
      </c>
      <c r="D47" s="47">
        <f t="shared" si="0"/>
        <v>0.39173000335693409</v>
      </c>
      <c r="E47" s="16"/>
      <c r="F47" s="16"/>
    </row>
    <row r="48" spans="1:6" ht="15.95">
      <c r="A48" s="44" t="s">
        <v>64</v>
      </c>
      <c r="B48" s="46">
        <v>0.51063999176025399</v>
      </c>
      <c r="C48" s="46">
        <v>0.161410007476807</v>
      </c>
      <c r="D48" s="47">
        <f t="shared" si="0"/>
        <v>0.34922998428344698</v>
      </c>
      <c r="E48" s="16"/>
      <c r="F48" s="16"/>
    </row>
    <row r="49" spans="1:6" ht="15.95">
      <c r="A49" s="44" t="s">
        <v>184</v>
      </c>
      <c r="B49" s="46">
        <v>0.69018997192382803</v>
      </c>
      <c r="C49" s="46">
        <v>0.54849998474121098</v>
      </c>
      <c r="D49" s="47">
        <f t="shared" si="0"/>
        <v>0.14168998718261705</v>
      </c>
      <c r="E49" s="16"/>
      <c r="F49" s="16"/>
    </row>
    <row r="50" spans="1:6" ht="15.95">
      <c r="A50" s="44" t="s">
        <v>213</v>
      </c>
      <c r="B50" s="46">
        <v>0.399269981384277</v>
      </c>
      <c r="C50" s="46">
        <v>0.6765399932861329</v>
      </c>
      <c r="D50" s="47">
        <f t="shared" si="0"/>
        <v>0</v>
      </c>
      <c r="E50" s="16"/>
      <c r="F50" s="16"/>
    </row>
    <row r="51" spans="1:6" ht="15.95">
      <c r="A51" s="44" t="s">
        <v>202</v>
      </c>
      <c r="B51" s="46">
        <v>0.217670001983643</v>
      </c>
      <c r="C51" s="46">
        <v>0.119849996566772</v>
      </c>
      <c r="D51" s="47">
        <f t="shared" si="0"/>
        <v>9.7820005416870998E-2</v>
      </c>
      <c r="E51" s="16"/>
      <c r="F51" s="16"/>
    </row>
    <row r="52" spans="1:6" ht="15.95">
      <c r="A52" s="44" t="s">
        <v>299</v>
      </c>
      <c r="B52" s="46">
        <v>0.31111015507043072</v>
      </c>
      <c r="C52" s="46">
        <v>0.11833029243020189</v>
      </c>
      <c r="D52" s="47">
        <f t="shared" si="0"/>
        <v>0.19277986264022884</v>
      </c>
      <c r="E52" s="16"/>
      <c r="F52" s="16"/>
    </row>
    <row r="53" spans="1:6" ht="15.95">
      <c r="A53" s="44" t="s">
        <v>131</v>
      </c>
      <c r="B53" s="46">
        <v>0.34638000488281301</v>
      </c>
      <c r="C53" s="46">
        <v>0.18600999832153298</v>
      </c>
      <c r="D53" s="47">
        <f t="shared" si="0"/>
        <v>0.16037000656128003</v>
      </c>
      <c r="E53" s="16"/>
      <c r="F53" s="16"/>
    </row>
    <row r="54" spans="1:6" ht="15.95">
      <c r="A54" s="44" t="s">
        <v>241</v>
      </c>
      <c r="B54" s="46">
        <v>0</v>
      </c>
      <c r="C54" s="46">
        <v>0</v>
      </c>
      <c r="D54" s="47">
        <f t="shared" si="0"/>
        <v>0</v>
      </c>
      <c r="E54" s="16"/>
      <c r="F54" s="16"/>
    </row>
    <row r="55" spans="1:6" ht="15.95">
      <c r="A55" s="44" t="s">
        <v>154</v>
      </c>
      <c r="B55" s="46">
        <v>0</v>
      </c>
      <c r="C55" s="46">
        <v>0</v>
      </c>
      <c r="D55" s="47">
        <f t="shared" si="0"/>
        <v>0</v>
      </c>
      <c r="E55" s="16"/>
      <c r="F55" s="16"/>
    </row>
    <row r="56" spans="1:6" ht="15.95">
      <c r="A56" s="44" t="s">
        <v>234</v>
      </c>
      <c r="B56" s="46">
        <v>0.14402999877929701</v>
      </c>
      <c r="C56" s="46">
        <v>3.5329999923706099E-2</v>
      </c>
      <c r="D56" s="47">
        <f t="shared" si="0"/>
        <v>0.10869999885559091</v>
      </c>
      <c r="E56" s="16"/>
      <c r="F56" s="16"/>
    </row>
    <row r="57" spans="1:6" ht="15.95">
      <c r="A57" s="44" t="s">
        <v>300</v>
      </c>
      <c r="B57" s="46">
        <v>0.17298000335693398</v>
      </c>
      <c r="C57" s="46">
        <v>2.86500000953674E-2</v>
      </c>
      <c r="D57" s="47">
        <f t="shared" si="0"/>
        <v>0.14433000326156659</v>
      </c>
      <c r="E57" s="16"/>
      <c r="F57" s="16"/>
    </row>
    <row r="58" spans="1:6" ht="15.95">
      <c r="A58" s="44" t="s">
        <v>88</v>
      </c>
      <c r="B58" s="46">
        <v>0.104029998779297</v>
      </c>
      <c r="C58" s="46">
        <v>1.2849999666214E-2</v>
      </c>
      <c r="D58" s="47">
        <f t="shared" si="0"/>
        <v>9.1179999113082999E-2</v>
      </c>
      <c r="E58" s="16"/>
      <c r="F58" s="16"/>
    </row>
    <row r="59" spans="1:6" ht="15.95">
      <c r="A59" s="44" t="s">
        <v>282</v>
      </c>
      <c r="B59" s="46">
        <v>0.41492000579833999</v>
      </c>
      <c r="C59" s="46">
        <v>0.297859992980957</v>
      </c>
      <c r="D59" s="47">
        <f t="shared" si="0"/>
        <v>0.11706001281738299</v>
      </c>
      <c r="E59" s="16"/>
      <c r="F59" s="16"/>
    </row>
    <row r="60" spans="1:6" ht="15.95">
      <c r="A60" s="44" t="s">
        <v>263</v>
      </c>
      <c r="B60" s="46">
        <v>0</v>
      </c>
      <c r="C60" s="46">
        <v>0</v>
      </c>
      <c r="D60" s="47">
        <f t="shared" si="0"/>
        <v>0</v>
      </c>
      <c r="E60" s="16"/>
      <c r="F60" s="16"/>
    </row>
    <row r="61" spans="1:6" ht="15.95">
      <c r="A61" s="44" t="s">
        <v>176</v>
      </c>
      <c r="B61" s="46">
        <v>9.2030000686645505E-2</v>
      </c>
      <c r="C61" s="46">
        <v>2.5840001106262198E-2</v>
      </c>
      <c r="D61" s="47">
        <f t="shared" si="0"/>
        <v>6.618999958038331E-2</v>
      </c>
      <c r="E61" s="16"/>
      <c r="F61" s="16"/>
    </row>
    <row r="62" spans="1:6" ht="15.95">
      <c r="A62" s="44" t="s">
        <v>175</v>
      </c>
      <c r="B62" s="46">
        <v>0.442159996032715</v>
      </c>
      <c r="C62" s="46">
        <v>0.12414999961853</v>
      </c>
      <c r="D62" s="47">
        <f t="shared" si="0"/>
        <v>0.31800999641418498</v>
      </c>
      <c r="E62" s="16"/>
      <c r="F62" s="16"/>
    </row>
    <row r="63" spans="1:6" ht="15.95">
      <c r="A63" s="44" t="s">
        <v>233</v>
      </c>
      <c r="B63" s="46">
        <v>0.30898000717163099</v>
      </c>
      <c r="C63" s="46">
        <v>0.12826000213623001</v>
      </c>
      <c r="D63" s="47">
        <f t="shared" si="0"/>
        <v>0.18072000503540098</v>
      </c>
      <c r="E63" s="16"/>
      <c r="F63" s="16"/>
    </row>
    <row r="64" spans="1:6" ht="15.95">
      <c r="A64" s="44" t="s">
        <v>301</v>
      </c>
      <c r="B64" s="46">
        <v>0.41186460188006907</v>
      </c>
      <c r="C64" s="46">
        <v>0.22794251611034405</v>
      </c>
      <c r="D64" s="47">
        <f t="shared" si="0"/>
        <v>0.18392208576972502</v>
      </c>
      <c r="E64" s="16"/>
      <c r="F64" s="16"/>
    </row>
    <row r="65" spans="1:6" ht="15.95">
      <c r="A65" s="44" t="s">
        <v>302</v>
      </c>
      <c r="B65" s="46">
        <v>0.61439402253219633</v>
      </c>
      <c r="C65" s="46">
        <v>0.36158841207039261</v>
      </c>
      <c r="D65" s="47">
        <f t="shared" si="0"/>
        <v>0.25280561046180372</v>
      </c>
      <c r="E65" s="16"/>
      <c r="F65" s="16"/>
    </row>
    <row r="66" spans="1:6" ht="15.95">
      <c r="A66" s="44" t="s">
        <v>303</v>
      </c>
      <c r="B66" s="46">
        <v>0.38624154359174162</v>
      </c>
      <c r="C66" s="46">
        <v>0.2081221335891274</v>
      </c>
      <c r="D66" s="47">
        <f t="shared" si="0"/>
        <v>0.17811941000261422</v>
      </c>
      <c r="E66" s="16"/>
      <c r="F66" s="16"/>
    </row>
    <row r="67" spans="1:6" ht="15.95">
      <c r="A67" s="44" t="s">
        <v>304</v>
      </c>
      <c r="B67" s="46">
        <v>0.2057398987982679</v>
      </c>
      <c r="C67" s="46">
        <v>0.15091941350750385</v>
      </c>
      <c r="D67" s="47">
        <f t="shared" si="0"/>
        <v>5.4820485290764054E-2</v>
      </c>
      <c r="E67" s="16"/>
      <c r="F67" s="16"/>
    </row>
    <row r="68" spans="1:6" ht="15.95">
      <c r="A68" s="44" t="s">
        <v>305</v>
      </c>
      <c r="B68" s="46">
        <v>0.17753452942949127</v>
      </c>
      <c r="C68" s="46">
        <v>8.6789508156654233E-2</v>
      </c>
      <c r="D68" s="47">
        <f t="shared" si="0"/>
        <v>9.074502127283704E-2</v>
      </c>
      <c r="E68" s="16"/>
      <c r="F68" s="16"/>
    </row>
    <row r="69" spans="1:6" ht="15.95">
      <c r="A69" s="44" t="s">
        <v>169</v>
      </c>
      <c r="B69" s="46">
        <v>0.48715000152587895</v>
      </c>
      <c r="C69" s="46">
        <v>0.26934000015258802</v>
      </c>
      <c r="D69" s="47">
        <f t="shared" si="0"/>
        <v>0.21781000137329093</v>
      </c>
      <c r="E69" s="16"/>
      <c r="F69" s="16"/>
    </row>
    <row r="70" spans="1:6" ht="15.95">
      <c r="A70" s="44" t="s">
        <v>95</v>
      </c>
      <c r="B70" s="46">
        <v>0.30711000442504899</v>
      </c>
      <c r="C70" s="46">
        <v>0.24839000701904301</v>
      </c>
      <c r="D70" s="47">
        <f t="shared" si="0"/>
        <v>5.8719997406005975E-2</v>
      </c>
      <c r="E70" s="16"/>
      <c r="F70" s="16"/>
    </row>
    <row r="71" spans="1:6" ht="15.95">
      <c r="A71" s="44" t="s">
        <v>306</v>
      </c>
      <c r="B71" s="46">
        <v>0.15340511639300455</v>
      </c>
      <c r="C71" s="46">
        <v>3.2049512415725047E-2</v>
      </c>
      <c r="D71" s="47">
        <f t="shared" ref="D71:D134" si="1">IF(B71-C71&lt;0,0,B71-C71)</f>
        <v>0.12135560397727951</v>
      </c>
      <c r="E71" s="16"/>
      <c r="F71" s="16"/>
    </row>
    <row r="72" spans="1:6" ht="15.95">
      <c r="A72" s="44" t="s">
        <v>207</v>
      </c>
      <c r="B72" s="46">
        <v>0.48881999969482398</v>
      </c>
      <c r="C72" s="46">
        <v>0.83872001647949201</v>
      </c>
      <c r="D72" s="47">
        <f t="shared" si="1"/>
        <v>0</v>
      </c>
      <c r="E72" s="16"/>
      <c r="F72" s="16"/>
    </row>
    <row r="73" spans="1:6" ht="15.95">
      <c r="A73" s="44" t="s">
        <v>98</v>
      </c>
      <c r="B73" s="46">
        <v>0.16832000732421901</v>
      </c>
      <c r="C73" s="46">
        <v>4.1389999389648401E-2</v>
      </c>
      <c r="D73" s="47">
        <f t="shared" si="1"/>
        <v>0.1269300079345706</v>
      </c>
      <c r="E73" s="16"/>
      <c r="F73" s="16"/>
    </row>
    <row r="74" spans="1:6" ht="15.95">
      <c r="A74" s="44" t="s">
        <v>205</v>
      </c>
      <c r="B74" s="46">
        <v>9.6190004348754896E-2</v>
      </c>
      <c r="C74" s="46">
        <v>3.8959999084472702E-2</v>
      </c>
      <c r="D74" s="47">
        <f t="shared" si="1"/>
        <v>5.7230005264282194E-2</v>
      </c>
      <c r="E74" s="16"/>
      <c r="F74" s="16"/>
    </row>
    <row r="75" spans="1:6" ht="15.95">
      <c r="A75" s="44" t="s">
        <v>87</v>
      </c>
      <c r="B75" s="46">
        <v>0.88714996337890595</v>
      </c>
      <c r="C75" s="46">
        <v>0.68220001220703097</v>
      </c>
      <c r="D75" s="47">
        <f t="shared" si="1"/>
        <v>0.20494995117187498</v>
      </c>
      <c r="E75" s="16"/>
      <c r="F75" s="16"/>
    </row>
    <row r="76" spans="1:6" ht="15.95">
      <c r="A76" s="44" t="s">
        <v>55</v>
      </c>
      <c r="B76" s="46">
        <v>0.15915424345879464</v>
      </c>
      <c r="C76" s="46">
        <v>4.2490422916010101E-2</v>
      </c>
      <c r="D76" s="47">
        <f t="shared" si="1"/>
        <v>0.11666382054278454</v>
      </c>
      <c r="E76" s="16"/>
      <c r="F76" s="16"/>
    </row>
    <row r="77" spans="1:6" ht="15.95">
      <c r="A77" s="44" t="s">
        <v>307</v>
      </c>
      <c r="B77" s="46">
        <v>0.64915105394946016</v>
      </c>
      <c r="C77" s="46">
        <v>0.58171934096178146</v>
      </c>
      <c r="D77" s="47">
        <f t="shared" si="1"/>
        <v>6.7431712987678694E-2</v>
      </c>
      <c r="E77" s="16"/>
      <c r="F77" s="16"/>
    </row>
    <row r="78" spans="1:6" ht="15.95">
      <c r="A78" s="44" t="s">
        <v>209</v>
      </c>
      <c r="B78" s="46">
        <v>0.14124999999999999</v>
      </c>
      <c r="C78" s="46">
        <v>3.8800001144409201E-2</v>
      </c>
      <c r="D78" s="47">
        <f t="shared" si="1"/>
        <v>0.10244999885559078</v>
      </c>
      <c r="E78" s="16"/>
      <c r="F78" s="16"/>
    </row>
    <row r="79" spans="1:6" ht="15.95">
      <c r="A79" s="44" t="s">
        <v>174</v>
      </c>
      <c r="B79" s="46">
        <v>0.39805999755859406</v>
      </c>
      <c r="C79" s="46">
        <v>0.394720001220703</v>
      </c>
      <c r="D79" s="47">
        <f t="shared" si="1"/>
        <v>3.3399963378910602E-3</v>
      </c>
      <c r="E79" s="16"/>
      <c r="F79" s="16"/>
    </row>
    <row r="80" spans="1:6" ht="15.95">
      <c r="A80" s="44" t="s">
        <v>93</v>
      </c>
      <c r="B80" s="46">
        <v>0.11970999717712401</v>
      </c>
      <c r="C80" s="46">
        <v>2.8740000724792499E-2</v>
      </c>
      <c r="D80" s="47">
        <f t="shared" si="1"/>
        <v>9.0969996452331503E-2</v>
      </c>
      <c r="E80" s="16"/>
      <c r="F80" s="16"/>
    </row>
    <row r="81" spans="1:6" ht="15.95">
      <c r="A81" s="44" t="s">
        <v>144</v>
      </c>
      <c r="B81" s="46">
        <v>0</v>
      </c>
      <c r="C81" s="46">
        <v>0</v>
      </c>
      <c r="D81" s="47">
        <f t="shared" si="1"/>
        <v>0</v>
      </c>
      <c r="E81" s="16"/>
      <c r="F81" s="16"/>
    </row>
    <row r="82" spans="1:6" ht="15.95">
      <c r="A82" s="44" t="s">
        <v>308</v>
      </c>
      <c r="B82" s="46">
        <v>0</v>
      </c>
      <c r="C82" s="46">
        <v>0</v>
      </c>
      <c r="D82" s="47">
        <f t="shared" si="1"/>
        <v>0</v>
      </c>
      <c r="E82" s="16"/>
      <c r="F82" s="16"/>
    </row>
    <row r="83" spans="1:6" ht="15.95">
      <c r="A83" s="44" t="s">
        <v>269</v>
      </c>
      <c r="B83" s="46">
        <v>0.34264999389648404</v>
      </c>
      <c r="C83" s="46">
        <v>0.41880001068115197</v>
      </c>
      <c r="D83" s="47">
        <f t="shared" si="1"/>
        <v>0</v>
      </c>
      <c r="E83" s="16"/>
      <c r="F83" s="16"/>
    </row>
    <row r="84" spans="1:6" ht="15.95">
      <c r="A84" s="44" t="s">
        <v>91</v>
      </c>
      <c r="B84" s="46">
        <v>0.15489999771118199</v>
      </c>
      <c r="C84" s="46">
        <v>1.1109999418258701E-2</v>
      </c>
      <c r="D84" s="47">
        <f t="shared" si="1"/>
        <v>0.14378999829292327</v>
      </c>
      <c r="E84" s="16"/>
      <c r="F84" s="16"/>
    </row>
    <row r="85" spans="1:6" ht="15.95">
      <c r="A85" s="44" t="s">
        <v>229</v>
      </c>
      <c r="B85" s="46">
        <v>0.58171001434326197</v>
      </c>
      <c r="C85" s="46">
        <v>0.40905998229980495</v>
      </c>
      <c r="D85" s="47">
        <f t="shared" si="1"/>
        <v>0.17265003204345702</v>
      </c>
      <c r="E85" s="16"/>
      <c r="F85" s="16"/>
    </row>
    <row r="86" spans="1:6" ht="15.95">
      <c r="A86" s="44" t="s">
        <v>113</v>
      </c>
      <c r="B86" s="46">
        <v>0.73116996765136699</v>
      </c>
      <c r="C86" s="46">
        <v>0.40648998260497998</v>
      </c>
      <c r="D86" s="47">
        <f t="shared" si="1"/>
        <v>0.32467998504638701</v>
      </c>
      <c r="E86" s="16"/>
      <c r="F86" s="16"/>
    </row>
    <row r="87" spans="1:6" ht="15.95">
      <c r="A87" s="44" t="s">
        <v>120</v>
      </c>
      <c r="B87" s="46">
        <v>0</v>
      </c>
      <c r="C87" s="46">
        <v>0</v>
      </c>
      <c r="D87" s="47">
        <f t="shared" si="1"/>
        <v>0</v>
      </c>
      <c r="E87" s="16"/>
      <c r="F87" s="16"/>
    </row>
    <row r="88" spans="1:6" ht="15.95">
      <c r="A88" s="44" t="s">
        <v>143</v>
      </c>
      <c r="B88" s="46">
        <v>0.91595001220703098</v>
      </c>
      <c r="C88" s="46">
        <v>0.68220001220703097</v>
      </c>
      <c r="D88" s="47">
        <f t="shared" si="1"/>
        <v>0.23375000000000001</v>
      </c>
      <c r="E88" s="16"/>
      <c r="F88" s="16"/>
    </row>
    <row r="89" spans="1:6" ht="15.95">
      <c r="A89" s="44" t="s">
        <v>309</v>
      </c>
      <c r="B89" s="46">
        <v>0.72962997436523391</v>
      </c>
      <c r="C89" s="46">
        <v>0.270750007629395</v>
      </c>
      <c r="D89" s="47">
        <f t="shared" si="1"/>
        <v>0.45887996673583892</v>
      </c>
      <c r="E89" s="16"/>
      <c r="F89" s="16"/>
    </row>
    <row r="90" spans="1:6" ht="15.95">
      <c r="A90" s="44" t="s">
        <v>310</v>
      </c>
      <c r="B90" s="46">
        <v>0.66699996948242202</v>
      </c>
      <c r="C90" s="46">
        <v>0.83445999145507799</v>
      </c>
      <c r="D90" s="47">
        <f t="shared" si="1"/>
        <v>0</v>
      </c>
      <c r="E90" s="16"/>
      <c r="F90" s="16"/>
    </row>
    <row r="91" spans="1:6" ht="15.95">
      <c r="A91" s="44" t="s">
        <v>208</v>
      </c>
      <c r="B91" s="46">
        <v>0.40099998474121101</v>
      </c>
      <c r="C91" s="46">
        <v>0.59522998809814498</v>
      </c>
      <c r="D91" s="47">
        <f t="shared" si="1"/>
        <v>0</v>
      </c>
      <c r="E91" s="16"/>
      <c r="F91" s="16"/>
    </row>
    <row r="92" spans="1:6" ht="15.95">
      <c r="A92" s="44" t="s">
        <v>261</v>
      </c>
      <c r="B92" s="46">
        <v>0.34036998748779296</v>
      </c>
      <c r="C92" s="46">
        <v>0.121280002593994</v>
      </c>
      <c r="D92" s="47">
        <f t="shared" si="1"/>
        <v>0.21908998489379894</v>
      </c>
      <c r="E92" s="16"/>
      <c r="F92" s="16"/>
    </row>
    <row r="93" spans="1:6" ht="15.95">
      <c r="A93" s="44" t="s">
        <v>275</v>
      </c>
      <c r="B93" s="46">
        <v>0</v>
      </c>
      <c r="C93" s="46">
        <v>0</v>
      </c>
      <c r="D93" s="47">
        <f t="shared" si="1"/>
        <v>0</v>
      </c>
      <c r="E93" s="16"/>
      <c r="F93" s="16"/>
    </row>
    <row r="94" spans="1:6" ht="15.95">
      <c r="A94" s="44" t="s">
        <v>217</v>
      </c>
      <c r="B94" s="46">
        <v>0</v>
      </c>
      <c r="C94" s="46">
        <v>0</v>
      </c>
      <c r="D94" s="47">
        <f t="shared" si="1"/>
        <v>0</v>
      </c>
      <c r="E94" s="16"/>
      <c r="F94" s="16"/>
    </row>
    <row r="95" spans="1:6" ht="15.95">
      <c r="A95" s="44" t="s">
        <v>133</v>
      </c>
      <c r="B95" s="46">
        <v>0.37623001098632797</v>
      </c>
      <c r="C95" s="46">
        <v>0.29389999389648397</v>
      </c>
      <c r="D95" s="47">
        <f t="shared" si="1"/>
        <v>8.2330017089843999E-2</v>
      </c>
      <c r="E95" s="16"/>
      <c r="F95" s="16"/>
    </row>
    <row r="96" spans="1:6" ht="15.95">
      <c r="A96" s="44" t="s">
        <v>206</v>
      </c>
      <c r="B96" s="46">
        <v>0.295359992980957</v>
      </c>
      <c r="C96" s="46">
        <v>8.9300003051757795E-2</v>
      </c>
      <c r="D96" s="47">
        <f t="shared" si="1"/>
        <v>0.20605998992919922</v>
      </c>
      <c r="E96" s="16"/>
      <c r="F96" s="16"/>
    </row>
    <row r="97" spans="1:6" ht="15.95">
      <c r="A97" s="44" t="s">
        <v>227</v>
      </c>
      <c r="B97" s="46">
        <v>0.34277000427246102</v>
      </c>
      <c r="C97" s="46">
        <v>0.13407999992370601</v>
      </c>
      <c r="D97" s="47">
        <f t="shared" si="1"/>
        <v>0.20869000434875501</v>
      </c>
      <c r="E97" s="16"/>
      <c r="F97" s="16"/>
    </row>
    <row r="98" spans="1:6" ht="15.95">
      <c r="A98" s="44" t="s">
        <v>311</v>
      </c>
      <c r="B98" s="46">
        <v>0.13912987481547309</v>
      </c>
      <c r="C98" s="46">
        <v>3.08298820476554E-2</v>
      </c>
      <c r="D98" s="47">
        <f t="shared" si="1"/>
        <v>0.1082999927678177</v>
      </c>
      <c r="E98" s="16"/>
      <c r="F98" s="16"/>
    </row>
    <row r="99" spans="1:6" ht="15.95">
      <c r="A99" s="44" t="s">
        <v>312</v>
      </c>
      <c r="B99" s="46">
        <v>8.9879999160766597E-2</v>
      </c>
      <c r="C99" s="46">
        <v>2.1500000357627899E-3</v>
      </c>
      <c r="D99" s="47">
        <f t="shared" si="1"/>
        <v>8.7729999125003802E-2</v>
      </c>
      <c r="E99" s="16"/>
      <c r="F99" s="16"/>
    </row>
    <row r="100" spans="1:6" ht="15.95">
      <c r="A100" s="44" t="s">
        <v>178</v>
      </c>
      <c r="B100" s="46">
        <v>0.47604000091552701</v>
      </c>
      <c r="C100" s="46">
        <v>0.28488000869751001</v>
      </c>
      <c r="D100" s="47">
        <f t="shared" si="1"/>
        <v>0.19115999221801699</v>
      </c>
      <c r="E100" s="16"/>
      <c r="F100" s="16"/>
    </row>
    <row r="101" spans="1:6" ht="15.95">
      <c r="A101" s="44" t="s">
        <v>313</v>
      </c>
      <c r="B101" s="46">
        <v>0.76402812551149002</v>
      </c>
      <c r="C101" s="46">
        <v>0.64123739100611488</v>
      </c>
      <c r="D101" s="47">
        <f t="shared" si="1"/>
        <v>0.12279073450537514</v>
      </c>
      <c r="E101" s="16"/>
      <c r="F101" s="16"/>
    </row>
    <row r="102" spans="1:6" ht="15.95">
      <c r="A102" s="44" t="s">
        <v>243</v>
      </c>
      <c r="B102" s="46">
        <v>0.13914999961853</v>
      </c>
      <c r="C102" s="46">
        <v>7.5430002212524397E-2</v>
      </c>
      <c r="D102" s="47">
        <f t="shared" si="1"/>
        <v>6.3719997406005605E-2</v>
      </c>
      <c r="E102" s="16"/>
      <c r="F102" s="16"/>
    </row>
    <row r="103" spans="1:6" ht="15.95">
      <c r="A103" s="44" t="s">
        <v>279</v>
      </c>
      <c r="B103" s="46">
        <v>0.88490997314453101</v>
      </c>
      <c r="C103" s="46">
        <v>0.41257999420166003</v>
      </c>
      <c r="D103" s="47">
        <f t="shared" si="1"/>
        <v>0.47232997894287099</v>
      </c>
      <c r="E103" s="16"/>
      <c r="F103" s="16"/>
    </row>
    <row r="104" spans="1:6" ht="15.95">
      <c r="A104" s="44" t="s">
        <v>165</v>
      </c>
      <c r="B104" s="46">
        <v>0.108579998016357</v>
      </c>
      <c r="C104" s="46">
        <v>4.9809999465942403E-2</v>
      </c>
      <c r="D104" s="47">
        <f t="shared" si="1"/>
        <v>5.8769998550414593E-2</v>
      </c>
      <c r="E104" s="16"/>
      <c r="F104" s="16"/>
    </row>
    <row r="105" spans="1:6" ht="15.95">
      <c r="A105" s="44" t="s">
        <v>314</v>
      </c>
      <c r="B105" s="46">
        <v>0.46873104150629558</v>
      </c>
      <c r="C105" s="46">
        <v>0.24780041403364281</v>
      </c>
      <c r="D105" s="47">
        <f t="shared" si="1"/>
        <v>0.22093062747265277</v>
      </c>
      <c r="E105" s="16"/>
      <c r="F105" s="16"/>
    </row>
    <row r="106" spans="1:6" ht="15.95">
      <c r="A106" s="44" t="s">
        <v>315</v>
      </c>
      <c r="B106" s="46">
        <v>0.52007618971504488</v>
      </c>
      <c r="C106" s="46">
        <v>0.31002378294441518</v>
      </c>
      <c r="D106" s="47">
        <f t="shared" si="1"/>
        <v>0.2100524067706297</v>
      </c>
      <c r="E106" s="16"/>
      <c r="F106" s="16"/>
    </row>
    <row r="107" spans="1:6" ht="15.95">
      <c r="A107" s="44" t="s">
        <v>316</v>
      </c>
      <c r="B107" s="46">
        <v>0.7005543016542839</v>
      </c>
      <c r="C107" s="46">
        <v>0.52873882285156282</v>
      </c>
      <c r="D107" s="47">
        <f t="shared" si="1"/>
        <v>0.17181547880272108</v>
      </c>
      <c r="E107" s="16"/>
      <c r="F107" s="16"/>
    </row>
    <row r="108" spans="1:6" ht="15.95">
      <c r="A108" s="44" t="s">
        <v>317</v>
      </c>
      <c r="B108" s="46">
        <v>0.65883318705728089</v>
      </c>
      <c r="C108" s="46">
        <v>0.39994936622354538</v>
      </c>
      <c r="D108" s="47">
        <f t="shared" si="1"/>
        <v>0.25888382083373551</v>
      </c>
      <c r="E108" s="16"/>
      <c r="F108" s="16"/>
    </row>
    <row r="109" spans="1:6" ht="15.95">
      <c r="A109" s="44" t="s">
        <v>57</v>
      </c>
      <c r="B109" s="46">
        <v>0.51076000213622996</v>
      </c>
      <c r="C109" s="46">
        <v>0.31170000076293897</v>
      </c>
      <c r="D109" s="47">
        <f t="shared" si="1"/>
        <v>0.199060001373291</v>
      </c>
      <c r="E109" s="16"/>
      <c r="F109" s="16"/>
    </row>
    <row r="110" spans="1:6" ht="15.95">
      <c r="A110" s="44" t="s">
        <v>318</v>
      </c>
      <c r="B110" s="46">
        <v>0.71844258278700646</v>
      </c>
      <c r="C110" s="46">
        <v>0.58395839283059781</v>
      </c>
      <c r="D110" s="47">
        <f t="shared" si="1"/>
        <v>0.13448418995640865</v>
      </c>
      <c r="E110" s="16"/>
      <c r="F110" s="16"/>
    </row>
    <row r="111" spans="1:6" ht="15.95">
      <c r="A111" s="44" t="s">
        <v>139</v>
      </c>
      <c r="B111" s="46">
        <v>0</v>
      </c>
      <c r="C111" s="46">
        <v>0</v>
      </c>
      <c r="D111" s="47">
        <f t="shared" si="1"/>
        <v>0</v>
      </c>
      <c r="E111" s="16"/>
      <c r="F111" s="16"/>
    </row>
    <row r="112" spans="1:6" ht="15.95">
      <c r="A112" s="44" t="s">
        <v>54</v>
      </c>
      <c r="B112" s="46">
        <v>0.79032997131347704</v>
      </c>
      <c r="C112" s="46">
        <v>0.42736999511718798</v>
      </c>
      <c r="D112" s="47">
        <f t="shared" si="1"/>
        <v>0.36295997619628906</v>
      </c>
      <c r="E112" s="16"/>
      <c r="F112" s="16"/>
    </row>
    <row r="113" spans="1:6" ht="15.95">
      <c r="A113" s="44" t="s">
        <v>319</v>
      </c>
      <c r="B113" s="46">
        <v>0</v>
      </c>
      <c r="C113" s="46">
        <v>0</v>
      </c>
      <c r="D113" s="47">
        <f t="shared" si="1"/>
        <v>0</v>
      </c>
      <c r="E113" s="16"/>
      <c r="F113" s="16"/>
    </row>
    <row r="114" spans="1:6" ht="15.95">
      <c r="A114" s="44" t="s">
        <v>181</v>
      </c>
      <c r="B114" s="46">
        <v>0.165240001678467</v>
      </c>
      <c r="C114" s="46">
        <v>5.35500001907349E-2</v>
      </c>
      <c r="D114" s="47">
        <f t="shared" si="1"/>
        <v>0.1116900014877321</v>
      </c>
      <c r="E114" s="16"/>
      <c r="F114" s="16"/>
    </row>
    <row r="115" spans="1:6" ht="15.95">
      <c r="A115" s="44" t="s">
        <v>94</v>
      </c>
      <c r="B115" s="46">
        <v>0.45029998779296904</v>
      </c>
      <c r="C115" s="46">
        <v>0.17136999130248998</v>
      </c>
      <c r="D115" s="47">
        <f t="shared" si="1"/>
        <v>0.27892999649047906</v>
      </c>
      <c r="E115" s="16"/>
      <c r="F115" s="16"/>
    </row>
    <row r="116" spans="1:6" ht="15.95">
      <c r="A116" s="44" t="s">
        <v>250</v>
      </c>
      <c r="B116" s="46">
        <v>0.39532001495361302</v>
      </c>
      <c r="C116" s="46">
        <v>0.18722000122070298</v>
      </c>
      <c r="D116" s="47">
        <f t="shared" si="1"/>
        <v>0.20810001373291004</v>
      </c>
      <c r="E116" s="16"/>
      <c r="F116" s="16"/>
    </row>
    <row r="117" spans="1:6" ht="15.95">
      <c r="A117" s="44" t="s">
        <v>142</v>
      </c>
      <c r="B117" s="46">
        <v>0.118170003890991</v>
      </c>
      <c r="C117" s="46">
        <v>3.5569999217987099E-2</v>
      </c>
      <c r="D117" s="47">
        <f t="shared" si="1"/>
        <v>8.2600004673003907E-2</v>
      </c>
      <c r="E117" s="16"/>
      <c r="F117" s="16"/>
    </row>
    <row r="118" spans="1:6" ht="15.95">
      <c r="A118" s="44" t="s">
        <v>160</v>
      </c>
      <c r="B118" s="46">
        <v>0.158629999160767</v>
      </c>
      <c r="C118" s="46">
        <v>1.07200002670288E-2</v>
      </c>
      <c r="D118" s="47">
        <f t="shared" si="1"/>
        <v>0.14790999889373821</v>
      </c>
      <c r="E118" s="16"/>
      <c r="F118" s="16"/>
    </row>
    <row r="119" spans="1:6" ht="15.95">
      <c r="A119" s="44" t="s">
        <v>96</v>
      </c>
      <c r="B119" s="46">
        <v>0.242210006713867</v>
      </c>
      <c r="C119" s="46">
        <v>3.9149999618530301E-2</v>
      </c>
      <c r="D119" s="47">
        <f t="shared" si="1"/>
        <v>0.2030600070953367</v>
      </c>
      <c r="E119" s="16"/>
      <c r="F119" s="16"/>
    </row>
    <row r="120" spans="1:6" ht="15.95">
      <c r="A120" s="44" t="s">
        <v>238</v>
      </c>
      <c r="B120" s="46">
        <v>0.40983001708984401</v>
      </c>
      <c r="C120" s="46">
        <v>0.18621000289917</v>
      </c>
      <c r="D120" s="47">
        <f t="shared" si="1"/>
        <v>0.22362001419067401</v>
      </c>
      <c r="E120" s="16"/>
      <c r="F120" s="16"/>
    </row>
    <row r="121" spans="1:6" ht="15.95">
      <c r="A121" s="44" t="s">
        <v>252</v>
      </c>
      <c r="B121" s="46">
        <v>0.156780004501343</v>
      </c>
      <c r="C121" s="46">
        <v>3.7149999141693105E-2</v>
      </c>
      <c r="D121" s="47">
        <f t="shared" si="1"/>
        <v>0.11963000535964989</v>
      </c>
      <c r="E121" s="16"/>
      <c r="F121" s="16"/>
    </row>
    <row r="122" spans="1:6" ht="15.95">
      <c r="A122" s="44" t="s">
        <v>60</v>
      </c>
      <c r="B122" s="46">
        <v>0.10789999961853</v>
      </c>
      <c r="C122" s="46">
        <v>3.4900000095367402E-2</v>
      </c>
      <c r="D122" s="47">
        <f t="shared" si="1"/>
        <v>7.2999999523162606E-2</v>
      </c>
      <c r="E122" s="16"/>
      <c r="F122" s="16"/>
    </row>
    <row r="123" spans="1:6" ht="15.95">
      <c r="A123" s="44" t="s">
        <v>168</v>
      </c>
      <c r="B123" s="46">
        <v>0.27024000167846701</v>
      </c>
      <c r="C123" s="46">
        <v>0.18047000885009801</v>
      </c>
      <c r="D123" s="47">
        <f t="shared" si="1"/>
        <v>8.9769992828369005E-2</v>
      </c>
      <c r="E123" s="16"/>
      <c r="F123" s="16"/>
    </row>
    <row r="124" spans="1:6" ht="15.95">
      <c r="A124" s="44" t="s">
        <v>101</v>
      </c>
      <c r="B124" s="46">
        <v>0.61973999023437498</v>
      </c>
      <c r="C124" s="46">
        <v>0.37953998565673802</v>
      </c>
      <c r="D124" s="47">
        <f t="shared" si="1"/>
        <v>0.24020000457763696</v>
      </c>
      <c r="E124" s="16"/>
      <c r="F124" s="16"/>
    </row>
    <row r="125" spans="1:6" ht="15.95">
      <c r="A125" s="44" t="s">
        <v>320</v>
      </c>
      <c r="B125" s="46">
        <v>0.39158000946044902</v>
      </c>
      <c r="C125" s="46">
        <v>0.26688999176025402</v>
      </c>
      <c r="D125" s="47">
        <f t="shared" si="1"/>
        <v>0.124690017700195</v>
      </c>
      <c r="E125" s="16"/>
      <c r="F125" s="16"/>
    </row>
    <row r="126" spans="1:6" ht="15.95">
      <c r="A126" s="44" t="s">
        <v>118</v>
      </c>
      <c r="B126" s="46">
        <v>0.51507999420166006</v>
      </c>
      <c r="C126" s="46">
        <v>0.26707000732421898</v>
      </c>
      <c r="D126" s="47">
        <f t="shared" si="1"/>
        <v>0.24800998687744108</v>
      </c>
      <c r="E126" s="16"/>
      <c r="F126" s="16"/>
    </row>
    <row r="127" spans="1:6" ht="15.95">
      <c r="A127" s="44" t="s">
        <v>274</v>
      </c>
      <c r="B127" s="46">
        <v>0</v>
      </c>
      <c r="C127" s="46">
        <v>0</v>
      </c>
      <c r="D127" s="47">
        <f t="shared" si="1"/>
        <v>0</v>
      </c>
      <c r="E127" s="16"/>
      <c r="F127" s="16"/>
    </row>
    <row r="128" spans="1:6" ht="15.95">
      <c r="A128" s="44" t="s">
        <v>321</v>
      </c>
      <c r="B128" s="46">
        <v>0</v>
      </c>
      <c r="C128" s="46">
        <v>0</v>
      </c>
      <c r="D128" s="47">
        <f t="shared" si="1"/>
        <v>0</v>
      </c>
      <c r="E128" s="16"/>
      <c r="F128" s="16"/>
    </row>
    <row r="129" spans="1:6" ht="15.95">
      <c r="A129" s="16" t="s">
        <v>63</v>
      </c>
      <c r="B129" s="46">
        <v>0.29459999084472699</v>
      </c>
      <c r="C129" s="46">
        <v>4.88899993896484E-2</v>
      </c>
      <c r="D129" s="47">
        <f t="shared" si="1"/>
        <v>0.2457099914550786</v>
      </c>
      <c r="E129" s="16"/>
      <c r="F129" s="16"/>
    </row>
    <row r="130" spans="1:6" ht="15.95">
      <c r="A130" s="44" t="s">
        <v>130</v>
      </c>
      <c r="B130" s="46">
        <v>2.4769999980926501E-2</v>
      </c>
      <c r="C130" s="46">
        <v>3.5199999809265102E-2</v>
      </c>
      <c r="D130" s="47">
        <f t="shared" si="1"/>
        <v>0</v>
      </c>
      <c r="E130" s="16"/>
      <c r="F130" s="16"/>
    </row>
    <row r="131" spans="1:6" ht="15.95">
      <c r="A131" s="44" t="s">
        <v>322</v>
      </c>
      <c r="B131" s="46">
        <v>0.37231220165841022</v>
      </c>
      <c r="C131" s="46">
        <v>0.14589540082248356</v>
      </c>
      <c r="D131" s="47">
        <f t="shared" si="1"/>
        <v>0.22641680083592666</v>
      </c>
      <c r="E131" s="16"/>
      <c r="F131" s="16"/>
    </row>
    <row r="132" spans="1:6" ht="15.95">
      <c r="A132" s="44" t="s">
        <v>323</v>
      </c>
      <c r="B132" s="46">
        <v>0.83273002624511705</v>
      </c>
      <c r="C132" s="46">
        <v>0.61338001251220708</v>
      </c>
      <c r="D132" s="47">
        <f t="shared" si="1"/>
        <v>0.21935001373290997</v>
      </c>
      <c r="E132" s="16"/>
      <c r="F132" s="16"/>
    </row>
    <row r="133" spans="1:6" ht="15.95">
      <c r="A133" s="44" t="s">
        <v>324</v>
      </c>
      <c r="B133" s="46">
        <v>0.36909000396728503</v>
      </c>
      <c r="C133" s="46">
        <v>3.2439999580383301E-2</v>
      </c>
      <c r="D133" s="47">
        <f t="shared" si="1"/>
        <v>0.33665000438690174</v>
      </c>
      <c r="E133" s="16"/>
      <c r="F133" s="16"/>
    </row>
    <row r="134" spans="1:6" ht="15.95">
      <c r="A134" s="44" t="s">
        <v>141</v>
      </c>
      <c r="B134" s="46">
        <v>0.80347999572753903</v>
      </c>
      <c r="C134" s="46">
        <v>0.42953998565673801</v>
      </c>
      <c r="D134" s="47">
        <f t="shared" si="1"/>
        <v>0.37394001007080102</v>
      </c>
      <c r="E134" s="16"/>
      <c r="F134" s="16"/>
    </row>
    <row r="135" spans="1:6" ht="15.95">
      <c r="A135" s="44" t="s">
        <v>273</v>
      </c>
      <c r="B135" s="46">
        <v>0.41091999053955097</v>
      </c>
      <c r="C135" s="46">
        <v>0.124069995880127</v>
      </c>
      <c r="D135" s="47">
        <f t="shared" ref="D135:D198" si="2">IF(B135-C135&lt;0,0,B135-C135)</f>
        <v>0.28684999465942396</v>
      </c>
      <c r="E135" s="16"/>
      <c r="F135" s="16"/>
    </row>
    <row r="136" spans="1:6" ht="15.95">
      <c r="A136" s="44" t="s">
        <v>325</v>
      </c>
      <c r="B136" s="46">
        <v>0.34849998474121102</v>
      </c>
      <c r="C136" s="46">
        <v>0.15343000411987298</v>
      </c>
      <c r="D136" s="47">
        <f t="shared" si="2"/>
        <v>0.19506998062133804</v>
      </c>
      <c r="E136" s="16"/>
      <c r="F136" s="16"/>
    </row>
    <row r="137" spans="1:6" ht="15.95">
      <c r="A137" s="44" t="s">
        <v>326</v>
      </c>
      <c r="B137" s="46">
        <v>0.36816746972652692</v>
      </c>
      <c r="C137" s="46">
        <v>0.14323515095551617</v>
      </c>
      <c r="D137" s="47">
        <f t="shared" si="2"/>
        <v>0.22493231877101075</v>
      </c>
      <c r="E137" s="16"/>
      <c r="F137" s="16"/>
    </row>
    <row r="138" spans="1:6" ht="15.95">
      <c r="A138" s="44" t="s">
        <v>327</v>
      </c>
      <c r="B138" s="46">
        <v>0.72916731267567414</v>
      </c>
      <c r="C138" s="46">
        <v>0.60154340444409504</v>
      </c>
      <c r="D138" s="47">
        <f t="shared" si="2"/>
        <v>0.1276239082315791</v>
      </c>
      <c r="E138" s="16"/>
      <c r="F138" s="16"/>
    </row>
    <row r="139" spans="1:6" ht="15.95">
      <c r="A139" s="44" t="s">
        <v>328</v>
      </c>
      <c r="B139" s="46">
        <v>0.78462201913951868</v>
      </c>
      <c r="C139" s="46">
        <v>0.68903729755313492</v>
      </c>
      <c r="D139" s="47">
        <f t="shared" si="2"/>
        <v>9.5584721586383758E-2</v>
      </c>
      <c r="E139" s="16"/>
      <c r="F139" s="16"/>
    </row>
    <row r="140" spans="1:6" ht="15.95">
      <c r="A140" s="44" t="s">
        <v>134</v>
      </c>
      <c r="B140" s="46">
        <v>0</v>
      </c>
      <c r="C140" s="46">
        <v>0</v>
      </c>
      <c r="D140" s="47">
        <f t="shared" si="2"/>
        <v>0</v>
      </c>
      <c r="E140" s="16"/>
      <c r="F140" s="16"/>
    </row>
    <row r="141" spans="1:6" ht="15.95">
      <c r="A141" s="44" t="s">
        <v>155</v>
      </c>
      <c r="B141" s="46">
        <v>0.42845001220703094</v>
      </c>
      <c r="C141" s="46">
        <v>0.26674999237060498</v>
      </c>
      <c r="D141" s="47">
        <f t="shared" si="2"/>
        <v>0.16170001983642596</v>
      </c>
      <c r="E141" s="16"/>
      <c r="F141" s="16"/>
    </row>
    <row r="142" spans="1:6" ht="15.95">
      <c r="A142" s="44" t="s">
        <v>329</v>
      </c>
      <c r="B142" s="46">
        <v>0.65372913798049925</v>
      </c>
      <c r="C142" s="46">
        <v>0.38782764680143555</v>
      </c>
      <c r="D142" s="47">
        <f t="shared" si="2"/>
        <v>0.2659014911790637</v>
      </c>
      <c r="E142" s="16"/>
      <c r="F142" s="16"/>
    </row>
    <row r="143" spans="1:6" ht="15.95">
      <c r="A143" s="44" t="s">
        <v>330</v>
      </c>
      <c r="B143" s="46">
        <v>0.52354546233264987</v>
      </c>
      <c r="C143" s="46">
        <v>0.31397832711688306</v>
      </c>
      <c r="D143" s="47">
        <f t="shared" si="2"/>
        <v>0.20956713521576681</v>
      </c>
      <c r="E143" s="16"/>
      <c r="F143" s="16"/>
    </row>
    <row r="144" spans="1:6" ht="15.95">
      <c r="A144" s="44" t="s">
        <v>271</v>
      </c>
      <c r="B144" s="46">
        <v>0.59721000671386693</v>
      </c>
      <c r="C144" s="46">
        <v>0.10420999526977499</v>
      </c>
      <c r="D144" s="47">
        <f t="shared" si="2"/>
        <v>0.49300001144409195</v>
      </c>
      <c r="E144" s="16"/>
      <c r="F144" s="16"/>
    </row>
    <row r="145" spans="1:6" ht="15.95">
      <c r="A145" s="44" t="s">
        <v>331</v>
      </c>
      <c r="B145" s="46">
        <v>0.35879632830139729</v>
      </c>
      <c r="C145" s="46">
        <v>0.1848112266269484</v>
      </c>
      <c r="D145" s="47">
        <f t="shared" si="2"/>
        <v>0.17398510167444889</v>
      </c>
      <c r="E145" s="16"/>
      <c r="F145" s="16"/>
    </row>
    <row r="146" spans="1:6" ht="15.95">
      <c r="A146" s="44" t="s">
        <v>192</v>
      </c>
      <c r="B146" s="46">
        <v>0.12489000320434601</v>
      </c>
      <c r="C146" s="46">
        <v>7.83400011062622E-2</v>
      </c>
      <c r="D146" s="47">
        <f t="shared" si="2"/>
        <v>4.6550002098083812E-2</v>
      </c>
      <c r="E146" s="16"/>
      <c r="F146" s="16"/>
    </row>
    <row r="147" spans="1:6" ht="15.95">
      <c r="A147" s="44" t="s">
        <v>177</v>
      </c>
      <c r="B147" s="46">
        <v>0.10041999816894499</v>
      </c>
      <c r="C147" s="46">
        <v>1.01300001144409E-2</v>
      </c>
      <c r="D147" s="47">
        <f t="shared" si="2"/>
        <v>9.0289998054504092E-2</v>
      </c>
      <c r="E147" s="16"/>
      <c r="F147" s="16"/>
    </row>
    <row r="148" spans="1:6" ht="15.95">
      <c r="A148" s="44" t="s">
        <v>212</v>
      </c>
      <c r="B148" s="46">
        <v>0.13097999572753899</v>
      </c>
      <c r="C148" s="46">
        <v>7.5329999923706092E-2</v>
      </c>
      <c r="D148" s="47">
        <f t="shared" si="2"/>
        <v>5.5649995803832897E-2</v>
      </c>
      <c r="E148" s="16"/>
      <c r="F148" s="16"/>
    </row>
    <row r="149" spans="1:6" ht="15.95">
      <c r="A149" s="44" t="s">
        <v>332</v>
      </c>
      <c r="B149" s="46">
        <v>6.9219999313354499E-2</v>
      </c>
      <c r="C149" s="46">
        <v>5.3299999237060502E-3</v>
      </c>
      <c r="D149" s="47">
        <f t="shared" si="2"/>
        <v>6.3889999389648455E-2</v>
      </c>
      <c r="E149" s="16"/>
      <c r="F149" s="16"/>
    </row>
    <row r="150" spans="1:6" ht="15.95">
      <c r="A150" s="44" t="s">
        <v>333</v>
      </c>
      <c r="B150" s="46">
        <v>0</v>
      </c>
      <c r="C150" s="46">
        <v>0</v>
      </c>
      <c r="D150" s="47">
        <f t="shared" si="2"/>
        <v>0</v>
      </c>
      <c r="E150" s="16"/>
      <c r="F150" s="16"/>
    </row>
    <row r="151" spans="1:6" ht="15.95">
      <c r="A151" s="44" t="s">
        <v>114</v>
      </c>
      <c r="B151" s="46">
        <v>0.53727001190185497</v>
      </c>
      <c r="C151" s="46">
        <v>0.37472999572753901</v>
      </c>
      <c r="D151" s="47">
        <f t="shared" si="2"/>
        <v>0.16254001617431596</v>
      </c>
      <c r="E151" s="16"/>
      <c r="F151" s="16"/>
    </row>
    <row r="152" spans="1:6" ht="15.95">
      <c r="A152" s="44" t="s">
        <v>128</v>
      </c>
      <c r="B152" s="46">
        <v>0</v>
      </c>
      <c r="C152" s="46">
        <v>0</v>
      </c>
      <c r="D152" s="47">
        <f t="shared" si="2"/>
        <v>0</v>
      </c>
      <c r="E152" s="16"/>
      <c r="F152" s="16"/>
    </row>
    <row r="153" spans="1:6" ht="15.95">
      <c r="A153" s="44" t="s">
        <v>162</v>
      </c>
      <c r="B153" s="46">
        <v>0.29545999526977501</v>
      </c>
      <c r="C153" s="46">
        <v>0.33256000518798801</v>
      </c>
      <c r="D153" s="47">
        <f t="shared" si="2"/>
        <v>0</v>
      </c>
      <c r="E153" s="16"/>
      <c r="F153" s="16"/>
    </row>
    <row r="154" spans="1:6" ht="15.95">
      <c r="A154" s="44" t="s">
        <v>110</v>
      </c>
      <c r="B154" s="46">
        <v>0.894189987182617</v>
      </c>
      <c r="C154" s="46">
        <v>0.74408996582031306</v>
      </c>
      <c r="D154" s="47">
        <f t="shared" si="2"/>
        <v>0.15010002136230394</v>
      </c>
      <c r="E154" s="16"/>
      <c r="F154" s="16"/>
    </row>
    <row r="155" spans="1:6" ht="15.95">
      <c r="A155" s="44" t="s">
        <v>231</v>
      </c>
      <c r="B155" s="46">
        <v>0.25975999832153301</v>
      </c>
      <c r="C155" s="46">
        <v>7.482999801635741E-2</v>
      </c>
      <c r="D155" s="47">
        <f t="shared" si="2"/>
        <v>0.18493000030517559</v>
      </c>
      <c r="E155" s="16"/>
      <c r="F155" s="16"/>
    </row>
    <row r="156" spans="1:6" ht="15.95">
      <c r="A156" s="44" t="s">
        <v>334</v>
      </c>
      <c r="B156" s="46">
        <v>0.3146915694180194</v>
      </c>
      <c r="C156" s="46">
        <v>0.17861579399563823</v>
      </c>
      <c r="D156" s="47">
        <f t="shared" si="2"/>
        <v>0.13607577542238117</v>
      </c>
      <c r="E156" s="16"/>
      <c r="F156" s="16"/>
    </row>
    <row r="157" spans="1:6" ht="15.95">
      <c r="A157" s="44" t="s">
        <v>61</v>
      </c>
      <c r="B157" s="46">
        <v>0.317129993438721</v>
      </c>
      <c r="C157" s="46">
        <v>0.13112999916076698</v>
      </c>
      <c r="D157" s="47">
        <f t="shared" si="2"/>
        <v>0.18599999427795402</v>
      </c>
      <c r="E157" s="16"/>
      <c r="F157" s="16"/>
    </row>
    <row r="158" spans="1:6" ht="15.95">
      <c r="A158" s="44" t="s">
        <v>278</v>
      </c>
      <c r="B158" s="46">
        <v>0</v>
      </c>
      <c r="C158" s="46">
        <v>0</v>
      </c>
      <c r="D158" s="47">
        <f t="shared" si="2"/>
        <v>0</v>
      </c>
      <c r="E158" s="16"/>
      <c r="F158" s="16"/>
    </row>
    <row r="159" spans="1:6" ht="15.95">
      <c r="A159" s="44" t="s">
        <v>335</v>
      </c>
      <c r="B159" s="46">
        <v>0.49362202567752694</v>
      </c>
      <c r="C159" s="46">
        <v>0.27099073190324241</v>
      </c>
      <c r="D159" s="47">
        <f t="shared" si="2"/>
        <v>0.22263129377428453</v>
      </c>
      <c r="E159" s="16"/>
      <c r="F159" s="16"/>
    </row>
    <row r="160" spans="1:6" ht="15.95">
      <c r="A160" s="44" t="s">
        <v>336</v>
      </c>
      <c r="B160" s="46">
        <v>0.248999996185303</v>
      </c>
      <c r="C160" s="46">
        <v>0.16354999542236301</v>
      </c>
      <c r="D160" s="47">
        <f t="shared" si="2"/>
        <v>8.5450000762939987E-2</v>
      </c>
      <c r="E160" s="16"/>
      <c r="F160" s="16"/>
    </row>
    <row r="161" spans="1:6" ht="15.95">
      <c r="A161" s="44" t="s">
        <v>204</v>
      </c>
      <c r="B161" s="46">
        <v>0.88813003540039104</v>
      </c>
      <c r="C161" s="46">
        <v>0.576209983825684</v>
      </c>
      <c r="D161" s="47">
        <f t="shared" si="2"/>
        <v>0.31192005157470704</v>
      </c>
      <c r="E161" s="16"/>
      <c r="F161" s="16"/>
    </row>
    <row r="162" spans="1:6" ht="15.95">
      <c r="A162" s="44" t="s">
        <v>163</v>
      </c>
      <c r="B162" s="46">
        <v>0.13397000312805202</v>
      </c>
      <c r="C162" s="46">
        <v>1.2760000228881801E-2</v>
      </c>
      <c r="D162" s="47">
        <f t="shared" si="2"/>
        <v>0.12121000289917022</v>
      </c>
      <c r="E162" s="16"/>
      <c r="F162" s="16"/>
    </row>
    <row r="163" spans="1:6" ht="15.95">
      <c r="A163" s="44" t="s">
        <v>337</v>
      </c>
      <c r="B163" s="46">
        <v>0.61686000823974607</v>
      </c>
      <c r="C163" s="46">
        <v>0.49926998138427697</v>
      </c>
      <c r="D163" s="47">
        <f t="shared" si="2"/>
        <v>0.1175900268554691</v>
      </c>
      <c r="E163" s="16"/>
      <c r="F163" s="16"/>
    </row>
    <row r="164" spans="1:6" ht="15.95">
      <c r="A164" s="44" t="s">
        <v>338</v>
      </c>
      <c r="B164" s="46">
        <v>0.39014464324398207</v>
      </c>
      <c r="C164" s="46">
        <v>0.22033472656916178</v>
      </c>
      <c r="D164" s="47">
        <f t="shared" si="2"/>
        <v>0.16980991667482029</v>
      </c>
      <c r="E164" s="16"/>
      <c r="F164" s="16"/>
    </row>
    <row r="165" spans="1:6" ht="15.95">
      <c r="A165" s="44" t="s">
        <v>253</v>
      </c>
      <c r="B165" s="46">
        <v>0.208460006713867</v>
      </c>
      <c r="C165" s="46">
        <v>7.6360001564025892E-2</v>
      </c>
      <c r="D165" s="47">
        <f t="shared" si="2"/>
        <v>0.1321000051498411</v>
      </c>
      <c r="E165" s="16"/>
      <c r="F165" s="16"/>
    </row>
    <row r="166" spans="1:6" ht="15.95">
      <c r="A166" s="44" t="s">
        <v>198</v>
      </c>
      <c r="B166" s="46">
        <v>0.48436000823974601</v>
      </c>
      <c r="C166" s="46">
        <v>0.30422000885009803</v>
      </c>
      <c r="D166" s="47">
        <f t="shared" si="2"/>
        <v>0.18013999938964798</v>
      </c>
      <c r="E166" s="16"/>
      <c r="F166" s="16"/>
    </row>
    <row r="167" spans="1:6" ht="15.95">
      <c r="A167" s="44" t="s">
        <v>228</v>
      </c>
      <c r="B167" s="46">
        <v>0</v>
      </c>
      <c r="C167" s="46">
        <v>0</v>
      </c>
      <c r="D167" s="47">
        <f t="shared" si="2"/>
        <v>0</v>
      </c>
      <c r="E167" s="16"/>
      <c r="F167" s="16"/>
    </row>
    <row r="168" spans="1:6" ht="15.95">
      <c r="A168" s="44" t="s">
        <v>111</v>
      </c>
      <c r="B168" s="46">
        <v>0.886839981079102</v>
      </c>
      <c r="C168" s="46">
        <v>0.73299003601074209</v>
      </c>
      <c r="D168" s="47">
        <f t="shared" si="2"/>
        <v>0.15384994506835992</v>
      </c>
      <c r="E168" s="16"/>
      <c r="F168" s="16"/>
    </row>
    <row r="169" spans="1:6" ht="15.95">
      <c r="A169" s="44" t="s">
        <v>232</v>
      </c>
      <c r="B169" s="46">
        <v>0.480989990234375</v>
      </c>
      <c r="C169" s="46">
        <v>0.75873001098632797</v>
      </c>
      <c r="D169" s="47">
        <f t="shared" si="2"/>
        <v>0</v>
      </c>
      <c r="E169" s="16"/>
      <c r="F169" s="16"/>
    </row>
    <row r="170" spans="1:6" ht="15.95">
      <c r="A170" s="44" t="s">
        <v>191</v>
      </c>
      <c r="B170" s="46">
        <v>0.20596000671386702</v>
      </c>
      <c r="C170" s="46">
        <v>7.2750000953674301E-2</v>
      </c>
      <c r="D170" s="47">
        <f t="shared" si="2"/>
        <v>0.13321000576019271</v>
      </c>
      <c r="E170" s="16"/>
      <c r="F170" s="16"/>
    </row>
    <row r="171" spans="1:6" ht="15.95">
      <c r="A171" s="44" t="s">
        <v>258</v>
      </c>
      <c r="B171" s="46">
        <v>0.61251998901367199</v>
      </c>
      <c r="C171" s="46">
        <v>0.84693000793457007</v>
      </c>
      <c r="D171" s="47">
        <f t="shared" si="2"/>
        <v>0</v>
      </c>
      <c r="E171" s="16"/>
      <c r="F171" s="16"/>
    </row>
    <row r="172" spans="1:6" ht="15.95">
      <c r="A172" s="44" t="s">
        <v>107</v>
      </c>
      <c r="B172" s="46">
        <v>0.25622999191284201</v>
      </c>
      <c r="C172" s="46">
        <v>0.110139999389648</v>
      </c>
      <c r="D172" s="47">
        <f t="shared" si="2"/>
        <v>0.14608999252319402</v>
      </c>
      <c r="E172" s="16"/>
      <c r="F172" s="16"/>
    </row>
    <row r="173" spans="1:6" ht="15.95">
      <c r="A173" s="44" t="s">
        <v>339</v>
      </c>
      <c r="B173" s="46">
        <v>0.10568745146458651</v>
      </c>
      <c r="C173" s="46">
        <v>1.6941966226880222E-2</v>
      </c>
      <c r="D173" s="47">
        <f t="shared" si="2"/>
        <v>8.8745485237706284E-2</v>
      </c>
      <c r="E173" s="16"/>
      <c r="F173" s="16"/>
    </row>
    <row r="174" spans="1:6" ht="15.95">
      <c r="A174" s="44" t="s">
        <v>270</v>
      </c>
      <c r="B174" s="46">
        <v>0.29826000213623</v>
      </c>
      <c r="C174" s="46">
        <v>0.202399997711182</v>
      </c>
      <c r="D174" s="47">
        <f t="shared" si="2"/>
        <v>9.5860004425047995E-2</v>
      </c>
      <c r="E174" s="16"/>
      <c r="F174" s="16"/>
    </row>
    <row r="175" spans="1:6" ht="15.95">
      <c r="A175" s="44" t="s">
        <v>246</v>
      </c>
      <c r="B175" s="46">
        <v>0.24337999343872099</v>
      </c>
      <c r="C175" s="46">
        <v>3.4530000686645496E-2</v>
      </c>
      <c r="D175" s="47">
        <f t="shared" si="2"/>
        <v>0.2088499927520755</v>
      </c>
      <c r="E175" s="16"/>
      <c r="F175" s="16"/>
    </row>
    <row r="176" spans="1:6" ht="15.95">
      <c r="A176" s="44" t="s">
        <v>138</v>
      </c>
      <c r="B176" s="46">
        <v>0.89410003662109405</v>
      </c>
      <c r="C176" s="46">
        <v>0.75608001708984407</v>
      </c>
      <c r="D176" s="47">
        <f t="shared" si="2"/>
        <v>0.13802001953124998</v>
      </c>
      <c r="E176" s="16"/>
      <c r="F176" s="16"/>
    </row>
    <row r="177" spans="1:6" ht="15.95">
      <c r="A177" s="44" t="s">
        <v>85</v>
      </c>
      <c r="B177" s="46">
        <v>0.81521003723144503</v>
      </c>
      <c r="C177" s="46">
        <v>0.36548000335693404</v>
      </c>
      <c r="D177" s="47">
        <f t="shared" si="2"/>
        <v>0.44973003387451099</v>
      </c>
      <c r="E177" s="16"/>
      <c r="F177" s="16"/>
    </row>
    <row r="178" spans="1:6" ht="15.95">
      <c r="A178" s="44" t="s">
        <v>182</v>
      </c>
      <c r="B178" s="46">
        <v>0.45122001647949195</v>
      </c>
      <c r="C178" s="46">
        <v>0.29354000091552701</v>
      </c>
      <c r="D178" s="47">
        <f t="shared" si="2"/>
        <v>0.15768001556396494</v>
      </c>
      <c r="E178" s="16"/>
      <c r="F178" s="16"/>
    </row>
    <row r="179" spans="1:6" ht="15.95">
      <c r="A179" s="44" t="s">
        <v>170</v>
      </c>
      <c r="B179" s="46">
        <v>0.167819995880127</v>
      </c>
      <c r="C179" s="46">
        <v>2.21199989318848E-2</v>
      </c>
      <c r="D179" s="47">
        <f t="shared" si="2"/>
        <v>0.14569999694824221</v>
      </c>
      <c r="E179" s="16"/>
      <c r="F179" s="16"/>
    </row>
    <row r="180" spans="1:6" ht="15.95">
      <c r="A180" s="44" t="s">
        <v>156</v>
      </c>
      <c r="B180" s="46">
        <v>6.9660000801086405E-2</v>
      </c>
      <c r="C180" s="46">
        <v>2.0650000572204598E-2</v>
      </c>
      <c r="D180" s="47">
        <f t="shared" si="2"/>
        <v>4.9010000228881807E-2</v>
      </c>
      <c r="E180" s="16"/>
      <c r="F180" s="16"/>
    </row>
    <row r="181" spans="1:6" ht="15.95">
      <c r="A181" s="44" t="s">
        <v>106</v>
      </c>
      <c r="B181" s="46">
        <v>0.801279983520508</v>
      </c>
      <c r="C181" s="46">
        <v>0.71744003295898395</v>
      </c>
      <c r="D181" s="47">
        <f t="shared" si="2"/>
        <v>8.3839950561524046E-2</v>
      </c>
      <c r="E181" s="16"/>
      <c r="F181" s="16"/>
    </row>
    <row r="182" spans="1:6" ht="15.95">
      <c r="A182" s="44" t="s">
        <v>262</v>
      </c>
      <c r="B182" s="46">
        <v>0</v>
      </c>
      <c r="C182" s="46">
        <v>0</v>
      </c>
      <c r="D182" s="47">
        <f t="shared" si="2"/>
        <v>0</v>
      </c>
      <c r="E182" s="16"/>
      <c r="F182" s="16"/>
    </row>
    <row r="183" spans="1:6" ht="15.95">
      <c r="A183" s="44" t="s">
        <v>167</v>
      </c>
      <c r="B183" s="46">
        <v>0.17808000564575199</v>
      </c>
      <c r="C183" s="46">
        <v>6.6399998664856005E-2</v>
      </c>
      <c r="D183" s="47">
        <f t="shared" si="2"/>
        <v>0.11168000698089599</v>
      </c>
      <c r="E183" s="16"/>
      <c r="F183" s="16"/>
    </row>
    <row r="184" spans="1:6" ht="15.95">
      <c r="A184" s="44" t="s">
        <v>340</v>
      </c>
      <c r="B184" s="46">
        <v>0.16718353252813184</v>
      </c>
      <c r="C184" s="46">
        <v>4.7090185128826366E-2</v>
      </c>
      <c r="D184" s="47">
        <f t="shared" si="2"/>
        <v>0.12009334739930547</v>
      </c>
      <c r="E184" s="16"/>
      <c r="F184" s="16"/>
    </row>
    <row r="185" spans="1:6" ht="15.95">
      <c r="A185" s="44" t="s">
        <v>247</v>
      </c>
      <c r="B185" s="46">
        <v>0.11067999839782701</v>
      </c>
      <c r="C185" s="46">
        <v>6.5289998054504403E-2</v>
      </c>
      <c r="D185" s="47">
        <f t="shared" si="2"/>
        <v>4.5390000343322606E-2</v>
      </c>
      <c r="E185" s="16"/>
      <c r="F185" s="16"/>
    </row>
    <row r="186" spans="1:6" ht="15.95">
      <c r="A186" s="44" t="s">
        <v>341</v>
      </c>
      <c r="B186" s="46">
        <v>0.28376828295947676</v>
      </c>
      <c r="C186" s="46">
        <v>0.22965920812737273</v>
      </c>
      <c r="D186" s="47">
        <f t="shared" si="2"/>
        <v>5.4109074832104032E-2</v>
      </c>
      <c r="E186" s="16"/>
      <c r="F186" s="16"/>
    </row>
    <row r="187" spans="1:6" ht="15.95">
      <c r="A187" s="44" t="s">
        <v>84</v>
      </c>
      <c r="B187" s="46">
        <v>0.61111000061035203</v>
      </c>
      <c r="C187" s="46">
        <v>0.42020000457763701</v>
      </c>
      <c r="D187" s="47">
        <f t="shared" si="2"/>
        <v>0.19090999603271502</v>
      </c>
      <c r="E187" s="16"/>
      <c r="F187" s="16"/>
    </row>
    <row r="188" spans="1:6" ht="15.95">
      <c r="A188" s="44" t="s">
        <v>173</v>
      </c>
      <c r="B188" s="46">
        <v>0.35751998901367199</v>
      </c>
      <c r="C188" s="46">
        <v>0.15095000267028799</v>
      </c>
      <c r="D188" s="47">
        <f t="shared" si="2"/>
        <v>0.206569986343384</v>
      </c>
      <c r="E188" s="16"/>
      <c r="F188" s="16"/>
    </row>
    <row r="189" spans="1:6" ht="15.95">
      <c r="A189" s="44" t="s">
        <v>105</v>
      </c>
      <c r="B189" s="46">
        <v>0.54625000000000001</v>
      </c>
      <c r="C189" s="46">
        <v>0.28420999526977497</v>
      </c>
      <c r="D189" s="47">
        <f t="shared" si="2"/>
        <v>0.26204000473022504</v>
      </c>
      <c r="E189" s="16"/>
      <c r="F189" s="16"/>
    </row>
    <row r="190" spans="1:6" ht="15.95">
      <c r="A190" s="44" t="s">
        <v>89</v>
      </c>
      <c r="B190" s="46">
        <v>0.38724998474121103</v>
      </c>
      <c r="C190" s="46">
        <v>0.259610004425049</v>
      </c>
      <c r="D190" s="47">
        <f t="shared" si="2"/>
        <v>0.12763998031616203</v>
      </c>
      <c r="E190" s="16"/>
      <c r="F190" s="16"/>
    </row>
    <row r="191" spans="1:6" ht="15.95">
      <c r="A191" s="44" t="s">
        <v>126</v>
      </c>
      <c r="B191" s="46">
        <v>0</v>
      </c>
      <c r="C191" s="46">
        <v>0</v>
      </c>
      <c r="D191" s="47">
        <f t="shared" si="2"/>
        <v>0</v>
      </c>
      <c r="E191" s="16"/>
      <c r="F191" s="16"/>
    </row>
    <row r="192" spans="1:6" ht="15.95">
      <c r="A192" s="44" t="s">
        <v>136</v>
      </c>
      <c r="B192" s="46">
        <v>0.76318000793457008</v>
      </c>
      <c r="C192" s="46">
        <v>0.20600999832153299</v>
      </c>
      <c r="D192" s="47">
        <f t="shared" si="2"/>
        <v>0.55717000961303709</v>
      </c>
      <c r="E192" s="16"/>
      <c r="F192" s="16"/>
    </row>
    <row r="193" spans="1:6" ht="15.95">
      <c r="A193" s="44" t="s">
        <v>104</v>
      </c>
      <c r="B193" s="46">
        <v>0.20954000473022499</v>
      </c>
      <c r="C193" s="46">
        <v>0.105590000152588</v>
      </c>
      <c r="D193" s="47">
        <f t="shared" si="2"/>
        <v>0.10395000457763699</v>
      </c>
      <c r="E193" s="16"/>
      <c r="F193" s="16"/>
    </row>
    <row r="194" spans="1:6" ht="15.95">
      <c r="A194" s="44" t="s">
        <v>342</v>
      </c>
      <c r="B194" s="46">
        <v>0.74140815532945892</v>
      </c>
      <c r="C194" s="46">
        <v>0.57899054020814067</v>
      </c>
      <c r="D194" s="47">
        <f t="shared" si="2"/>
        <v>0.16241761512131825</v>
      </c>
      <c r="E194" s="16"/>
      <c r="F194" s="16"/>
    </row>
    <row r="195" spans="1:6" ht="15.95">
      <c r="A195" s="44" t="s">
        <v>230</v>
      </c>
      <c r="B195" s="46">
        <v>0.29127000808715797</v>
      </c>
      <c r="C195" s="46">
        <v>3.0940001010894801E-2</v>
      </c>
      <c r="D195" s="47">
        <f t="shared" si="2"/>
        <v>0.26033000707626319</v>
      </c>
      <c r="E195" s="16"/>
      <c r="F195" s="16"/>
    </row>
    <row r="196" spans="1:6" ht="15.95">
      <c r="A196" s="44" t="s">
        <v>343</v>
      </c>
      <c r="B196" s="46">
        <v>0.67013999938964797</v>
      </c>
      <c r="C196" s="46">
        <v>0.67117996215820297</v>
      </c>
      <c r="D196" s="47">
        <f t="shared" si="2"/>
        <v>0</v>
      </c>
      <c r="E196" s="16"/>
      <c r="F196" s="16"/>
    </row>
    <row r="197" spans="1:6" ht="15.95">
      <c r="A197" s="44" t="s">
        <v>219</v>
      </c>
      <c r="B197" s="46">
        <v>0.17812000274658199</v>
      </c>
      <c r="C197" s="46">
        <v>6.8410000801086404E-2</v>
      </c>
      <c r="D197" s="47">
        <f t="shared" si="2"/>
        <v>0.10971000194549559</v>
      </c>
      <c r="E197" s="16"/>
      <c r="F197" s="16"/>
    </row>
    <row r="198" spans="1:6" ht="15.95">
      <c r="A198" s="44" t="s">
        <v>183</v>
      </c>
      <c r="B198" s="46">
        <v>0.44187000274658206</v>
      </c>
      <c r="C198" s="46">
        <v>0.21197999954223601</v>
      </c>
      <c r="D198" s="47">
        <f t="shared" si="2"/>
        <v>0.22989000320434605</v>
      </c>
      <c r="E198" s="16"/>
      <c r="F198" s="16"/>
    </row>
    <row r="199" spans="1:6" ht="15.95">
      <c r="A199" s="44" t="s">
        <v>344</v>
      </c>
      <c r="B199" s="46">
        <v>0.43263999938964803</v>
      </c>
      <c r="C199" s="46">
        <v>9.5950002670288109E-2</v>
      </c>
      <c r="D199" s="47">
        <f t="shared" ref="D199:D262" si="3">IF(B199-C199&lt;0,0,B199-C199)</f>
        <v>0.33668999671935995</v>
      </c>
      <c r="E199" s="16"/>
      <c r="F199" s="16"/>
    </row>
    <row r="200" spans="1:6" ht="15.95">
      <c r="A200" s="44" t="s">
        <v>345</v>
      </c>
      <c r="B200" s="46">
        <v>0.53328112843773645</v>
      </c>
      <c r="C200" s="46">
        <v>0.51028975864321446</v>
      </c>
      <c r="D200" s="47">
        <f t="shared" si="3"/>
        <v>2.2991369794521987E-2</v>
      </c>
      <c r="E200" s="16"/>
      <c r="F200" s="16"/>
    </row>
    <row r="201" spans="1:6" ht="15.95">
      <c r="A201" s="44" t="s">
        <v>346</v>
      </c>
      <c r="B201" s="46">
        <v>0.13901703937670229</v>
      </c>
      <c r="C201" s="46">
        <v>3.3203598537359075E-2</v>
      </c>
      <c r="D201" s="47">
        <f t="shared" si="3"/>
        <v>0.10581344083934321</v>
      </c>
      <c r="E201" s="16"/>
      <c r="F201" s="16"/>
    </row>
    <row r="202" spans="1:6" ht="15.95">
      <c r="A202" s="44" t="s">
        <v>260</v>
      </c>
      <c r="B202" s="46">
        <v>0.27878999710083002</v>
      </c>
      <c r="C202" s="46">
        <v>8.6180000305175794E-2</v>
      </c>
      <c r="D202" s="47">
        <f t="shared" si="3"/>
        <v>0.19260999679565421</v>
      </c>
      <c r="E202" s="16"/>
      <c r="F202" s="16"/>
    </row>
    <row r="203" spans="1:6" ht="15.95">
      <c r="A203" s="44" t="s">
        <v>119</v>
      </c>
      <c r="B203" s="46">
        <v>4.3799999356269794E-3</v>
      </c>
      <c r="C203" s="46">
        <v>1.2599999904632599E-2</v>
      </c>
      <c r="D203" s="47">
        <f t="shared" si="3"/>
        <v>0</v>
      </c>
      <c r="E203" s="16"/>
      <c r="F203" s="16"/>
    </row>
    <row r="204" spans="1:6" ht="15.95">
      <c r="A204" s="44" t="s">
        <v>171</v>
      </c>
      <c r="B204" s="46">
        <v>0.26822999954223603</v>
      </c>
      <c r="C204" s="46">
        <v>0.22910999298095699</v>
      </c>
      <c r="D204" s="47">
        <f t="shared" si="3"/>
        <v>3.9120006561279036E-2</v>
      </c>
      <c r="E204" s="16"/>
      <c r="F204" s="16"/>
    </row>
    <row r="205" spans="1:6" ht="15.95">
      <c r="A205" s="44" t="s">
        <v>59</v>
      </c>
      <c r="B205" s="46">
        <v>7.6310000419616705E-2</v>
      </c>
      <c r="C205" s="46">
        <v>6.6999998092651405E-2</v>
      </c>
      <c r="D205" s="47">
        <f t="shared" si="3"/>
        <v>9.3100023269652998E-3</v>
      </c>
      <c r="E205" s="16"/>
      <c r="F205" s="16"/>
    </row>
    <row r="206" spans="1:6" ht="15.95">
      <c r="A206" s="44" t="s">
        <v>140</v>
      </c>
      <c r="B206" s="46">
        <v>0.80502998352050792</v>
      </c>
      <c r="C206" s="46">
        <v>0.66463996887207</v>
      </c>
      <c r="D206" s="47">
        <f t="shared" si="3"/>
        <v>0.14039001464843792</v>
      </c>
      <c r="E206" s="16"/>
      <c r="F206" s="16"/>
    </row>
    <row r="207" spans="1:6" ht="15.95">
      <c r="A207" s="44" t="s">
        <v>347</v>
      </c>
      <c r="B207" s="46">
        <v>0.74826135786388537</v>
      </c>
      <c r="C207" s="46">
        <v>0.43122642653205495</v>
      </c>
      <c r="D207" s="47">
        <f t="shared" si="3"/>
        <v>0.31703493133183042</v>
      </c>
      <c r="E207" s="16"/>
      <c r="F207" s="16"/>
    </row>
    <row r="208" spans="1:6" ht="15.95">
      <c r="A208" s="44" t="s">
        <v>69</v>
      </c>
      <c r="B208" s="46">
        <v>4.8569998741149902E-2</v>
      </c>
      <c r="C208" s="46">
        <v>6.2579998970031706E-2</v>
      </c>
      <c r="D208" s="47">
        <f t="shared" si="3"/>
        <v>0</v>
      </c>
      <c r="E208" s="16"/>
      <c r="F208" s="16"/>
    </row>
    <row r="209" spans="1:6" ht="15.95">
      <c r="A209" s="44" t="s">
        <v>115</v>
      </c>
      <c r="B209" s="46">
        <v>0.449949989318848</v>
      </c>
      <c r="C209" s="46">
        <v>0.53328998565673802</v>
      </c>
      <c r="D209" s="47">
        <f t="shared" si="3"/>
        <v>0</v>
      </c>
      <c r="E209" s="16"/>
      <c r="F209" s="16"/>
    </row>
    <row r="210" spans="1:6" ht="15.95">
      <c r="A210" s="44" t="s">
        <v>280</v>
      </c>
      <c r="B210" s="46">
        <v>0.46734001159667998</v>
      </c>
      <c r="C210" s="46">
        <v>0.53429000854492203</v>
      </c>
      <c r="D210" s="47">
        <f t="shared" si="3"/>
        <v>0</v>
      </c>
      <c r="E210" s="16"/>
      <c r="F210" s="16"/>
    </row>
    <row r="211" spans="1:6" ht="15.95">
      <c r="A211" s="44" t="s">
        <v>132</v>
      </c>
      <c r="B211" s="46">
        <v>0.140729999542236</v>
      </c>
      <c r="C211" s="46">
        <v>1.1900000274181401E-3</v>
      </c>
      <c r="D211" s="47">
        <f t="shared" si="3"/>
        <v>0.13953999951481785</v>
      </c>
      <c r="E211" s="16"/>
      <c r="F211" s="16"/>
    </row>
    <row r="212" spans="1:6" ht="15.95">
      <c r="A212" s="44" t="s">
        <v>348</v>
      </c>
      <c r="B212" s="46">
        <v>0.63904998779296907</v>
      </c>
      <c r="C212" s="46">
        <v>0.69638999938964796</v>
      </c>
      <c r="D212" s="47">
        <f t="shared" si="3"/>
        <v>0</v>
      </c>
      <c r="E212" s="16"/>
      <c r="F212" s="16"/>
    </row>
    <row r="213" spans="1:6" ht="15.95">
      <c r="A213" s="44" t="s">
        <v>216</v>
      </c>
      <c r="B213" s="46">
        <v>0.90003997802734403</v>
      </c>
      <c r="C213" s="46">
        <v>0.60567001342773397</v>
      </c>
      <c r="D213" s="47">
        <f t="shared" si="3"/>
        <v>0.29436996459961007</v>
      </c>
      <c r="E213" s="16"/>
      <c r="F213" s="16"/>
    </row>
    <row r="214" spans="1:6" ht="15.95">
      <c r="A214" s="44" t="s">
        <v>194</v>
      </c>
      <c r="B214" s="46">
        <v>0.39777999877929704</v>
      </c>
      <c r="C214" s="46">
        <v>0.18829999923706101</v>
      </c>
      <c r="D214" s="47">
        <f t="shared" si="3"/>
        <v>0.20947999954223603</v>
      </c>
      <c r="E214" s="16"/>
      <c r="F214" s="16"/>
    </row>
    <row r="215" spans="1:6" ht="15.95">
      <c r="A215" s="44" t="s">
        <v>200</v>
      </c>
      <c r="B215" s="46">
        <v>0</v>
      </c>
      <c r="C215" s="46">
        <v>0</v>
      </c>
      <c r="D215" s="47">
        <f t="shared" si="3"/>
        <v>0</v>
      </c>
      <c r="E215" s="16"/>
      <c r="F215" s="16"/>
    </row>
    <row r="216" spans="1:6" ht="15.95">
      <c r="A216" s="44" t="s">
        <v>349</v>
      </c>
      <c r="B216" s="46">
        <v>0.73772003173828093</v>
      </c>
      <c r="C216" s="46">
        <v>0.86206001281738298</v>
      </c>
      <c r="D216" s="47">
        <f t="shared" si="3"/>
        <v>0</v>
      </c>
      <c r="E216" s="16"/>
      <c r="F216" s="16"/>
    </row>
    <row r="217" spans="1:6" ht="15.95">
      <c r="A217" s="44" t="s">
        <v>249</v>
      </c>
      <c r="B217" s="46">
        <v>0.31502000808715797</v>
      </c>
      <c r="C217" s="46">
        <v>0.19017999649047901</v>
      </c>
      <c r="D217" s="47">
        <f t="shared" si="3"/>
        <v>0.12484001159667896</v>
      </c>
      <c r="E217" s="16"/>
      <c r="F217" s="16"/>
    </row>
    <row r="218" spans="1:6" ht="15.95">
      <c r="A218" s="44" t="s">
        <v>350</v>
      </c>
      <c r="B218" s="46">
        <v>0.74070058565537844</v>
      </c>
      <c r="C218" s="46">
        <v>0.57371884409834595</v>
      </c>
      <c r="D218" s="47">
        <f t="shared" si="3"/>
        <v>0.16698174155703249</v>
      </c>
      <c r="E218" s="16"/>
      <c r="F218" s="16"/>
    </row>
    <row r="219" spans="1:6" ht="15.95">
      <c r="A219" s="44" t="s">
        <v>351</v>
      </c>
      <c r="B219" s="46">
        <v>0.58147998809814505</v>
      </c>
      <c r="C219" s="46">
        <v>0.64915000915527299</v>
      </c>
      <c r="D219" s="47">
        <f t="shared" si="3"/>
        <v>0</v>
      </c>
      <c r="E219" s="16"/>
      <c r="F219" s="16"/>
    </row>
    <row r="220" spans="1:6" ht="15.95">
      <c r="A220" s="44" t="s">
        <v>352</v>
      </c>
      <c r="B220" s="46">
        <v>0.74070058565537844</v>
      </c>
      <c r="C220" s="46">
        <v>0.57371884409834595</v>
      </c>
      <c r="D220" s="47">
        <f t="shared" si="3"/>
        <v>0.16698174155703249</v>
      </c>
      <c r="E220" s="16"/>
      <c r="F220" s="16"/>
    </row>
    <row r="221" spans="1:6" ht="15.95">
      <c r="A221" s="44" t="s">
        <v>353</v>
      </c>
      <c r="B221" s="46">
        <v>0.3016137052124987</v>
      </c>
      <c r="C221" s="46">
        <v>0.22248798569046827</v>
      </c>
      <c r="D221" s="47">
        <f t="shared" si="3"/>
        <v>7.912571952203043E-2</v>
      </c>
      <c r="E221" s="16"/>
      <c r="F221" s="16"/>
    </row>
    <row r="222" spans="1:6" ht="15.95">
      <c r="A222" s="44" t="s">
        <v>237</v>
      </c>
      <c r="B222" s="46">
        <v>0.35492000579833999</v>
      </c>
      <c r="C222" s="46">
        <v>0.17107999801635698</v>
      </c>
      <c r="D222" s="47">
        <f t="shared" si="3"/>
        <v>0.18384000778198301</v>
      </c>
      <c r="E222" s="16"/>
      <c r="F222" s="16"/>
    </row>
    <row r="223" spans="1:6" ht="15.95">
      <c r="A223" s="44" t="s">
        <v>215</v>
      </c>
      <c r="B223" s="46">
        <v>0.15203000068664602</v>
      </c>
      <c r="C223" s="46">
        <v>2.65899991989136E-2</v>
      </c>
      <c r="D223" s="47">
        <f t="shared" si="3"/>
        <v>0.12544000148773241</v>
      </c>
      <c r="E223" s="16"/>
      <c r="F223" s="16"/>
    </row>
    <row r="224" spans="1:6" ht="15.95">
      <c r="A224" s="44" t="s">
        <v>354</v>
      </c>
      <c r="B224" s="46">
        <v>0.15420000076293899</v>
      </c>
      <c r="C224" s="46">
        <v>2.90700006484985E-2</v>
      </c>
      <c r="D224" s="47">
        <f t="shared" si="3"/>
        <v>0.1251300001144405</v>
      </c>
      <c r="E224" s="16"/>
      <c r="F224" s="16"/>
    </row>
    <row r="225" spans="1:6" ht="15.95">
      <c r="A225" s="44" t="s">
        <v>187</v>
      </c>
      <c r="B225" s="46">
        <v>0.14324999809265099</v>
      </c>
      <c r="C225" s="46">
        <v>4.9310002326965294E-2</v>
      </c>
      <c r="D225" s="47">
        <f t="shared" si="3"/>
        <v>9.3939995765685694E-2</v>
      </c>
      <c r="E225" s="16"/>
      <c r="F225" s="16"/>
    </row>
    <row r="226" spans="1:6" ht="15.95">
      <c r="A226" s="44" t="s">
        <v>186</v>
      </c>
      <c r="B226" s="46">
        <v>9.9739999771118193E-2</v>
      </c>
      <c r="C226" s="46">
        <v>1.8660000562667801E-2</v>
      </c>
      <c r="D226" s="47">
        <f t="shared" si="3"/>
        <v>8.1079999208450396E-2</v>
      </c>
      <c r="E226" s="16"/>
      <c r="F226" s="16"/>
    </row>
    <row r="227" spans="1:6" ht="15.95">
      <c r="A227" s="44" t="s">
        <v>268</v>
      </c>
      <c r="B227" s="46">
        <v>0.20620000839233399</v>
      </c>
      <c r="C227" s="46">
        <v>0.69135002136230495</v>
      </c>
      <c r="D227" s="47">
        <f t="shared" si="3"/>
        <v>0</v>
      </c>
      <c r="E227" s="16"/>
      <c r="F227" s="16"/>
    </row>
    <row r="228" spans="1:6" ht="15.95">
      <c r="A228" s="44" t="s">
        <v>355</v>
      </c>
      <c r="B228" s="46">
        <v>0</v>
      </c>
      <c r="C228" s="46">
        <v>0</v>
      </c>
      <c r="D228" s="47">
        <f t="shared" si="3"/>
        <v>0</v>
      </c>
      <c r="E228" s="16"/>
      <c r="F228" s="16"/>
    </row>
    <row r="229" spans="1:6" ht="15.95">
      <c r="A229" s="44" t="s">
        <v>146</v>
      </c>
      <c r="B229" s="46">
        <v>0</v>
      </c>
      <c r="C229" s="46">
        <v>0</v>
      </c>
      <c r="D229" s="47">
        <f t="shared" si="3"/>
        <v>0</v>
      </c>
      <c r="E229" s="16"/>
      <c r="F229" s="16"/>
    </row>
    <row r="230" spans="1:6" ht="15.95">
      <c r="A230" s="44" t="s">
        <v>356</v>
      </c>
      <c r="B230" s="46">
        <v>0.40958000183105497</v>
      </c>
      <c r="C230" s="46">
        <v>0.22858999252319301</v>
      </c>
      <c r="D230" s="47">
        <f t="shared" si="3"/>
        <v>0.18099000930786197</v>
      </c>
      <c r="E230" s="16"/>
      <c r="F230" s="16"/>
    </row>
    <row r="231" spans="1:6" ht="15.95">
      <c r="A231" s="44" t="s">
        <v>222</v>
      </c>
      <c r="B231" s="46">
        <v>0</v>
      </c>
      <c r="C231" s="46">
        <v>0</v>
      </c>
      <c r="D231" s="47">
        <f t="shared" si="3"/>
        <v>0</v>
      </c>
      <c r="E231" s="16"/>
      <c r="F231" s="16"/>
    </row>
    <row r="232" spans="1:6" ht="15.95">
      <c r="A232" s="44" t="s">
        <v>357</v>
      </c>
      <c r="B232" s="46">
        <v>0.91846000671386707</v>
      </c>
      <c r="C232" s="46">
        <v>0.87190002441406311</v>
      </c>
      <c r="D232" s="47">
        <f t="shared" si="3"/>
        <v>4.6559982299803959E-2</v>
      </c>
      <c r="E232" s="16"/>
      <c r="F232" s="16"/>
    </row>
    <row r="233" spans="1:6" ht="15.95">
      <c r="A233" s="44" t="s">
        <v>358</v>
      </c>
      <c r="B233" s="46">
        <v>0.40811368249131208</v>
      </c>
      <c r="C233" s="46">
        <v>0.22150540306653441</v>
      </c>
      <c r="D233" s="47">
        <f t="shared" si="3"/>
        <v>0.18660827942477767</v>
      </c>
      <c r="E233" s="16"/>
      <c r="F233" s="16"/>
    </row>
    <row r="234" spans="1:6" ht="15.95">
      <c r="A234" s="44" t="s">
        <v>359</v>
      </c>
      <c r="B234" s="46">
        <v>0.20607168269163417</v>
      </c>
      <c r="C234" s="46">
        <v>0.14696174245406712</v>
      </c>
      <c r="D234" s="47">
        <f t="shared" si="3"/>
        <v>5.9109940237567049E-2</v>
      </c>
      <c r="E234" s="16"/>
      <c r="F234" s="16"/>
    </row>
    <row r="235" spans="1:6" ht="15.95">
      <c r="A235" s="44" t="s">
        <v>188</v>
      </c>
      <c r="B235" s="46">
        <v>0.81348999023437496</v>
      </c>
      <c r="C235" s="46">
        <v>0.378240013122559</v>
      </c>
      <c r="D235" s="47">
        <f t="shared" si="3"/>
        <v>0.43524997711181596</v>
      </c>
      <c r="E235" s="16"/>
      <c r="F235" s="16"/>
    </row>
    <row r="236" spans="1:6" ht="15.95">
      <c r="A236" s="44" t="s">
        <v>90</v>
      </c>
      <c r="B236" s="46">
        <v>0.52935001373291002</v>
      </c>
      <c r="C236" s="46">
        <v>0.327980003356934</v>
      </c>
      <c r="D236" s="47">
        <f t="shared" si="3"/>
        <v>0.20137001037597602</v>
      </c>
      <c r="E236" s="16"/>
      <c r="F236" s="16"/>
    </row>
    <row r="237" spans="1:6" ht="15.95">
      <c r="A237" s="44" t="s">
        <v>135</v>
      </c>
      <c r="B237" s="46">
        <v>0.48029998779296901</v>
      </c>
      <c r="C237" s="46">
        <v>0.51624000549316396</v>
      </c>
      <c r="D237" s="47">
        <f t="shared" si="3"/>
        <v>0</v>
      </c>
      <c r="E237" s="16"/>
      <c r="F237" s="16"/>
    </row>
    <row r="238" spans="1:6" ht="15.95">
      <c r="A238" s="44" t="s">
        <v>225</v>
      </c>
      <c r="B238" s="46">
        <v>0.26281000137329102</v>
      </c>
      <c r="C238" s="46">
        <v>8.2410001754760709E-2</v>
      </c>
      <c r="D238" s="47">
        <f t="shared" si="3"/>
        <v>0.18039999961853032</v>
      </c>
      <c r="E238" s="16"/>
      <c r="F238" s="16"/>
    </row>
    <row r="239" spans="1:6" ht="15.95">
      <c r="A239" s="44" t="s">
        <v>360</v>
      </c>
      <c r="B239" s="46">
        <v>0.36909838966076514</v>
      </c>
      <c r="C239" s="46">
        <v>0.14301908380106304</v>
      </c>
      <c r="D239" s="47">
        <f t="shared" si="3"/>
        <v>0.2260793058597021</v>
      </c>
      <c r="E239" s="16"/>
      <c r="F239" s="16"/>
    </row>
    <row r="240" spans="1:6" ht="15.95">
      <c r="A240" s="44" t="s">
        <v>164</v>
      </c>
      <c r="B240" s="46">
        <v>0.51570999145507801</v>
      </c>
      <c r="C240" s="46">
        <v>0.24997999191284201</v>
      </c>
      <c r="D240" s="47">
        <f t="shared" si="3"/>
        <v>0.26572999954223597</v>
      </c>
      <c r="E240" s="16"/>
      <c r="F240" s="16"/>
    </row>
    <row r="241" spans="1:6" ht="15.95">
      <c r="A241" s="44" t="s">
        <v>361</v>
      </c>
      <c r="B241" s="46">
        <v>0.38975849135214202</v>
      </c>
      <c r="C241" s="46">
        <v>0.22146500057568855</v>
      </c>
      <c r="D241" s="47">
        <f t="shared" si="3"/>
        <v>0.16829349077645347</v>
      </c>
      <c r="E241" s="16"/>
      <c r="F241" s="16"/>
    </row>
    <row r="242" spans="1:6" ht="15.95">
      <c r="A242" s="44" t="s">
        <v>123</v>
      </c>
      <c r="B242" s="46">
        <v>0.55558998107910196</v>
      </c>
      <c r="C242" s="46">
        <v>0.316919994354248</v>
      </c>
      <c r="D242" s="47">
        <f t="shared" si="3"/>
        <v>0.23866998672485396</v>
      </c>
      <c r="E242" s="16"/>
      <c r="F242" s="16"/>
    </row>
    <row r="243" spans="1:6" ht="15.95">
      <c r="A243" s="44" t="s">
        <v>362</v>
      </c>
      <c r="B243" s="46">
        <v>0.74826135786388515</v>
      </c>
      <c r="C243" s="46">
        <v>0.43122642653205495</v>
      </c>
      <c r="D243" s="47">
        <f t="shared" si="3"/>
        <v>0.31703493133183019</v>
      </c>
      <c r="E243" s="16"/>
      <c r="F243" s="16"/>
    </row>
    <row r="244" spans="1:6" ht="15.95">
      <c r="A244" s="44" t="s">
        <v>363</v>
      </c>
      <c r="B244" s="46">
        <v>0.74070058565537866</v>
      </c>
      <c r="C244" s="46">
        <v>0.57371884409834595</v>
      </c>
      <c r="D244" s="47">
        <f t="shared" si="3"/>
        <v>0.16698174155703271</v>
      </c>
      <c r="E244" s="16"/>
      <c r="F244" s="16"/>
    </row>
    <row r="245" spans="1:6" ht="15.95">
      <c r="A245" s="44" t="s">
        <v>159</v>
      </c>
      <c r="B245" s="46">
        <v>0.223990001678467</v>
      </c>
      <c r="C245" s="46">
        <v>3.7070000171661399E-2</v>
      </c>
      <c r="D245" s="47">
        <f t="shared" si="3"/>
        <v>0.1869200015068056</v>
      </c>
      <c r="E245" s="16"/>
      <c r="F245" s="16"/>
    </row>
    <row r="246" spans="1:6" ht="15.95">
      <c r="A246" s="44" t="s">
        <v>240</v>
      </c>
      <c r="B246" s="46">
        <v>0.27569999694824199</v>
      </c>
      <c r="C246" s="46">
        <v>0.13666000366210901</v>
      </c>
      <c r="D246" s="47">
        <f t="shared" si="3"/>
        <v>0.13903999328613298</v>
      </c>
      <c r="E246" s="16"/>
      <c r="F246" s="16"/>
    </row>
    <row r="247" spans="1:6" ht="15.95">
      <c r="A247" s="44" t="s">
        <v>62</v>
      </c>
      <c r="B247" s="46">
        <v>0.33083000183105499</v>
      </c>
      <c r="C247" s="46">
        <v>0.19392999649047901</v>
      </c>
      <c r="D247" s="47">
        <f t="shared" si="3"/>
        <v>0.13690000534057598</v>
      </c>
      <c r="E247" s="16"/>
      <c r="F247" s="16"/>
    </row>
    <row r="248" spans="1:6" ht="15.95">
      <c r="A248" s="44" t="s">
        <v>364</v>
      </c>
      <c r="B248" s="46">
        <v>0</v>
      </c>
      <c r="C248" s="46">
        <v>0</v>
      </c>
      <c r="D248" s="47">
        <f t="shared" si="3"/>
        <v>0</v>
      </c>
      <c r="E248" s="16"/>
      <c r="F248" s="16"/>
    </row>
    <row r="249" spans="1:6" ht="15.95">
      <c r="A249" s="44" t="s">
        <v>97</v>
      </c>
      <c r="B249" s="46">
        <v>0.863160018920898</v>
      </c>
      <c r="C249" s="46">
        <v>0.66710998535156307</v>
      </c>
      <c r="D249" s="47">
        <f t="shared" si="3"/>
        <v>0.19605003356933492</v>
      </c>
      <c r="E249" s="16"/>
      <c r="F249" s="16"/>
    </row>
    <row r="250" spans="1:6" ht="15.95">
      <c r="A250" s="44" t="s">
        <v>100</v>
      </c>
      <c r="B250" s="46">
        <v>0.77797996520996093</v>
      </c>
      <c r="C250" s="46">
        <v>0.68959999084472701</v>
      </c>
      <c r="D250" s="47">
        <f t="shared" si="3"/>
        <v>8.8379974365233926E-2</v>
      </c>
      <c r="E250" s="16"/>
      <c r="F250" s="16"/>
    </row>
    <row r="251" spans="1:6" ht="15.95">
      <c r="A251" s="44" t="s">
        <v>103</v>
      </c>
      <c r="B251" s="46">
        <v>0.172150001525879</v>
      </c>
      <c r="C251" s="46">
        <v>0.14902999877929701</v>
      </c>
      <c r="D251" s="47">
        <f t="shared" si="3"/>
        <v>2.3120002746581991E-2</v>
      </c>
      <c r="E251" s="16"/>
      <c r="F251" s="16"/>
    </row>
    <row r="252" spans="1:6" ht="15.95">
      <c r="A252" s="44" t="s">
        <v>365</v>
      </c>
      <c r="B252" s="46">
        <v>0.3457804873726919</v>
      </c>
      <c r="C252" s="46">
        <v>0.16310452384614205</v>
      </c>
      <c r="D252" s="47">
        <f t="shared" si="3"/>
        <v>0.18267596352654986</v>
      </c>
      <c r="E252" s="16"/>
      <c r="F252" s="16"/>
    </row>
    <row r="253" spans="1:6" ht="15.95">
      <c r="A253" s="44" t="s">
        <v>195</v>
      </c>
      <c r="B253" s="46">
        <v>0.27990999221801799</v>
      </c>
      <c r="C253" s="46">
        <v>8.1470003128051791E-2</v>
      </c>
      <c r="D253" s="47">
        <f t="shared" si="3"/>
        <v>0.19843998908996618</v>
      </c>
      <c r="E253" s="16"/>
      <c r="F253" s="16"/>
    </row>
    <row r="254" spans="1:6" ht="15.95">
      <c r="A254" s="44" t="s">
        <v>56</v>
      </c>
      <c r="B254" s="46">
        <v>9.961000442504879E-2</v>
      </c>
      <c r="C254" s="46">
        <v>1.6629999876022299E-2</v>
      </c>
      <c r="D254" s="47">
        <f t="shared" si="3"/>
        <v>8.2980004549026487E-2</v>
      </c>
      <c r="E254" s="16"/>
      <c r="F254" s="16"/>
    </row>
    <row r="255" spans="1:6" ht="15.95">
      <c r="A255" s="44" t="s">
        <v>102</v>
      </c>
      <c r="B255" s="46">
        <v>0.27393999099731398</v>
      </c>
      <c r="C255" s="46">
        <v>0.21905000686645501</v>
      </c>
      <c r="D255" s="47">
        <f t="shared" si="3"/>
        <v>5.4889984130858965E-2</v>
      </c>
      <c r="E255" s="16"/>
      <c r="F255" s="16"/>
    </row>
    <row r="256" spans="1:6" ht="15.95">
      <c r="A256" s="44" t="s">
        <v>366</v>
      </c>
      <c r="B256" s="46">
        <v>0.119670000076294</v>
      </c>
      <c r="C256" s="46">
        <v>6.2150001525878899E-2</v>
      </c>
      <c r="D256" s="47">
        <f t="shared" si="3"/>
        <v>5.7519998550415098E-2</v>
      </c>
      <c r="E256" s="16"/>
      <c r="F256" s="16"/>
    </row>
    <row r="257" spans="1:6" ht="15.95">
      <c r="A257" s="44" t="s">
        <v>108</v>
      </c>
      <c r="B257" s="46">
        <v>0.35189998626708996</v>
      </c>
      <c r="C257" s="46">
        <v>0.10213000297546398</v>
      </c>
      <c r="D257" s="47">
        <f t="shared" si="3"/>
        <v>0.24976998329162597</v>
      </c>
      <c r="E257" s="16"/>
      <c r="F257" s="16"/>
    </row>
    <row r="258" spans="1:6" ht="15.95">
      <c r="A258" s="44" t="s">
        <v>210</v>
      </c>
      <c r="B258" s="46">
        <v>0</v>
      </c>
      <c r="C258" s="46">
        <v>0</v>
      </c>
      <c r="D258" s="47">
        <f t="shared" si="3"/>
        <v>0</v>
      </c>
      <c r="E258" s="16"/>
      <c r="F258" s="16"/>
    </row>
    <row r="259" spans="1:6" ht="15.95">
      <c r="A259" s="44" t="s">
        <v>367</v>
      </c>
      <c r="B259" s="46">
        <v>0.30520999908447299</v>
      </c>
      <c r="C259" s="46">
        <v>2.7430000305175797E-2</v>
      </c>
      <c r="D259" s="47">
        <f t="shared" si="3"/>
        <v>0.27777999877929721</v>
      </c>
      <c r="E259" s="16"/>
      <c r="F259" s="16"/>
    </row>
    <row r="260" spans="1:6" ht="15.95">
      <c r="A260" s="44" t="s">
        <v>86</v>
      </c>
      <c r="B260" s="46">
        <v>0.587299995422363</v>
      </c>
      <c r="C260" s="46">
        <v>0.40866001129150398</v>
      </c>
      <c r="D260" s="47">
        <f t="shared" si="3"/>
        <v>0.17863998413085902</v>
      </c>
      <c r="E260" s="16"/>
      <c r="F260" s="16"/>
    </row>
    <row r="261" spans="1:6" ht="15.95">
      <c r="A261" s="44" t="s">
        <v>127</v>
      </c>
      <c r="B261" s="46">
        <v>0.74759002685546905</v>
      </c>
      <c r="C261" s="46">
        <v>0.6492299652099609</v>
      </c>
      <c r="D261" s="47">
        <f t="shared" si="3"/>
        <v>9.8360061645508146E-2</v>
      </c>
      <c r="E261" s="16"/>
      <c r="F261" s="16"/>
    </row>
    <row r="262" spans="1:6" ht="15.95">
      <c r="A262" s="44" t="s">
        <v>368</v>
      </c>
      <c r="B262" s="46">
        <v>0.45678045038837922</v>
      </c>
      <c r="C262" s="46">
        <v>0.26480131679025587</v>
      </c>
      <c r="D262" s="47">
        <f t="shared" si="3"/>
        <v>0.19197913359812335</v>
      </c>
      <c r="E262" s="16"/>
      <c r="F262" s="16"/>
    </row>
    <row r="263" spans="1:6" ht="15.95">
      <c r="A263" s="44" t="s">
        <v>369</v>
      </c>
      <c r="B263" s="46">
        <v>0.36370998382568404</v>
      </c>
      <c r="C263" s="46">
        <v>5.8410000801086402E-2</v>
      </c>
      <c r="D263" s="47">
        <f t="shared" ref="D263:D268" si="4">IF(B263-C263&lt;0,0,B263-C263)</f>
        <v>0.30529998302459765</v>
      </c>
      <c r="E263" s="16"/>
      <c r="F263" s="16"/>
    </row>
    <row r="264" spans="1:6" ht="15.95">
      <c r="A264" s="44" t="s">
        <v>276</v>
      </c>
      <c r="B264" s="46">
        <v>0</v>
      </c>
      <c r="C264" s="46">
        <v>0</v>
      </c>
      <c r="D264" s="47">
        <f t="shared" si="4"/>
        <v>0</v>
      </c>
      <c r="E264" s="16"/>
      <c r="F264" s="16"/>
    </row>
    <row r="265" spans="1:6" ht="15.95">
      <c r="A265" s="44" t="s">
        <v>370</v>
      </c>
      <c r="B265" s="46">
        <v>0.52381000518798804</v>
      </c>
      <c r="C265" s="46">
        <v>0.44502998352050804</v>
      </c>
      <c r="D265" s="47">
        <f t="shared" si="4"/>
        <v>7.8780021667479994E-2</v>
      </c>
      <c r="E265" s="16"/>
      <c r="F265" s="16"/>
    </row>
    <row r="266" spans="1:6" ht="15.95">
      <c r="A266" s="44" t="s">
        <v>67</v>
      </c>
      <c r="B266" s="46">
        <v>0.15164999961853001</v>
      </c>
      <c r="C266" s="46">
        <v>5.5529999732971201E-2</v>
      </c>
      <c r="D266" s="47">
        <f t="shared" si="4"/>
        <v>9.6119999885558804E-2</v>
      </c>
      <c r="E266" s="16"/>
      <c r="F266" s="16"/>
    </row>
    <row r="267" spans="1:6" ht="15.95">
      <c r="A267" s="44" t="s">
        <v>248</v>
      </c>
      <c r="B267" s="46">
        <v>0.77944000244140599</v>
      </c>
      <c r="C267" s="46">
        <v>0.53284000396728504</v>
      </c>
      <c r="D267" s="47">
        <f t="shared" si="4"/>
        <v>0.24659999847412095</v>
      </c>
      <c r="E267" s="16"/>
      <c r="F267" s="16"/>
    </row>
    <row r="268" spans="1:6" ht="15.95">
      <c r="A268" s="44" t="s">
        <v>284</v>
      </c>
      <c r="B268" s="46">
        <v>0.66307998657226608</v>
      </c>
      <c r="C268" s="46">
        <v>0.68455001831054707</v>
      </c>
      <c r="D268" s="47">
        <f t="shared" si="4"/>
        <v>0</v>
      </c>
      <c r="E268" s="16"/>
      <c r="F268" s="16"/>
    </row>
  </sheetData>
  <sheetProtection algorithmName="SHA-512" hashValue="TXM5vSlE/iiWcg8OsQVa8tV8UTxlXmrS4iDWj303b5YMafLGGf7UI1Jq29qS8fKRsR3U6cXWXBZdyXrJAE3NVw==" saltValue="aezFsU7cEk370slGp2a41Q==" spinCount="100000" sheet="1" objects="1" scenarios="1"/>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4"/>
  </sheetPr>
  <dimension ref="A1:I581"/>
  <sheetViews>
    <sheetView topLeftCell="I1" workbookViewId="0">
      <selection activeCell="I1" sqref="A1:XFD1048576"/>
    </sheetView>
  </sheetViews>
  <sheetFormatPr defaultColWidth="8.875" defaultRowHeight="15"/>
  <cols>
    <col min="1" max="1" width="69.625" style="19" customWidth="1"/>
    <col min="2" max="7" width="12.625" style="19" customWidth="1"/>
    <col min="8" max="16384" width="8.875" style="19"/>
  </cols>
  <sheetData>
    <row r="1" spans="1:7" ht="47.25" customHeight="1">
      <c r="A1" s="91" t="s">
        <v>371</v>
      </c>
      <c r="B1" s="93"/>
      <c r="C1" s="93"/>
      <c r="D1" s="93"/>
      <c r="E1" s="93"/>
      <c r="F1" s="93"/>
      <c r="G1" s="93"/>
    </row>
    <row r="2" spans="1:7" ht="15.75" customHeight="1">
      <c r="A2" s="91" t="s">
        <v>372</v>
      </c>
      <c r="B2" s="93"/>
      <c r="C2" s="93"/>
      <c r="D2" s="93"/>
      <c r="E2" s="93"/>
      <c r="F2" s="93"/>
      <c r="G2" s="93"/>
    </row>
    <row r="3" spans="1:7">
      <c r="A3" s="91" t="s">
        <v>373</v>
      </c>
      <c r="B3" s="93"/>
      <c r="C3" s="93"/>
      <c r="D3" s="93"/>
      <c r="E3" s="93"/>
      <c r="F3" s="93"/>
      <c r="G3" s="93"/>
    </row>
    <row r="4" spans="1:7" ht="21" customHeight="1">
      <c r="A4" s="92" t="s">
        <v>374</v>
      </c>
      <c r="B4" s="92" t="s">
        <v>375</v>
      </c>
      <c r="C4" s="93"/>
      <c r="D4" s="93"/>
      <c r="E4" s="93"/>
      <c r="F4" s="93"/>
      <c r="G4" s="93"/>
    </row>
    <row r="5" spans="1:7" ht="21" customHeight="1">
      <c r="A5" s="93"/>
      <c r="B5" s="92" t="s">
        <v>376</v>
      </c>
      <c r="C5" s="92" t="s">
        <v>377</v>
      </c>
      <c r="D5" s="93"/>
      <c r="E5" s="93"/>
      <c r="F5" s="93"/>
      <c r="G5" s="93"/>
    </row>
    <row r="6" spans="1:7" ht="45" customHeight="1">
      <c r="A6" s="93"/>
      <c r="B6" s="93"/>
      <c r="C6" s="20" t="s">
        <v>378</v>
      </c>
      <c r="D6" s="20" t="s">
        <v>379</v>
      </c>
      <c r="E6" s="20" t="s">
        <v>380</v>
      </c>
      <c r="F6" s="20" t="s">
        <v>381</v>
      </c>
      <c r="G6" s="20" t="s">
        <v>382</v>
      </c>
    </row>
    <row r="7" spans="1:7">
      <c r="A7" s="21" t="s">
        <v>373</v>
      </c>
    </row>
    <row r="8" spans="1:7" ht="15.95">
      <c r="A8" s="22" t="s">
        <v>383</v>
      </c>
      <c r="B8" s="23">
        <v>153337</v>
      </c>
      <c r="C8" s="34">
        <v>46.9</v>
      </c>
      <c r="D8" s="34">
        <v>78.400000000000006</v>
      </c>
      <c r="E8" s="34">
        <v>12.1</v>
      </c>
      <c r="F8" s="34">
        <v>6.2</v>
      </c>
      <c r="G8" s="34">
        <v>16.899999999999999</v>
      </c>
    </row>
    <row r="9" spans="1:7">
      <c r="B9" s="25"/>
    </row>
    <row r="10" spans="1:7" ht="15.95">
      <c r="A10" s="22" t="s">
        <v>384</v>
      </c>
      <c r="B10" s="23">
        <v>60901</v>
      </c>
      <c r="C10" s="34">
        <v>51.6</v>
      </c>
      <c r="D10" s="34">
        <v>80</v>
      </c>
      <c r="E10" s="34">
        <v>9.4</v>
      </c>
      <c r="F10" s="34">
        <v>8.1</v>
      </c>
      <c r="G10" s="34">
        <v>9.6</v>
      </c>
    </row>
    <row r="11" spans="1:7" ht="21" customHeight="1">
      <c r="A11" s="24" t="s">
        <v>385</v>
      </c>
      <c r="B11" s="23">
        <v>25379</v>
      </c>
      <c r="C11" s="34">
        <v>44</v>
      </c>
      <c r="D11" s="34">
        <v>83</v>
      </c>
      <c r="E11" s="34">
        <v>8.1999999999999993</v>
      </c>
      <c r="F11" s="34">
        <v>6.4</v>
      </c>
      <c r="G11" s="34">
        <v>10</v>
      </c>
    </row>
    <row r="12" spans="1:7" ht="18" customHeight="1">
      <c r="A12" s="32" t="s">
        <v>386</v>
      </c>
      <c r="B12" s="23">
        <v>17804</v>
      </c>
      <c r="C12" s="34">
        <v>39.799999999999997</v>
      </c>
      <c r="D12" s="34">
        <v>84</v>
      </c>
      <c r="E12" s="34">
        <v>7.6</v>
      </c>
      <c r="F12" s="34">
        <v>5.9</v>
      </c>
      <c r="G12" s="34">
        <v>9.9</v>
      </c>
    </row>
    <row r="13" spans="1:7" ht="15.95">
      <c r="A13" s="33" t="s">
        <v>387</v>
      </c>
      <c r="B13" s="23">
        <v>1639</v>
      </c>
      <c r="C13" s="34">
        <v>28</v>
      </c>
      <c r="D13" s="34">
        <v>90</v>
      </c>
      <c r="E13" s="34">
        <v>3.8</v>
      </c>
      <c r="F13" s="34">
        <v>4.5999999999999996</v>
      </c>
      <c r="G13" s="34">
        <v>4.7</v>
      </c>
    </row>
    <row r="14" spans="1:7" ht="15.95">
      <c r="A14" s="33" t="s">
        <v>388</v>
      </c>
      <c r="B14" s="23">
        <v>1005</v>
      </c>
      <c r="C14" s="34">
        <v>34.1</v>
      </c>
      <c r="D14" s="34">
        <v>85</v>
      </c>
      <c r="E14" s="34">
        <v>8.3000000000000007</v>
      </c>
      <c r="F14" s="34">
        <v>4.5</v>
      </c>
      <c r="G14" s="34">
        <v>11.4</v>
      </c>
    </row>
    <row r="15" spans="1:7" ht="15.95">
      <c r="A15" s="33" t="s">
        <v>389</v>
      </c>
      <c r="B15" s="23">
        <v>18</v>
      </c>
      <c r="C15" s="35" t="s">
        <v>390</v>
      </c>
      <c r="D15" s="35" t="s">
        <v>390</v>
      </c>
      <c r="E15" s="35" t="s">
        <v>390</v>
      </c>
      <c r="F15" s="35" t="s">
        <v>390</v>
      </c>
      <c r="G15" s="35" t="s">
        <v>390</v>
      </c>
    </row>
    <row r="16" spans="1:7" ht="15.95">
      <c r="A16" s="33" t="s">
        <v>391</v>
      </c>
      <c r="B16" s="23">
        <v>61</v>
      </c>
      <c r="C16" s="34">
        <v>52.7</v>
      </c>
      <c r="D16" s="34">
        <v>84.5</v>
      </c>
      <c r="E16" s="34">
        <v>8</v>
      </c>
      <c r="F16" s="34">
        <v>7.5</v>
      </c>
      <c r="G16" s="34">
        <v>7.4</v>
      </c>
    </row>
    <row r="17" spans="1:7" ht="15.95">
      <c r="A17" s="33" t="s">
        <v>392</v>
      </c>
      <c r="B17" s="23">
        <v>1078</v>
      </c>
      <c r="C17" s="34">
        <v>45.3</v>
      </c>
      <c r="D17" s="34">
        <v>86.4</v>
      </c>
      <c r="E17" s="34">
        <v>6</v>
      </c>
      <c r="F17" s="34">
        <v>6.1</v>
      </c>
      <c r="G17" s="34">
        <v>10.199999999999999</v>
      </c>
    </row>
    <row r="18" spans="1:7" ht="15.95">
      <c r="A18" s="33" t="s">
        <v>393</v>
      </c>
      <c r="B18" s="23">
        <v>73</v>
      </c>
      <c r="C18" s="34">
        <v>63.5</v>
      </c>
      <c r="D18" s="34">
        <v>87.9</v>
      </c>
      <c r="E18" s="34">
        <v>7.8</v>
      </c>
      <c r="F18" s="34">
        <v>3.2</v>
      </c>
      <c r="G18" s="34">
        <v>3.7</v>
      </c>
    </row>
    <row r="19" spans="1:7" ht="15.95">
      <c r="A19" s="33" t="s">
        <v>394</v>
      </c>
      <c r="B19" s="23">
        <v>151</v>
      </c>
      <c r="C19" s="34">
        <v>40.1</v>
      </c>
      <c r="D19" s="34">
        <v>83.5</v>
      </c>
      <c r="E19" s="34">
        <v>9.4</v>
      </c>
      <c r="F19" s="34">
        <v>3.2</v>
      </c>
      <c r="G19" s="34">
        <v>10.3</v>
      </c>
    </row>
    <row r="20" spans="1:7" ht="15.95">
      <c r="A20" s="33" t="s">
        <v>395</v>
      </c>
      <c r="B20" s="23">
        <v>630</v>
      </c>
      <c r="C20" s="34">
        <v>28.6</v>
      </c>
      <c r="D20" s="34">
        <v>78</v>
      </c>
      <c r="E20" s="34">
        <v>6.6</v>
      </c>
      <c r="F20" s="34">
        <v>13</v>
      </c>
      <c r="G20" s="34">
        <v>6.6</v>
      </c>
    </row>
    <row r="21" spans="1:7" ht="15.95">
      <c r="A21" s="33" t="s">
        <v>396</v>
      </c>
      <c r="B21" s="23">
        <v>1167</v>
      </c>
      <c r="C21" s="34">
        <v>55.7</v>
      </c>
      <c r="D21" s="34">
        <v>83.5</v>
      </c>
      <c r="E21" s="34">
        <v>6.7</v>
      </c>
      <c r="F21" s="34">
        <v>8.1999999999999993</v>
      </c>
      <c r="G21" s="34">
        <v>11.2</v>
      </c>
    </row>
    <row r="22" spans="1:7" ht="15.95">
      <c r="A22" s="33" t="s">
        <v>397</v>
      </c>
      <c r="B22" s="23">
        <v>16</v>
      </c>
      <c r="C22" s="35" t="s">
        <v>390</v>
      </c>
      <c r="D22" s="35" t="s">
        <v>390</v>
      </c>
      <c r="E22" s="35" t="s">
        <v>390</v>
      </c>
      <c r="F22" s="35" t="s">
        <v>390</v>
      </c>
      <c r="G22" s="35" t="s">
        <v>390</v>
      </c>
    </row>
    <row r="23" spans="1:7" ht="15.95">
      <c r="A23" s="33" t="s">
        <v>398</v>
      </c>
      <c r="B23" s="23">
        <v>327</v>
      </c>
      <c r="C23" s="34">
        <v>70.8</v>
      </c>
      <c r="D23" s="34">
        <v>81.7</v>
      </c>
      <c r="E23" s="34">
        <v>12.3</v>
      </c>
      <c r="F23" s="34">
        <v>4.3</v>
      </c>
      <c r="G23" s="34">
        <v>7.9</v>
      </c>
    </row>
    <row r="24" spans="1:7" ht="15.95">
      <c r="A24" s="33" t="s">
        <v>399</v>
      </c>
      <c r="B24" s="23">
        <v>63</v>
      </c>
      <c r="C24" s="34">
        <v>59.8</v>
      </c>
      <c r="D24" s="34">
        <v>89.2</v>
      </c>
      <c r="E24" s="34">
        <v>5.6</v>
      </c>
      <c r="F24" s="34">
        <v>2.2000000000000002</v>
      </c>
      <c r="G24" s="34">
        <v>9</v>
      </c>
    </row>
    <row r="25" spans="1:7" ht="15.95">
      <c r="A25" s="33" t="s">
        <v>400</v>
      </c>
      <c r="B25" s="23">
        <v>280</v>
      </c>
      <c r="C25" s="34">
        <v>25.7</v>
      </c>
      <c r="D25" s="34">
        <v>89.5</v>
      </c>
      <c r="E25" s="34">
        <v>3.8</v>
      </c>
      <c r="F25" s="34">
        <v>5.9</v>
      </c>
      <c r="G25" s="34">
        <v>9.3000000000000007</v>
      </c>
    </row>
    <row r="26" spans="1:7" ht="15.95">
      <c r="A26" s="33" t="s">
        <v>401</v>
      </c>
      <c r="B26" s="23">
        <v>205</v>
      </c>
      <c r="C26" s="34">
        <v>52.3</v>
      </c>
      <c r="D26" s="34">
        <v>84.3</v>
      </c>
      <c r="E26" s="34">
        <v>10.6</v>
      </c>
      <c r="F26" s="34">
        <v>3.3</v>
      </c>
      <c r="G26" s="34">
        <v>9.1</v>
      </c>
    </row>
    <row r="27" spans="1:7" ht="15.95">
      <c r="A27" s="33" t="s">
        <v>402</v>
      </c>
      <c r="B27" s="23">
        <v>291</v>
      </c>
      <c r="C27" s="34">
        <v>19.2</v>
      </c>
      <c r="D27" s="34">
        <v>79.7</v>
      </c>
      <c r="E27" s="34">
        <v>10.7</v>
      </c>
      <c r="F27" s="34">
        <v>5.3</v>
      </c>
      <c r="G27" s="34">
        <v>13.8</v>
      </c>
    </row>
    <row r="28" spans="1:7" ht="15.95">
      <c r="A28" s="33" t="s">
        <v>403</v>
      </c>
      <c r="B28" s="23">
        <v>1018</v>
      </c>
      <c r="C28" s="34">
        <v>25.2</v>
      </c>
      <c r="D28" s="34">
        <v>95.4</v>
      </c>
      <c r="E28" s="34">
        <v>0.8</v>
      </c>
      <c r="F28" s="34">
        <v>1.4</v>
      </c>
      <c r="G28" s="34">
        <v>6.1</v>
      </c>
    </row>
    <row r="29" spans="1:7" ht="15.95">
      <c r="A29" s="33" t="s">
        <v>404</v>
      </c>
      <c r="B29" s="23">
        <v>1081</v>
      </c>
      <c r="C29" s="34">
        <v>7.4</v>
      </c>
      <c r="D29" s="34">
        <v>90.2</v>
      </c>
      <c r="E29" s="34">
        <v>4.9000000000000004</v>
      </c>
      <c r="F29" s="34">
        <v>2.2999999999999998</v>
      </c>
      <c r="G29" s="34">
        <v>12.4</v>
      </c>
    </row>
    <row r="30" spans="1:7" ht="15.95">
      <c r="A30" s="33" t="s">
        <v>405</v>
      </c>
      <c r="B30" s="23">
        <v>918</v>
      </c>
      <c r="C30" s="34">
        <v>64.2</v>
      </c>
      <c r="D30" s="34">
        <v>81.8</v>
      </c>
      <c r="E30" s="34">
        <v>12.9</v>
      </c>
      <c r="F30" s="34">
        <v>2.1</v>
      </c>
      <c r="G30" s="34">
        <v>10.3</v>
      </c>
    </row>
    <row r="31" spans="1:7" ht="15.95">
      <c r="A31" s="33" t="s">
        <v>406</v>
      </c>
      <c r="B31" s="23">
        <v>129</v>
      </c>
      <c r="C31" s="34">
        <v>8.6999999999999993</v>
      </c>
      <c r="D31" s="34">
        <v>79.7</v>
      </c>
      <c r="E31" s="34">
        <v>8.3000000000000007</v>
      </c>
      <c r="F31" s="34">
        <v>11.2</v>
      </c>
      <c r="G31" s="34">
        <v>6.2</v>
      </c>
    </row>
    <row r="32" spans="1:7" ht="15.95">
      <c r="A32" s="33" t="s">
        <v>407</v>
      </c>
      <c r="B32" s="23">
        <v>1210</v>
      </c>
      <c r="C32" s="34">
        <v>46.3</v>
      </c>
      <c r="D32" s="34">
        <v>74.7</v>
      </c>
      <c r="E32" s="34">
        <v>9.5</v>
      </c>
      <c r="F32" s="34">
        <v>11.7</v>
      </c>
      <c r="G32" s="34">
        <v>16.899999999999999</v>
      </c>
    </row>
    <row r="33" spans="1:7" ht="15.95">
      <c r="A33" s="33" t="s">
        <v>408</v>
      </c>
      <c r="B33" s="23">
        <v>15</v>
      </c>
      <c r="C33" s="35" t="s">
        <v>390</v>
      </c>
      <c r="D33" s="35" t="s">
        <v>390</v>
      </c>
      <c r="E33" s="35" t="s">
        <v>390</v>
      </c>
      <c r="F33" s="35" t="s">
        <v>390</v>
      </c>
      <c r="G33" s="35" t="s">
        <v>390</v>
      </c>
    </row>
    <row r="34" spans="1:7" ht="15.95">
      <c r="A34" s="33" t="s">
        <v>409</v>
      </c>
      <c r="B34" s="23">
        <v>19</v>
      </c>
      <c r="C34" s="35" t="s">
        <v>390</v>
      </c>
      <c r="D34" s="35" t="s">
        <v>390</v>
      </c>
      <c r="E34" s="35" t="s">
        <v>390</v>
      </c>
      <c r="F34" s="35" t="s">
        <v>390</v>
      </c>
      <c r="G34" s="35" t="s">
        <v>390</v>
      </c>
    </row>
    <row r="35" spans="1:7" ht="15.95">
      <c r="A35" s="33" t="s">
        <v>410</v>
      </c>
      <c r="B35" s="23">
        <v>156</v>
      </c>
      <c r="C35" s="34">
        <v>48.8</v>
      </c>
      <c r="D35" s="34">
        <v>72.900000000000006</v>
      </c>
      <c r="E35" s="34">
        <v>11.2</v>
      </c>
      <c r="F35" s="34">
        <v>12.5</v>
      </c>
      <c r="G35" s="34">
        <v>12</v>
      </c>
    </row>
    <row r="36" spans="1:7" ht="15.95">
      <c r="A36" s="33" t="s">
        <v>411</v>
      </c>
      <c r="B36" s="23">
        <v>671</v>
      </c>
      <c r="C36" s="34">
        <v>69.8</v>
      </c>
      <c r="D36" s="34">
        <v>77.900000000000006</v>
      </c>
      <c r="E36" s="34">
        <v>14</v>
      </c>
      <c r="F36" s="34">
        <v>5.7</v>
      </c>
      <c r="G36" s="34">
        <v>9.1</v>
      </c>
    </row>
    <row r="37" spans="1:7" ht="15.95">
      <c r="A37" s="33" t="s">
        <v>412</v>
      </c>
      <c r="B37" s="23">
        <v>16</v>
      </c>
      <c r="C37" s="35" t="s">
        <v>390</v>
      </c>
      <c r="D37" s="35" t="s">
        <v>390</v>
      </c>
      <c r="E37" s="35" t="s">
        <v>390</v>
      </c>
      <c r="F37" s="35" t="s">
        <v>390</v>
      </c>
      <c r="G37" s="35" t="s">
        <v>390</v>
      </c>
    </row>
    <row r="38" spans="1:7" ht="15.95">
      <c r="A38" s="33" t="s">
        <v>413</v>
      </c>
      <c r="B38" s="23">
        <v>27</v>
      </c>
      <c r="C38" s="35" t="s">
        <v>390</v>
      </c>
      <c r="D38" s="35" t="s">
        <v>390</v>
      </c>
      <c r="E38" s="35" t="s">
        <v>390</v>
      </c>
      <c r="F38" s="35" t="s">
        <v>390</v>
      </c>
      <c r="G38" s="35" t="s">
        <v>390</v>
      </c>
    </row>
    <row r="39" spans="1:7" ht="15.95">
      <c r="A39" s="33" t="s">
        <v>414</v>
      </c>
      <c r="B39" s="23">
        <v>743</v>
      </c>
      <c r="C39" s="34">
        <v>48.6</v>
      </c>
      <c r="D39" s="34">
        <v>81.8</v>
      </c>
      <c r="E39" s="34">
        <v>11.6</v>
      </c>
      <c r="F39" s="34">
        <v>3.5</v>
      </c>
      <c r="G39" s="34">
        <v>14.4</v>
      </c>
    </row>
    <row r="40" spans="1:7" ht="15.95">
      <c r="A40" s="33" t="s">
        <v>415</v>
      </c>
      <c r="B40" s="23">
        <v>390</v>
      </c>
      <c r="C40" s="34">
        <v>70.2</v>
      </c>
      <c r="D40" s="34">
        <v>78.099999999999994</v>
      </c>
      <c r="E40" s="34">
        <v>13.7</v>
      </c>
      <c r="F40" s="34">
        <v>4</v>
      </c>
      <c r="G40" s="34">
        <v>8.6</v>
      </c>
    </row>
    <row r="41" spans="1:7" ht="15.95">
      <c r="A41" s="33" t="s">
        <v>416</v>
      </c>
      <c r="B41" s="23">
        <v>11</v>
      </c>
      <c r="C41" s="35" t="s">
        <v>390</v>
      </c>
      <c r="D41" s="35" t="s">
        <v>390</v>
      </c>
      <c r="E41" s="35" t="s">
        <v>390</v>
      </c>
      <c r="F41" s="35" t="s">
        <v>390</v>
      </c>
      <c r="G41" s="35" t="s">
        <v>390</v>
      </c>
    </row>
    <row r="42" spans="1:7" ht="15.95">
      <c r="A42" s="33" t="s">
        <v>417</v>
      </c>
      <c r="B42" s="23">
        <v>4398</v>
      </c>
      <c r="C42" s="34">
        <v>35.799999999999997</v>
      </c>
      <c r="D42" s="34">
        <v>83.2</v>
      </c>
      <c r="E42" s="34">
        <v>7.4</v>
      </c>
      <c r="F42" s="34">
        <v>7</v>
      </c>
      <c r="G42" s="34">
        <v>9.4</v>
      </c>
    </row>
    <row r="43" spans="1:7" ht="18" customHeight="1">
      <c r="A43" s="32" t="s">
        <v>418</v>
      </c>
      <c r="B43" s="23">
        <v>7574</v>
      </c>
      <c r="C43" s="34">
        <v>54</v>
      </c>
      <c r="D43" s="34">
        <v>80.7</v>
      </c>
      <c r="E43" s="34">
        <v>9.4</v>
      </c>
      <c r="F43" s="34">
        <v>7.5</v>
      </c>
      <c r="G43" s="34">
        <v>10.199999999999999</v>
      </c>
    </row>
    <row r="44" spans="1:7" ht="15.95">
      <c r="A44" s="33" t="s">
        <v>419</v>
      </c>
      <c r="B44" s="23">
        <v>50</v>
      </c>
      <c r="C44" s="34">
        <v>44.4</v>
      </c>
      <c r="D44" s="34">
        <v>77.3</v>
      </c>
      <c r="E44" s="34">
        <v>15.9</v>
      </c>
      <c r="F44" s="34">
        <v>6.1</v>
      </c>
      <c r="G44" s="34">
        <v>4</v>
      </c>
    </row>
    <row r="45" spans="1:7" ht="15.95">
      <c r="A45" s="33" t="s">
        <v>420</v>
      </c>
      <c r="B45" s="23">
        <v>11</v>
      </c>
      <c r="C45" s="35" t="s">
        <v>390</v>
      </c>
      <c r="D45" s="35" t="s">
        <v>390</v>
      </c>
      <c r="E45" s="35" t="s">
        <v>390</v>
      </c>
      <c r="F45" s="35" t="s">
        <v>390</v>
      </c>
      <c r="G45" s="35" t="s">
        <v>390</v>
      </c>
    </row>
    <row r="46" spans="1:7" ht="15.95">
      <c r="A46" s="33" t="s">
        <v>421</v>
      </c>
      <c r="B46" s="23">
        <v>194</v>
      </c>
      <c r="C46" s="34">
        <v>55.8</v>
      </c>
      <c r="D46" s="34">
        <v>84.2</v>
      </c>
      <c r="E46" s="34">
        <v>7.7</v>
      </c>
      <c r="F46" s="34">
        <v>6.2</v>
      </c>
      <c r="G46" s="34">
        <v>9</v>
      </c>
    </row>
    <row r="47" spans="1:7" ht="15.95">
      <c r="A47" s="33" t="s">
        <v>422</v>
      </c>
      <c r="B47" s="23">
        <v>270</v>
      </c>
      <c r="C47" s="34">
        <v>44.1</v>
      </c>
      <c r="D47" s="34">
        <v>82.7</v>
      </c>
      <c r="E47" s="34">
        <v>9.4</v>
      </c>
      <c r="F47" s="34">
        <v>6.1</v>
      </c>
      <c r="G47" s="34">
        <v>11.9</v>
      </c>
    </row>
    <row r="48" spans="1:7" ht="15.95">
      <c r="A48" s="33" t="s">
        <v>423</v>
      </c>
      <c r="B48" s="23">
        <v>350</v>
      </c>
      <c r="C48" s="34">
        <v>61.7</v>
      </c>
      <c r="D48" s="34">
        <v>77</v>
      </c>
      <c r="E48" s="34">
        <v>18.2</v>
      </c>
      <c r="F48" s="34">
        <v>3</v>
      </c>
      <c r="G48" s="34">
        <v>11.4</v>
      </c>
    </row>
    <row r="49" spans="1:7" ht="15.95">
      <c r="A49" s="33" t="s">
        <v>424</v>
      </c>
      <c r="B49" s="23">
        <v>260</v>
      </c>
      <c r="C49" s="34">
        <v>57.6</v>
      </c>
      <c r="D49" s="34">
        <v>80.099999999999994</v>
      </c>
      <c r="E49" s="34">
        <v>11.9</v>
      </c>
      <c r="F49" s="34">
        <v>5.9</v>
      </c>
      <c r="G49" s="34">
        <v>9</v>
      </c>
    </row>
    <row r="50" spans="1:7" ht="15.95">
      <c r="A50" s="33" t="s">
        <v>425</v>
      </c>
      <c r="B50" s="23">
        <v>118</v>
      </c>
      <c r="C50" s="34">
        <v>12.9</v>
      </c>
      <c r="D50" s="34">
        <v>94.4</v>
      </c>
      <c r="E50" s="34">
        <v>3.1</v>
      </c>
      <c r="F50" s="34">
        <v>2.2000000000000002</v>
      </c>
      <c r="G50" s="34">
        <v>8.5</v>
      </c>
    </row>
    <row r="51" spans="1:7" ht="15.95">
      <c r="A51" s="33" t="s">
        <v>426</v>
      </c>
      <c r="B51" s="23">
        <v>736</v>
      </c>
      <c r="C51" s="34">
        <v>72.099999999999994</v>
      </c>
      <c r="D51" s="34">
        <v>80.2</v>
      </c>
      <c r="E51" s="34">
        <v>11.8</v>
      </c>
      <c r="F51" s="34">
        <v>5.7</v>
      </c>
      <c r="G51" s="34">
        <v>13.8</v>
      </c>
    </row>
    <row r="52" spans="1:7" ht="15.95">
      <c r="A52" s="33" t="s">
        <v>427</v>
      </c>
      <c r="B52" s="23">
        <v>59</v>
      </c>
      <c r="C52" s="34">
        <v>72.3</v>
      </c>
      <c r="D52" s="34">
        <v>72.2</v>
      </c>
      <c r="E52" s="34">
        <v>21.5</v>
      </c>
      <c r="F52" s="34">
        <v>2.2999999999999998</v>
      </c>
      <c r="G52" s="34">
        <v>15.7</v>
      </c>
    </row>
    <row r="53" spans="1:7" ht="15.95">
      <c r="A53" s="33" t="s">
        <v>428</v>
      </c>
      <c r="B53" s="23">
        <v>133</v>
      </c>
      <c r="C53" s="34">
        <v>47.1</v>
      </c>
      <c r="D53" s="34">
        <v>81.599999999999994</v>
      </c>
      <c r="E53" s="34">
        <v>12.4</v>
      </c>
      <c r="F53" s="34">
        <v>1.1000000000000001</v>
      </c>
      <c r="G53" s="34">
        <v>18.2</v>
      </c>
    </row>
    <row r="54" spans="1:7" ht="15.95">
      <c r="A54" s="33" t="s">
        <v>429</v>
      </c>
      <c r="B54" s="23">
        <v>112</v>
      </c>
      <c r="C54" s="34">
        <v>34.799999999999997</v>
      </c>
      <c r="D54" s="34">
        <v>70.900000000000006</v>
      </c>
      <c r="E54" s="34">
        <v>17.100000000000001</v>
      </c>
      <c r="F54" s="34">
        <v>7.4</v>
      </c>
      <c r="G54" s="34">
        <v>11.7</v>
      </c>
    </row>
    <row r="55" spans="1:7" ht="15.95">
      <c r="A55" s="33" t="s">
        <v>430</v>
      </c>
      <c r="B55" s="23">
        <v>937</v>
      </c>
      <c r="C55" s="34">
        <v>42.3</v>
      </c>
      <c r="D55" s="34">
        <v>77.2</v>
      </c>
      <c r="E55" s="34">
        <v>9.1</v>
      </c>
      <c r="F55" s="34">
        <v>11.2</v>
      </c>
      <c r="G55" s="34">
        <v>7.4</v>
      </c>
    </row>
    <row r="56" spans="1:7" ht="15.95">
      <c r="A56" s="33" t="s">
        <v>431</v>
      </c>
      <c r="B56" s="23">
        <v>137</v>
      </c>
      <c r="C56" s="34">
        <v>85.1</v>
      </c>
      <c r="D56" s="34">
        <v>91.6</v>
      </c>
      <c r="E56" s="34">
        <v>4.7</v>
      </c>
      <c r="F56" s="34">
        <v>1.4</v>
      </c>
      <c r="G56" s="34">
        <v>9</v>
      </c>
    </row>
    <row r="57" spans="1:7" ht="15.95">
      <c r="A57" s="33" t="s">
        <v>432</v>
      </c>
      <c r="B57" s="23">
        <v>84</v>
      </c>
      <c r="C57" s="34">
        <v>77.3</v>
      </c>
      <c r="D57" s="34">
        <v>88.4</v>
      </c>
      <c r="E57" s="34">
        <v>8.8000000000000007</v>
      </c>
      <c r="F57" s="34">
        <v>0.2</v>
      </c>
      <c r="G57" s="34">
        <v>2.6</v>
      </c>
    </row>
    <row r="58" spans="1:7" ht="15.95">
      <c r="A58" s="33" t="s">
        <v>433</v>
      </c>
      <c r="B58" s="23">
        <v>344</v>
      </c>
      <c r="C58" s="34">
        <v>60.8</v>
      </c>
      <c r="D58" s="34">
        <v>84.2</v>
      </c>
      <c r="E58" s="34">
        <v>5.4</v>
      </c>
      <c r="F58" s="34">
        <v>7.7</v>
      </c>
      <c r="G58" s="34">
        <v>9</v>
      </c>
    </row>
    <row r="59" spans="1:7" ht="15.95">
      <c r="A59" s="33" t="s">
        <v>434</v>
      </c>
      <c r="B59" s="23">
        <v>273</v>
      </c>
      <c r="C59" s="34">
        <v>52.5</v>
      </c>
      <c r="D59" s="34">
        <v>79.2</v>
      </c>
      <c r="E59" s="34">
        <v>9.1</v>
      </c>
      <c r="F59" s="34">
        <v>9.3000000000000007</v>
      </c>
      <c r="G59" s="34">
        <v>13.6</v>
      </c>
    </row>
    <row r="60" spans="1:7" ht="15.95">
      <c r="A60" s="33" t="s">
        <v>435</v>
      </c>
      <c r="B60" s="23">
        <v>1804</v>
      </c>
      <c r="C60" s="34">
        <v>60.3</v>
      </c>
      <c r="D60" s="34">
        <v>79.5</v>
      </c>
      <c r="E60" s="34">
        <v>8.1999999999999993</v>
      </c>
      <c r="F60" s="34">
        <v>9.6999999999999993</v>
      </c>
      <c r="G60" s="34">
        <v>9.6</v>
      </c>
    </row>
    <row r="61" spans="1:7" ht="15.95">
      <c r="A61" s="33" t="s">
        <v>436</v>
      </c>
      <c r="B61" s="23">
        <v>97</v>
      </c>
      <c r="C61" s="34">
        <v>37.4</v>
      </c>
      <c r="D61" s="34">
        <v>88.8</v>
      </c>
      <c r="E61" s="34">
        <v>9</v>
      </c>
      <c r="F61" s="34">
        <v>1.8</v>
      </c>
      <c r="G61" s="34">
        <v>11</v>
      </c>
    </row>
    <row r="62" spans="1:7" ht="15.95">
      <c r="A62" s="33" t="s">
        <v>437</v>
      </c>
      <c r="B62" s="23">
        <v>53</v>
      </c>
      <c r="C62" s="34">
        <v>46.8</v>
      </c>
      <c r="D62" s="34">
        <v>71.099999999999994</v>
      </c>
      <c r="E62" s="34">
        <v>12.5</v>
      </c>
      <c r="F62" s="34">
        <v>9.6999999999999993</v>
      </c>
      <c r="G62" s="34">
        <v>11.1</v>
      </c>
    </row>
    <row r="63" spans="1:7" ht="15.95">
      <c r="A63" s="33" t="s">
        <v>438</v>
      </c>
      <c r="B63" s="23">
        <v>29</v>
      </c>
      <c r="C63" s="35" t="s">
        <v>390</v>
      </c>
      <c r="D63" s="35" t="s">
        <v>390</v>
      </c>
      <c r="E63" s="35" t="s">
        <v>390</v>
      </c>
      <c r="F63" s="35" t="s">
        <v>390</v>
      </c>
      <c r="G63" s="35" t="s">
        <v>390</v>
      </c>
    </row>
    <row r="64" spans="1:7" ht="15.95">
      <c r="A64" s="33" t="s">
        <v>439</v>
      </c>
      <c r="B64" s="23">
        <v>309</v>
      </c>
      <c r="C64" s="34">
        <v>36.5</v>
      </c>
      <c r="D64" s="34">
        <v>75.599999999999994</v>
      </c>
      <c r="E64" s="34">
        <v>8.8000000000000007</v>
      </c>
      <c r="F64" s="34">
        <v>12.5</v>
      </c>
      <c r="G64" s="34">
        <v>6.9</v>
      </c>
    </row>
    <row r="65" spans="1:9" ht="15.95">
      <c r="A65" s="33" t="s">
        <v>440</v>
      </c>
      <c r="B65" s="23">
        <v>525</v>
      </c>
      <c r="C65" s="34">
        <v>32</v>
      </c>
      <c r="D65" s="34">
        <v>87</v>
      </c>
      <c r="E65" s="34">
        <v>4.8</v>
      </c>
      <c r="F65" s="34">
        <v>6.6</v>
      </c>
      <c r="G65" s="34">
        <v>8.3000000000000007</v>
      </c>
    </row>
    <row r="66" spans="1:9" ht="15.95">
      <c r="A66" s="33" t="s">
        <v>441</v>
      </c>
      <c r="B66" s="23">
        <v>104</v>
      </c>
      <c r="C66" s="34">
        <v>63.8</v>
      </c>
      <c r="D66" s="34">
        <v>85.5</v>
      </c>
      <c r="E66" s="34">
        <v>8.8000000000000007</v>
      </c>
      <c r="F66" s="34">
        <v>5.4</v>
      </c>
      <c r="G66" s="34">
        <v>8.1</v>
      </c>
    </row>
    <row r="67" spans="1:9" ht="15.95">
      <c r="A67" s="33" t="s">
        <v>442</v>
      </c>
      <c r="B67" s="23">
        <v>15</v>
      </c>
      <c r="C67" s="35" t="s">
        <v>390</v>
      </c>
      <c r="D67" s="35" t="s">
        <v>390</v>
      </c>
      <c r="E67" s="35" t="s">
        <v>390</v>
      </c>
      <c r="F67" s="35" t="s">
        <v>390</v>
      </c>
      <c r="G67" s="35" t="s">
        <v>390</v>
      </c>
    </row>
    <row r="68" spans="1:9" ht="15.95">
      <c r="A68" s="33" t="s">
        <v>443</v>
      </c>
      <c r="B68" s="23">
        <v>353</v>
      </c>
      <c r="C68" s="34">
        <v>56.5</v>
      </c>
      <c r="D68" s="34">
        <v>83.8</v>
      </c>
      <c r="E68" s="34">
        <v>8.5</v>
      </c>
      <c r="F68" s="34">
        <v>4.2</v>
      </c>
      <c r="G68" s="34">
        <v>14.2</v>
      </c>
    </row>
    <row r="69" spans="1:9" ht="15.95">
      <c r="A69" s="33" t="s">
        <v>444</v>
      </c>
      <c r="B69" s="23">
        <v>65</v>
      </c>
      <c r="C69" s="34">
        <v>58.4</v>
      </c>
      <c r="D69" s="34">
        <v>77.2</v>
      </c>
      <c r="E69" s="34">
        <v>11.1</v>
      </c>
      <c r="F69" s="34">
        <v>9.8000000000000007</v>
      </c>
      <c r="G69" s="34">
        <v>14.8</v>
      </c>
    </row>
    <row r="70" spans="1:9" ht="15.95">
      <c r="A70" s="33" t="s">
        <v>445</v>
      </c>
      <c r="B70" s="23">
        <v>107</v>
      </c>
      <c r="C70" s="34">
        <v>63.1</v>
      </c>
      <c r="D70" s="34">
        <v>78.3</v>
      </c>
      <c r="E70" s="34">
        <v>17.2</v>
      </c>
      <c r="F70" s="34">
        <v>4</v>
      </c>
      <c r="G70" s="34">
        <v>14.9</v>
      </c>
    </row>
    <row r="71" spans="1:9" ht="15.95">
      <c r="A71" s="33" t="s">
        <v>446</v>
      </c>
      <c r="B71" s="23">
        <v>45</v>
      </c>
      <c r="C71" s="35" t="s">
        <v>390</v>
      </c>
      <c r="D71" s="35" t="s">
        <v>390</v>
      </c>
      <c r="E71" s="35" t="s">
        <v>390</v>
      </c>
      <c r="F71" s="35" t="s">
        <v>390</v>
      </c>
      <c r="G71" s="35" t="s">
        <v>390</v>
      </c>
    </row>
    <row r="72" spans="1:9" ht="18" customHeight="1">
      <c r="A72" s="24" t="s">
        <v>447</v>
      </c>
      <c r="B72" s="23">
        <v>35522</v>
      </c>
      <c r="C72" s="34">
        <v>57</v>
      </c>
      <c r="D72" s="34">
        <v>77.900000000000006</v>
      </c>
      <c r="E72" s="34">
        <v>10.3</v>
      </c>
      <c r="F72" s="34">
        <v>9.3000000000000007</v>
      </c>
      <c r="G72" s="34">
        <v>9.3000000000000007</v>
      </c>
    </row>
    <row r="73" spans="1:9" ht="15.95">
      <c r="A73" s="32" t="s">
        <v>448</v>
      </c>
      <c r="B73" s="23">
        <v>4804</v>
      </c>
      <c r="C73" s="34">
        <v>25.5</v>
      </c>
      <c r="D73" s="34">
        <v>67.8</v>
      </c>
      <c r="E73" s="34">
        <v>8.6999999999999993</v>
      </c>
      <c r="F73" s="34">
        <v>20.8</v>
      </c>
      <c r="G73" s="34">
        <v>7.3</v>
      </c>
      <c r="I73" s="36">
        <f>B73/$B$72</f>
        <v>0.13524013287540115</v>
      </c>
    </row>
    <row r="74" spans="1:9" ht="15.95">
      <c r="A74" s="33" t="s">
        <v>449</v>
      </c>
      <c r="B74" s="23">
        <v>24</v>
      </c>
      <c r="C74" s="35" t="s">
        <v>390</v>
      </c>
      <c r="D74" s="35" t="s">
        <v>390</v>
      </c>
      <c r="E74" s="35" t="s">
        <v>390</v>
      </c>
      <c r="F74" s="35" t="s">
        <v>390</v>
      </c>
      <c r="G74" s="35" t="s">
        <v>390</v>
      </c>
    </row>
    <row r="75" spans="1:9" ht="15.95">
      <c r="A75" s="33" t="s">
        <v>450</v>
      </c>
      <c r="B75" s="23">
        <v>554</v>
      </c>
      <c r="C75" s="34">
        <v>38.9</v>
      </c>
      <c r="D75" s="34">
        <v>70.900000000000006</v>
      </c>
      <c r="E75" s="34">
        <v>9.6999999999999993</v>
      </c>
      <c r="F75" s="34">
        <v>16.600000000000001</v>
      </c>
      <c r="G75" s="34">
        <v>7.2</v>
      </c>
    </row>
    <row r="76" spans="1:9" ht="15.95">
      <c r="A76" s="33" t="s">
        <v>451</v>
      </c>
      <c r="B76" s="23">
        <v>105</v>
      </c>
      <c r="C76" s="34">
        <v>20.2</v>
      </c>
      <c r="D76" s="34">
        <v>68.5</v>
      </c>
      <c r="E76" s="34">
        <v>15.6</v>
      </c>
      <c r="F76" s="34">
        <v>12.6</v>
      </c>
      <c r="G76" s="34">
        <v>4.5999999999999996</v>
      </c>
    </row>
    <row r="77" spans="1:9" ht="15.95">
      <c r="A77" s="33" t="s">
        <v>452</v>
      </c>
      <c r="B77" s="23">
        <v>473</v>
      </c>
      <c r="C77" s="34">
        <v>21.2</v>
      </c>
      <c r="D77" s="34">
        <v>65.900000000000006</v>
      </c>
      <c r="E77" s="34">
        <v>7.1</v>
      </c>
      <c r="F77" s="34">
        <v>25.4</v>
      </c>
      <c r="G77" s="34">
        <v>5.3</v>
      </c>
    </row>
    <row r="78" spans="1:9" ht="15.95">
      <c r="A78" s="33" t="s">
        <v>453</v>
      </c>
      <c r="B78" s="23">
        <v>1536</v>
      </c>
      <c r="C78" s="34">
        <v>18.7</v>
      </c>
      <c r="D78" s="34">
        <v>59.3</v>
      </c>
      <c r="E78" s="34">
        <v>5.6</v>
      </c>
      <c r="F78" s="34">
        <v>32.4</v>
      </c>
      <c r="G78" s="34">
        <v>6.2</v>
      </c>
    </row>
    <row r="79" spans="1:9" ht="15.95">
      <c r="A79" s="33" t="s">
        <v>454</v>
      </c>
      <c r="B79" s="23">
        <v>204</v>
      </c>
      <c r="C79" s="34">
        <v>32.299999999999997</v>
      </c>
      <c r="D79" s="34">
        <v>82</v>
      </c>
      <c r="E79" s="34">
        <v>4.5</v>
      </c>
      <c r="F79" s="34">
        <v>9.8000000000000007</v>
      </c>
      <c r="G79" s="34">
        <v>5.8</v>
      </c>
    </row>
    <row r="80" spans="1:9" ht="15.95">
      <c r="A80" s="33" t="s">
        <v>455</v>
      </c>
      <c r="B80" s="23">
        <v>532</v>
      </c>
      <c r="C80" s="34">
        <v>27.1</v>
      </c>
      <c r="D80" s="34">
        <v>70.7</v>
      </c>
      <c r="E80" s="34">
        <v>14.6</v>
      </c>
      <c r="F80" s="34">
        <v>11.3</v>
      </c>
      <c r="G80" s="34">
        <v>10.3</v>
      </c>
    </row>
    <row r="81" spans="1:9" ht="15.95">
      <c r="A81" s="33" t="s">
        <v>456</v>
      </c>
      <c r="B81" s="23">
        <v>96</v>
      </c>
      <c r="C81" s="34">
        <v>40.6</v>
      </c>
      <c r="D81" s="34">
        <v>70.599999999999994</v>
      </c>
      <c r="E81" s="34">
        <v>10.1</v>
      </c>
      <c r="F81" s="34">
        <v>18.100000000000001</v>
      </c>
      <c r="G81" s="34">
        <v>6.2</v>
      </c>
    </row>
    <row r="82" spans="1:9" ht="15.95">
      <c r="A82" s="33" t="s">
        <v>457</v>
      </c>
      <c r="B82" s="23">
        <v>210</v>
      </c>
      <c r="C82" s="34">
        <v>23.5</v>
      </c>
      <c r="D82" s="34">
        <v>79.5</v>
      </c>
      <c r="E82" s="34">
        <v>6.3</v>
      </c>
      <c r="F82" s="34">
        <v>11.8</v>
      </c>
      <c r="G82" s="34">
        <v>10.9</v>
      </c>
    </row>
    <row r="83" spans="1:9" ht="15.95">
      <c r="A83" s="33" t="s">
        <v>458</v>
      </c>
      <c r="B83" s="23">
        <v>106</v>
      </c>
      <c r="C83" s="34">
        <v>4.2</v>
      </c>
      <c r="D83" s="34">
        <v>73.099999999999994</v>
      </c>
      <c r="E83" s="34">
        <v>10.6</v>
      </c>
      <c r="F83" s="34">
        <v>15.2</v>
      </c>
      <c r="G83" s="34">
        <v>3.1</v>
      </c>
    </row>
    <row r="84" spans="1:9" ht="15.95">
      <c r="A84" s="33" t="s">
        <v>459</v>
      </c>
      <c r="B84" s="23">
        <v>693</v>
      </c>
      <c r="C84" s="34">
        <v>22.6</v>
      </c>
      <c r="D84" s="34">
        <v>73.5</v>
      </c>
      <c r="E84" s="34">
        <v>11.4</v>
      </c>
      <c r="F84" s="34">
        <v>11.9</v>
      </c>
      <c r="G84" s="34">
        <v>9.6999999999999993</v>
      </c>
    </row>
    <row r="85" spans="1:9" ht="15.95">
      <c r="A85" s="33" t="s">
        <v>460</v>
      </c>
      <c r="B85" s="23">
        <v>29</v>
      </c>
      <c r="C85" s="35" t="s">
        <v>390</v>
      </c>
      <c r="D85" s="35" t="s">
        <v>390</v>
      </c>
      <c r="E85" s="35" t="s">
        <v>390</v>
      </c>
      <c r="F85" s="35" t="s">
        <v>390</v>
      </c>
      <c r="G85" s="35" t="s">
        <v>390</v>
      </c>
    </row>
    <row r="86" spans="1:9" ht="15.95">
      <c r="A86" s="33" t="s">
        <v>461</v>
      </c>
      <c r="B86" s="23">
        <v>3</v>
      </c>
      <c r="C86" s="35" t="s">
        <v>390</v>
      </c>
      <c r="D86" s="35" t="s">
        <v>390</v>
      </c>
      <c r="E86" s="35" t="s">
        <v>390</v>
      </c>
      <c r="F86" s="35" t="s">
        <v>390</v>
      </c>
      <c r="G86" s="35" t="s">
        <v>390</v>
      </c>
    </row>
    <row r="87" spans="1:9" ht="15.95">
      <c r="A87" s="33" t="s">
        <v>462</v>
      </c>
      <c r="B87" s="23">
        <v>147</v>
      </c>
      <c r="C87" s="34">
        <v>51.5</v>
      </c>
      <c r="D87" s="34">
        <v>70.900000000000006</v>
      </c>
      <c r="E87" s="34">
        <v>12.4</v>
      </c>
      <c r="F87" s="34">
        <v>15.3</v>
      </c>
      <c r="G87" s="34">
        <v>7.3</v>
      </c>
    </row>
    <row r="88" spans="1:9" ht="15.95">
      <c r="A88" s="33" t="s">
        <v>463</v>
      </c>
      <c r="B88" s="23">
        <v>87</v>
      </c>
      <c r="C88" s="34">
        <v>48.8</v>
      </c>
      <c r="D88" s="34">
        <v>63.1</v>
      </c>
      <c r="E88" s="34">
        <v>9</v>
      </c>
      <c r="F88" s="34">
        <v>22.4</v>
      </c>
      <c r="G88" s="34">
        <v>6.4</v>
      </c>
    </row>
    <row r="89" spans="1:9" ht="15.95">
      <c r="A89" s="33" t="s">
        <v>464</v>
      </c>
      <c r="B89" s="23">
        <v>3</v>
      </c>
      <c r="C89" s="35" t="s">
        <v>390</v>
      </c>
      <c r="D89" s="35" t="s">
        <v>390</v>
      </c>
      <c r="E89" s="35" t="s">
        <v>390</v>
      </c>
      <c r="F89" s="35" t="s">
        <v>390</v>
      </c>
      <c r="G89" s="35" t="s">
        <v>390</v>
      </c>
    </row>
    <row r="90" spans="1:9" ht="18" customHeight="1">
      <c r="A90" s="32" t="s">
        <v>465</v>
      </c>
      <c r="B90" s="23">
        <v>3224</v>
      </c>
      <c r="C90" s="34">
        <v>16.2</v>
      </c>
      <c r="D90" s="34">
        <v>79.3</v>
      </c>
      <c r="E90" s="34">
        <v>5.6</v>
      </c>
      <c r="F90" s="34">
        <v>12.7</v>
      </c>
      <c r="G90" s="34">
        <v>8.6999999999999993</v>
      </c>
      <c r="I90" s="36">
        <f>B90/$B$72</f>
        <v>9.0760655368504028E-2</v>
      </c>
    </row>
    <row r="91" spans="1:9" ht="15.95">
      <c r="A91" s="33" t="s">
        <v>466</v>
      </c>
      <c r="B91" s="23">
        <v>253</v>
      </c>
      <c r="C91" s="34">
        <v>28.6</v>
      </c>
      <c r="D91" s="34">
        <v>82.5</v>
      </c>
      <c r="E91" s="34">
        <v>2.1</v>
      </c>
      <c r="F91" s="34">
        <v>14</v>
      </c>
      <c r="G91" s="34">
        <v>7.7</v>
      </c>
    </row>
    <row r="92" spans="1:9" ht="15.95">
      <c r="A92" s="33" t="s">
        <v>467</v>
      </c>
      <c r="B92" s="23">
        <v>43</v>
      </c>
      <c r="C92" s="35" t="s">
        <v>390</v>
      </c>
      <c r="D92" s="35" t="s">
        <v>390</v>
      </c>
      <c r="E92" s="35" t="s">
        <v>390</v>
      </c>
      <c r="F92" s="35" t="s">
        <v>390</v>
      </c>
      <c r="G92" s="35" t="s">
        <v>390</v>
      </c>
    </row>
    <row r="93" spans="1:9" ht="15.95">
      <c r="A93" s="33" t="s">
        <v>468</v>
      </c>
      <c r="B93" s="23">
        <v>148</v>
      </c>
      <c r="C93" s="34">
        <v>8.9</v>
      </c>
      <c r="D93" s="34">
        <v>79.099999999999994</v>
      </c>
      <c r="E93" s="34">
        <v>8.1</v>
      </c>
      <c r="F93" s="34">
        <v>11.4</v>
      </c>
      <c r="G93" s="34">
        <v>5.5</v>
      </c>
    </row>
    <row r="94" spans="1:9" ht="15.95">
      <c r="A94" s="33" t="s">
        <v>469</v>
      </c>
      <c r="B94" s="23">
        <v>2</v>
      </c>
      <c r="C94" s="35" t="s">
        <v>390</v>
      </c>
      <c r="D94" s="35" t="s">
        <v>390</v>
      </c>
      <c r="E94" s="35" t="s">
        <v>390</v>
      </c>
      <c r="F94" s="35" t="s">
        <v>390</v>
      </c>
      <c r="G94" s="35" t="s">
        <v>390</v>
      </c>
    </row>
    <row r="95" spans="1:9" ht="15.95">
      <c r="A95" s="33" t="s">
        <v>470</v>
      </c>
      <c r="B95" s="23">
        <v>17</v>
      </c>
      <c r="C95" s="35" t="s">
        <v>390</v>
      </c>
      <c r="D95" s="35" t="s">
        <v>390</v>
      </c>
      <c r="E95" s="35" t="s">
        <v>390</v>
      </c>
      <c r="F95" s="35" t="s">
        <v>390</v>
      </c>
      <c r="G95" s="35" t="s">
        <v>390</v>
      </c>
    </row>
    <row r="96" spans="1:9" ht="15.95">
      <c r="A96" s="33" t="s">
        <v>471</v>
      </c>
      <c r="B96" s="23">
        <v>77</v>
      </c>
      <c r="C96" s="34">
        <v>16.899999999999999</v>
      </c>
      <c r="D96" s="34">
        <v>91</v>
      </c>
      <c r="E96" s="34">
        <v>1.7</v>
      </c>
      <c r="F96" s="34">
        <v>7</v>
      </c>
      <c r="G96" s="34">
        <v>4.0999999999999996</v>
      </c>
    </row>
    <row r="97" spans="1:7" ht="15.95">
      <c r="A97" s="33" t="s">
        <v>472</v>
      </c>
      <c r="B97" s="23">
        <v>461</v>
      </c>
      <c r="C97" s="34">
        <v>14.4</v>
      </c>
      <c r="D97" s="34">
        <v>82.5</v>
      </c>
      <c r="E97" s="34">
        <v>6.4</v>
      </c>
      <c r="F97" s="34">
        <v>7.1</v>
      </c>
      <c r="G97" s="34">
        <v>10.7</v>
      </c>
    </row>
    <row r="98" spans="1:7" ht="15.95">
      <c r="A98" s="33" t="s">
        <v>473</v>
      </c>
      <c r="B98" s="23">
        <v>80</v>
      </c>
      <c r="C98" s="34">
        <v>17.2</v>
      </c>
      <c r="D98" s="34">
        <v>55.4</v>
      </c>
      <c r="E98" s="34">
        <v>5.8</v>
      </c>
      <c r="F98" s="34">
        <v>38.299999999999997</v>
      </c>
      <c r="G98" s="34">
        <v>7.8</v>
      </c>
    </row>
    <row r="99" spans="1:7" ht="15.95">
      <c r="A99" s="33" t="s">
        <v>474</v>
      </c>
      <c r="B99" s="23">
        <v>284</v>
      </c>
      <c r="C99" s="34">
        <v>12.3</v>
      </c>
      <c r="D99" s="34">
        <v>74.599999999999994</v>
      </c>
      <c r="E99" s="34">
        <v>3.5</v>
      </c>
      <c r="F99" s="34">
        <v>19.5</v>
      </c>
      <c r="G99" s="34">
        <v>9</v>
      </c>
    </row>
    <row r="100" spans="1:7" ht="15.95">
      <c r="A100" s="33" t="s">
        <v>475</v>
      </c>
      <c r="B100" s="23">
        <v>38</v>
      </c>
      <c r="C100" s="35" t="s">
        <v>390</v>
      </c>
      <c r="D100" s="35" t="s">
        <v>390</v>
      </c>
      <c r="E100" s="35" t="s">
        <v>390</v>
      </c>
      <c r="F100" s="35" t="s">
        <v>390</v>
      </c>
      <c r="G100" s="35" t="s">
        <v>390</v>
      </c>
    </row>
    <row r="101" spans="1:7" ht="15.95">
      <c r="A101" s="33" t="s">
        <v>476</v>
      </c>
      <c r="B101" s="23">
        <v>221</v>
      </c>
      <c r="C101" s="34">
        <v>22.6</v>
      </c>
      <c r="D101" s="34">
        <v>80.8</v>
      </c>
      <c r="E101" s="34">
        <v>5.3</v>
      </c>
      <c r="F101" s="34">
        <v>11.6</v>
      </c>
      <c r="G101" s="34">
        <v>6.2</v>
      </c>
    </row>
    <row r="102" spans="1:7" ht="15.95">
      <c r="A102" s="33" t="s">
        <v>477</v>
      </c>
      <c r="B102" s="23">
        <v>12</v>
      </c>
      <c r="C102" s="35" t="s">
        <v>390</v>
      </c>
      <c r="D102" s="35" t="s">
        <v>390</v>
      </c>
      <c r="E102" s="35" t="s">
        <v>390</v>
      </c>
      <c r="F102" s="35" t="s">
        <v>390</v>
      </c>
      <c r="G102" s="35" t="s">
        <v>390</v>
      </c>
    </row>
    <row r="103" spans="1:7" ht="15.95">
      <c r="A103" s="33" t="s">
        <v>478</v>
      </c>
      <c r="B103" s="23">
        <v>32</v>
      </c>
      <c r="C103" s="35" t="s">
        <v>390</v>
      </c>
      <c r="D103" s="35" t="s">
        <v>390</v>
      </c>
      <c r="E103" s="35" t="s">
        <v>390</v>
      </c>
      <c r="F103" s="35" t="s">
        <v>390</v>
      </c>
      <c r="G103" s="35" t="s">
        <v>390</v>
      </c>
    </row>
    <row r="104" spans="1:7" ht="15.95">
      <c r="A104" s="33" t="s">
        <v>479</v>
      </c>
      <c r="B104" s="23">
        <v>344</v>
      </c>
      <c r="C104" s="34">
        <v>9.1999999999999993</v>
      </c>
      <c r="D104" s="34">
        <v>84.2</v>
      </c>
      <c r="E104" s="34">
        <v>3.6</v>
      </c>
      <c r="F104" s="34">
        <v>11.1</v>
      </c>
      <c r="G104" s="34">
        <v>6</v>
      </c>
    </row>
    <row r="105" spans="1:7" ht="15.95">
      <c r="A105" s="33" t="s">
        <v>480</v>
      </c>
      <c r="B105" s="23">
        <v>11</v>
      </c>
      <c r="C105" s="35" t="s">
        <v>390</v>
      </c>
      <c r="D105" s="35" t="s">
        <v>390</v>
      </c>
      <c r="E105" s="35" t="s">
        <v>390</v>
      </c>
      <c r="F105" s="35" t="s">
        <v>390</v>
      </c>
      <c r="G105" s="35" t="s">
        <v>390</v>
      </c>
    </row>
    <row r="106" spans="1:7" ht="15.95">
      <c r="A106" s="33" t="s">
        <v>481</v>
      </c>
      <c r="B106" s="23">
        <v>8</v>
      </c>
      <c r="C106" s="35" t="s">
        <v>390</v>
      </c>
      <c r="D106" s="35" t="s">
        <v>390</v>
      </c>
      <c r="E106" s="35" t="s">
        <v>390</v>
      </c>
      <c r="F106" s="35" t="s">
        <v>390</v>
      </c>
      <c r="G106" s="35" t="s">
        <v>390</v>
      </c>
    </row>
    <row r="107" spans="1:7" ht="15.95">
      <c r="A107" s="33" t="s">
        <v>482</v>
      </c>
      <c r="B107" s="23">
        <v>24</v>
      </c>
      <c r="C107" s="35" t="s">
        <v>390</v>
      </c>
      <c r="D107" s="35" t="s">
        <v>390</v>
      </c>
      <c r="E107" s="35" t="s">
        <v>390</v>
      </c>
      <c r="F107" s="35" t="s">
        <v>390</v>
      </c>
      <c r="G107" s="35" t="s">
        <v>390</v>
      </c>
    </row>
    <row r="108" spans="1:7" ht="15.95">
      <c r="A108" s="33" t="s">
        <v>483</v>
      </c>
      <c r="B108" s="23">
        <v>582</v>
      </c>
      <c r="C108" s="34">
        <v>14.1</v>
      </c>
      <c r="D108" s="34">
        <v>73.099999999999994</v>
      </c>
      <c r="E108" s="34">
        <v>6.9</v>
      </c>
      <c r="F108" s="34">
        <v>17.8</v>
      </c>
      <c r="G108" s="34">
        <v>9.4</v>
      </c>
    </row>
    <row r="109" spans="1:7" ht="15.95">
      <c r="A109" s="33" t="s">
        <v>484</v>
      </c>
      <c r="B109" s="23">
        <v>137</v>
      </c>
      <c r="C109" s="34">
        <v>20.8</v>
      </c>
      <c r="D109" s="34">
        <v>89.9</v>
      </c>
      <c r="E109" s="34">
        <v>6.2</v>
      </c>
      <c r="F109" s="34">
        <v>2.4</v>
      </c>
      <c r="G109" s="34">
        <v>16.5</v>
      </c>
    </row>
    <row r="110" spans="1:7" ht="15.95">
      <c r="A110" s="33" t="s">
        <v>485</v>
      </c>
      <c r="B110" s="23">
        <v>375</v>
      </c>
      <c r="C110" s="34">
        <v>20</v>
      </c>
      <c r="D110" s="34">
        <v>76.900000000000006</v>
      </c>
      <c r="E110" s="34">
        <v>8.9</v>
      </c>
      <c r="F110" s="34">
        <v>10.7</v>
      </c>
      <c r="G110" s="34">
        <v>10.3</v>
      </c>
    </row>
    <row r="111" spans="1:7" ht="15.95">
      <c r="A111" s="33" t="s">
        <v>486</v>
      </c>
      <c r="B111" s="23">
        <v>73</v>
      </c>
      <c r="C111" s="34">
        <v>4.5999999999999996</v>
      </c>
      <c r="D111" s="34">
        <v>90.3</v>
      </c>
      <c r="E111" s="34">
        <v>2.1</v>
      </c>
      <c r="F111" s="34">
        <v>1.7</v>
      </c>
      <c r="G111" s="34">
        <v>10.1</v>
      </c>
    </row>
    <row r="112" spans="1:7" ht="18" customHeight="1">
      <c r="A112" s="32" t="s">
        <v>487</v>
      </c>
      <c r="B112" s="23">
        <v>1431</v>
      </c>
      <c r="C112" s="34">
        <v>47.4</v>
      </c>
      <c r="D112" s="34">
        <v>76.400000000000006</v>
      </c>
      <c r="E112" s="34">
        <v>5.7</v>
      </c>
      <c r="F112" s="34">
        <v>15.8</v>
      </c>
      <c r="G112" s="34">
        <v>9</v>
      </c>
    </row>
    <row r="113" spans="1:7" ht="15.95">
      <c r="A113" s="33" t="s">
        <v>488</v>
      </c>
      <c r="B113" s="23">
        <v>32</v>
      </c>
      <c r="C113" s="35" t="s">
        <v>390</v>
      </c>
      <c r="D113" s="35" t="s">
        <v>390</v>
      </c>
      <c r="E113" s="35" t="s">
        <v>390</v>
      </c>
      <c r="F113" s="35" t="s">
        <v>390</v>
      </c>
      <c r="G113" s="35" t="s">
        <v>390</v>
      </c>
    </row>
    <row r="114" spans="1:7" ht="15.95">
      <c r="A114" s="33" t="s">
        <v>489</v>
      </c>
      <c r="B114" s="23">
        <v>98</v>
      </c>
      <c r="C114" s="34">
        <v>54.4</v>
      </c>
      <c r="D114" s="34">
        <v>81.2</v>
      </c>
      <c r="E114" s="34">
        <v>3.1</v>
      </c>
      <c r="F114" s="34">
        <v>13.1</v>
      </c>
      <c r="G114" s="34">
        <v>7.9</v>
      </c>
    </row>
    <row r="115" spans="1:7" ht="15.95">
      <c r="A115" s="33" t="s">
        <v>490</v>
      </c>
      <c r="B115" s="23">
        <v>29</v>
      </c>
      <c r="C115" s="35" t="s">
        <v>390</v>
      </c>
      <c r="D115" s="35" t="s">
        <v>390</v>
      </c>
      <c r="E115" s="35" t="s">
        <v>390</v>
      </c>
      <c r="F115" s="35" t="s">
        <v>390</v>
      </c>
      <c r="G115" s="35" t="s">
        <v>390</v>
      </c>
    </row>
    <row r="116" spans="1:7" ht="15.95">
      <c r="A116" s="33" t="s">
        <v>491</v>
      </c>
      <c r="B116" s="23">
        <v>161</v>
      </c>
      <c r="C116" s="34">
        <v>52.1</v>
      </c>
      <c r="D116" s="34">
        <v>66.400000000000006</v>
      </c>
      <c r="E116" s="34">
        <v>6.6</v>
      </c>
      <c r="F116" s="34">
        <v>26.2</v>
      </c>
      <c r="G116" s="34">
        <v>6.7</v>
      </c>
    </row>
    <row r="117" spans="1:7" ht="15.95">
      <c r="A117" s="33" t="s">
        <v>492</v>
      </c>
      <c r="B117" s="23">
        <v>3</v>
      </c>
      <c r="C117" s="35" t="s">
        <v>390</v>
      </c>
      <c r="D117" s="35" t="s">
        <v>390</v>
      </c>
      <c r="E117" s="35" t="s">
        <v>390</v>
      </c>
      <c r="F117" s="35" t="s">
        <v>390</v>
      </c>
      <c r="G117" s="35" t="s">
        <v>390</v>
      </c>
    </row>
    <row r="118" spans="1:7" ht="15.95">
      <c r="A118" s="33" t="s">
        <v>493</v>
      </c>
      <c r="B118" s="23">
        <v>18</v>
      </c>
      <c r="C118" s="35" t="s">
        <v>390</v>
      </c>
      <c r="D118" s="35" t="s">
        <v>390</v>
      </c>
      <c r="E118" s="35" t="s">
        <v>390</v>
      </c>
      <c r="F118" s="35" t="s">
        <v>390</v>
      </c>
      <c r="G118" s="35" t="s">
        <v>390</v>
      </c>
    </row>
    <row r="119" spans="1:7" ht="15.95">
      <c r="A119" s="33" t="s">
        <v>494</v>
      </c>
      <c r="B119" s="23">
        <v>7</v>
      </c>
      <c r="C119" s="35" t="s">
        <v>390</v>
      </c>
      <c r="D119" s="35" t="s">
        <v>390</v>
      </c>
      <c r="E119" s="35" t="s">
        <v>390</v>
      </c>
      <c r="F119" s="35" t="s">
        <v>390</v>
      </c>
      <c r="G119" s="35" t="s">
        <v>390</v>
      </c>
    </row>
    <row r="120" spans="1:7" ht="15.95">
      <c r="A120" s="33" t="s">
        <v>495</v>
      </c>
      <c r="B120" s="23">
        <v>105</v>
      </c>
      <c r="C120" s="34">
        <v>38.299999999999997</v>
      </c>
      <c r="D120" s="34">
        <v>66.7</v>
      </c>
      <c r="E120" s="34">
        <v>11.3</v>
      </c>
      <c r="F120" s="34">
        <v>20.8</v>
      </c>
      <c r="G120" s="34">
        <v>5.9</v>
      </c>
    </row>
    <row r="121" spans="1:7" ht="15.95">
      <c r="A121" s="33" t="s">
        <v>496</v>
      </c>
      <c r="B121" s="23">
        <v>84</v>
      </c>
      <c r="C121" s="34">
        <v>35.799999999999997</v>
      </c>
      <c r="D121" s="34">
        <v>90.8</v>
      </c>
      <c r="E121" s="34">
        <v>5</v>
      </c>
      <c r="F121" s="34">
        <v>0.7</v>
      </c>
      <c r="G121" s="34">
        <v>4.8</v>
      </c>
    </row>
    <row r="122" spans="1:7" ht="15.95">
      <c r="A122" s="33" t="s">
        <v>497</v>
      </c>
      <c r="B122" s="23">
        <v>301</v>
      </c>
      <c r="C122" s="34">
        <v>47.3</v>
      </c>
      <c r="D122" s="34">
        <v>61.2</v>
      </c>
      <c r="E122" s="34">
        <v>4</v>
      </c>
      <c r="F122" s="34">
        <v>32.1</v>
      </c>
      <c r="G122" s="34">
        <v>7.9</v>
      </c>
    </row>
    <row r="123" spans="1:7" ht="15.95">
      <c r="A123" s="33" t="s">
        <v>498</v>
      </c>
      <c r="B123" s="23">
        <v>28</v>
      </c>
      <c r="C123" s="35" t="s">
        <v>390</v>
      </c>
      <c r="D123" s="35" t="s">
        <v>390</v>
      </c>
      <c r="E123" s="35" t="s">
        <v>390</v>
      </c>
      <c r="F123" s="35" t="s">
        <v>390</v>
      </c>
      <c r="G123" s="35" t="s">
        <v>390</v>
      </c>
    </row>
    <row r="124" spans="1:7" ht="15.95">
      <c r="A124" s="33" t="s">
        <v>499</v>
      </c>
      <c r="B124" s="23">
        <v>3</v>
      </c>
      <c r="C124" s="35" t="s">
        <v>390</v>
      </c>
      <c r="D124" s="35" t="s">
        <v>390</v>
      </c>
      <c r="E124" s="35" t="s">
        <v>390</v>
      </c>
      <c r="F124" s="35" t="s">
        <v>390</v>
      </c>
      <c r="G124" s="35" t="s">
        <v>390</v>
      </c>
    </row>
    <row r="125" spans="1:7" ht="15.95">
      <c r="A125" s="33" t="s">
        <v>500</v>
      </c>
      <c r="B125" s="23">
        <v>187</v>
      </c>
      <c r="C125" s="34">
        <v>68.900000000000006</v>
      </c>
      <c r="D125" s="34">
        <v>89.5</v>
      </c>
      <c r="E125" s="34">
        <v>6.5</v>
      </c>
      <c r="F125" s="34">
        <v>3.6</v>
      </c>
      <c r="G125" s="34">
        <v>8.5</v>
      </c>
    </row>
    <row r="126" spans="1:7" ht="15.95">
      <c r="A126" s="33" t="s">
        <v>501</v>
      </c>
      <c r="B126" s="23">
        <v>2</v>
      </c>
      <c r="C126" s="35" t="s">
        <v>390</v>
      </c>
      <c r="D126" s="35" t="s">
        <v>390</v>
      </c>
      <c r="E126" s="35" t="s">
        <v>390</v>
      </c>
      <c r="F126" s="35" t="s">
        <v>390</v>
      </c>
      <c r="G126" s="35" t="s">
        <v>390</v>
      </c>
    </row>
    <row r="127" spans="1:7" ht="15.95">
      <c r="A127" s="33" t="s">
        <v>502</v>
      </c>
      <c r="B127" s="23">
        <v>32</v>
      </c>
      <c r="C127" s="35" t="s">
        <v>390</v>
      </c>
      <c r="D127" s="35" t="s">
        <v>390</v>
      </c>
      <c r="E127" s="35" t="s">
        <v>390</v>
      </c>
      <c r="F127" s="35" t="s">
        <v>390</v>
      </c>
      <c r="G127" s="35" t="s">
        <v>390</v>
      </c>
    </row>
    <row r="128" spans="1:7" ht="15.95">
      <c r="A128" s="33" t="s">
        <v>503</v>
      </c>
      <c r="B128" s="23">
        <v>41</v>
      </c>
      <c r="C128" s="35" t="s">
        <v>390</v>
      </c>
      <c r="D128" s="35" t="s">
        <v>390</v>
      </c>
      <c r="E128" s="35" t="s">
        <v>390</v>
      </c>
      <c r="F128" s="35" t="s">
        <v>390</v>
      </c>
      <c r="G128" s="35" t="s">
        <v>390</v>
      </c>
    </row>
    <row r="129" spans="1:7" ht="15.95">
      <c r="A129" s="33" t="s">
        <v>504</v>
      </c>
      <c r="B129" s="23">
        <v>32</v>
      </c>
      <c r="C129" s="35" t="s">
        <v>390</v>
      </c>
      <c r="D129" s="35" t="s">
        <v>390</v>
      </c>
      <c r="E129" s="35" t="s">
        <v>390</v>
      </c>
      <c r="F129" s="35" t="s">
        <v>390</v>
      </c>
      <c r="G129" s="35" t="s">
        <v>390</v>
      </c>
    </row>
    <row r="130" spans="1:7" ht="15.95">
      <c r="A130" s="33" t="s">
        <v>505</v>
      </c>
      <c r="B130" s="23">
        <v>23</v>
      </c>
      <c r="C130" s="35" t="s">
        <v>390</v>
      </c>
      <c r="D130" s="35" t="s">
        <v>390</v>
      </c>
      <c r="E130" s="35" t="s">
        <v>390</v>
      </c>
      <c r="F130" s="35" t="s">
        <v>390</v>
      </c>
      <c r="G130" s="35" t="s">
        <v>390</v>
      </c>
    </row>
    <row r="131" spans="1:7" ht="15.95">
      <c r="A131" s="33" t="s">
        <v>506</v>
      </c>
      <c r="B131" s="23">
        <v>57</v>
      </c>
      <c r="C131" s="34">
        <v>27.4</v>
      </c>
      <c r="D131" s="34">
        <v>79.8</v>
      </c>
      <c r="E131" s="34">
        <v>7.3</v>
      </c>
      <c r="F131" s="34">
        <v>7.8</v>
      </c>
      <c r="G131" s="34">
        <v>14.3</v>
      </c>
    </row>
    <row r="132" spans="1:7" ht="15.95">
      <c r="A132" s="33" t="s">
        <v>507</v>
      </c>
      <c r="B132" s="23">
        <v>13</v>
      </c>
      <c r="C132" s="35" t="s">
        <v>390</v>
      </c>
      <c r="D132" s="35" t="s">
        <v>390</v>
      </c>
      <c r="E132" s="35" t="s">
        <v>390</v>
      </c>
      <c r="F132" s="35" t="s">
        <v>390</v>
      </c>
      <c r="G132" s="35" t="s">
        <v>390</v>
      </c>
    </row>
    <row r="133" spans="1:7" ht="15.95">
      <c r="A133" s="33" t="s">
        <v>508</v>
      </c>
      <c r="B133" s="23">
        <v>7</v>
      </c>
      <c r="C133" s="35" t="s">
        <v>390</v>
      </c>
      <c r="D133" s="35" t="s">
        <v>390</v>
      </c>
      <c r="E133" s="35" t="s">
        <v>390</v>
      </c>
      <c r="F133" s="35" t="s">
        <v>390</v>
      </c>
      <c r="G133" s="35" t="s">
        <v>390</v>
      </c>
    </row>
    <row r="134" spans="1:7" ht="15.95">
      <c r="A134" s="33" t="s">
        <v>509</v>
      </c>
      <c r="B134" s="23">
        <v>4</v>
      </c>
      <c r="C134" s="35" t="s">
        <v>390</v>
      </c>
      <c r="D134" s="35" t="s">
        <v>390</v>
      </c>
      <c r="E134" s="35" t="s">
        <v>390</v>
      </c>
      <c r="F134" s="35" t="s">
        <v>390</v>
      </c>
      <c r="G134" s="35" t="s">
        <v>390</v>
      </c>
    </row>
    <row r="135" spans="1:7" ht="15.95">
      <c r="A135" s="33" t="s">
        <v>510</v>
      </c>
      <c r="B135" s="23">
        <v>164</v>
      </c>
      <c r="C135" s="34">
        <v>47.7</v>
      </c>
      <c r="D135" s="34">
        <v>80.2</v>
      </c>
      <c r="E135" s="34">
        <v>5.7</v>
      </c>
      <c r="F135" s="34">
        <v>11.8</v>
      </c>
      <c r="G135" s="34">
        <v>13.4</v>
      </c>
    </row>
    <row r="136" spans="1:7" ht="18" customHeight="1">
      <c r="A136" s="32" t="s">
        <v>511</v>
      </c>
      <c r="B136" s="23">
        <v>2635</v>
      </c>
      <c r="C136" s="34">
        <v>66.099999999999994</v>
      </c>
      <c r="D136" s="34">
        <v>73.099999999999994</v>
      </c>
      <c r="E136" s="34">
        <v>19.899999999999999</v>
      </c>
      <c r="F136" s="34">
        <v>3.8</v>
      </c>
      <c r="G136" s="34">
        <v>12.4</v>
      </c>
    </row>
    <row r="137" spans="1:7" ht="15.95">
      <c r="A137" s="33" t="s">
        <v>512</v>
      </c>
      <c r="B137" s="23">
        <v>853</v>
      </c>
      <c r="C137" s="34">
        <v>72.3</v>
      </c>
      <c r="D137" s="34">
        <v>72.3</v>
      </c>
      <c r="E137" s="34">
        <v>21.4</v>
      </c>
      <c r="F137" s="34">
        <v>2.9</v>
      </c>
      <c r="G137" s="34">
        <v>13</v>
      </c>
    </row>
    <row r="138" spans="1:7" ht="15.95">
      <c r="A138" s="33" t="s">
        <v>513</v>
      </c>
      <c r="B138" s="23">
        <v>802</v>
      </c>
      <c r="C138" s="34">
        <v>82.5</v>
      </c>
      <c r="D138" s="34">
        <v>69.5</v>
      </c>
      <c r="E138" s="34">
        <v>23.5</v>
      </c>
      <c r="F138" s="34">
        <v>4</v>
      </c>
      <c r="G138" s="34">
        <v>14</v>
      </c>
    </row>
    <row r="139" spans="1:7" ht="15.95">
      <c r="A139" s="33" t="s">
        <v>514</v>
      </c>
      <c r="B139" s="23">
        <v>99</v>
      </c>
      <c r="C139" s="34">
        <v>63.5</v>
      </c>
      <c r="D139" s="34">
        <v>63.8</v>
      </c>
      <c r="E139" s="34">
        <v>26.7</v>
      </c>
      <c r="F139" s="34">
        <v>5.3</v>
      </c>
      <c r="G139" s="34">
        <v>11.1</v>
      </c>
    </row>
    <row r="140" spans="1:7" ht="15.95">
      <c r="A140" s="33" t="s">
        <v>515</v>
      </c>
      <c r="B140" s="23">
        <v>232</v>
      </c>
      <c r="C140" s="34">
        <v>75.3</v>
      </c>
      <c r="D140" s="34">
        <v>68.400000000000006</v>
      </c>
      <c r="E140" s="34">
        <v>22.8</v>
      </c>
      <c r="F140" s="34">
        <v>3.1</v>
      </c>
      <c r="G140" s="34">
        <v>19</v>
      </c>
    </row>
    <row r="141" spans="1:7" ht="32.1">
      <c r="A141" s="33" t="s">
        <v>516</v>
      </c>
      <c r="B141" s="23">
        <v>76</v>
      </c>
      <c r="C141" s="34">
        <v>74.8</v>
      </c>
      <c r="D141" s="34">
        <v>68.900000000000006</v>
      </c>
      <c r="E141" s="34">
        <v>19.600000000000001</v>
      </c>
      <c r="F141" s="34">
        <v>7</v>
      </c>
      <c r="G141" s="34">
        <v>17.3</v>
      </c>
    </row>
    <row r="142" spans="1:7" ht="15.95">
      <c r="A142" s="33" t="s">
        <v>517</v>
      </c>
      <c r="B142" s="23">
        <v>406</v>
      </c>
      <c r="C142" s="34">
        <v>17</v>
      </c>
      <c r="D142" s="34">
        <v>81.3</v>
      </c>
      <c r="E142" s="34">
        <v>12.1</v>
      </c>
      <c r="F142" s="34">
        <v>4.5999999999999996</v>
      </c>
      <c r="G142" s="34">
        <v>6.1</v>
      </c>
    </row>
    <row r="143" spans="1:7" ht="15.95">
      <c r="A143" s="33" t="s">
        <v>518</v>
      </c>
      <c r="B143" s="23">
        <v>81</v>
      </c>
      <c r="C143" s="34">
        <v>54.1</v>
      </c>
      <c r="D143" s="34">
        <v>88.9</v>
      </c>
      <c r="E143" s="34">
        <v>7.1</v>
      </c>
      <c r="F143" s="34">
        <v>3.6</v>
      </c>
      <c r="G143" s="34">
        <v>6</v>
      </c>
    </row>
    <row r="144" spans="1:7" ht="15.95">
      <c r="A144" s="33" t="s">
        <v>519</v>
      </c>
      <c r="B144" s="23">
        <v>85</v>
      </c>
      <c r="C144" s="34">
        <v>65.3</v>
      </c>
      <c r="D144" s="34">
        <v>86.7</v>
      </c>
      <c r="E144" s="34">
        <v>5</v>
      </c>
      <c r="F144" s="34">
        <v>5.2</v>
      </c>
      <c r="G144" s="34">
        <v>5</v>
      </c>
    </row>
    <row r="145" spans="1:9" ht="18" customHeight="1">
      <c r="A145" s="32" t="s">
        <v>520</v>
      </c>
      <c r="B145" s="23">
        <v>1827</v>
      </c>
      <c r="C145" s="34">
        <v>52.8</v>
      </c>
      <c r="D145" s="34">
        <v>86.6</v>
      </c>
      <c r="E145" s="34">
        <v>6.9</v>
      </c>
      <c r="F145" s="34">
        <v>4.3</v>
      </c>
      <c r="G145" s="34">
        <v>8.6</v>
      </c>
      <c r="I145" s="36">
        <f>B145/$B$72</f>
        <v>5.1432914813355102E-2</v>
      </c>
    </row>
    <row r="146" spans="1:9" ht="15.95">
      <c r="A146" s="33" t="s">
        <v>521</v>
      </c>
      <c r="B146" s="23">
        <v>1137</v>
      </c>
      <c r="C146" s="34">
        <v>37.4</v>
      </c>
      <c r="D146" s="34">
        <v>88.6</v>
      </c>
      <c r="E146" s="34">
        <v>5.6</v>
      </c>
      <c r="F146" s="34">
        <v>4.4000000000000004</v>
      </c>
      <c r="G146" s="34">
        <v>4.8</v>
      </c>
    </row>
    <row r="147" spans="1:9" ht="15.95">
      <c r="A147" s="33" t="s">
        <v>522</v>
      </c>
      <c r="B147" s="23">
        <v>14</v>
      </c>
      <c r="C147" s="35" t="s">
        <v>390</v>
      </c>
      <c r="D147" s="35" t="s">
        <v>390</v>
      </c>
      <c r="E147" s="35" t="s">
        <v>390</v>
      </c>
      <c r="F147" s="35" t="s">
        <v>390</v>
      </c>
      <c r="G147" s="35" t="s">
        <v>390</v>
      </c>
    </row>
    <row r="148" spans="1:9" ht="15.95">
      <c r="A148" s="33" t="s">
        <v>523</v>
      </c>
      <c r="B148" s="23">
        <v>66</v>
      </c>
      <c r="C148" s="34">
        <v>28.1</v>
      </c>
      <c r="D148" s="34">
        <v>87.3</v>
      </c>
      <c r="E148" s="34">
        <v>12.7</v>
      </c>
      <c r="F148" s="34">
        <v>0</v>
      </c>
      <c r="G148" s="34">
        <v>7</v>
      </c>
    </row>
    <row r="149" spans="1:9" ht="15.95">
      <c r="A149" s="33" t="s">
        <v>524</v>
      </c>
      <c r="B149" s="23">
        <v>424</v>
      </c>
      <c r="C149" s="34">
        <v>86.3</v>
      </c>
      <c r="D149" s="34">
        <v>82.9</v>
      </c>
      <c r="E149" s="34">
        <v>7.7</v>
      </c>
      <c r="F149" s="34">
        <v>4.8</v>
      </c>
      <c r="G149" s="34">
        <v>17.5</v>
      </c>
    </row>
    <row r="150" spans="1:9" ht="15.95">
      <c r="A150" s="33" t="s">
        <v>525</v>
      </c>
      <c r="B150" s="23">
        <v>186</v>
      </c>
      <c r="C150" s="34">
        <v>80.2</v>
      </c>
      <c r="D150" s="34">
        <v>83.7</v>
      </c>
      <c r="E150" s="34">
        <v>10.8</v>
      </c>
      <c r="F150" s="34">
        <v>3</v>
      </c>
      <c r="G150" s="34">
        <v>12.9</v>
      </c>
    </row>
    <row r="151" spans="1:9" ht="18" customHeight="1">
      <c r="A151" s="32" t="s">
        <v>526</v>
      </c>
      <c r="B151" s="23">
        <v>9215</v>
      </c>
      <c r="C151" s="34">
        <v>73</v>
      </c>
      <c r="D151" s="34">
        <v>82</v>
      </c>
      <c r="E151" s="34">
        <v>10.7</v>
      </c>
      <c r="F151" s="34">
        <v>4.9000000000000004</v>
      </c>
      <c r="G151" s="34">
        <v>10.5</v>
      </c>
    </row>
    <row r="152" spans="1:9" ht="15.95">
      <c r="A152" s="33" t="s">
        <v>527</v>
      </c>
      <c r="B152" s="23">
        <v>1423</v>
      </c>
      <c r="C152" s="34">
        <v>47</v>
      </c>
      <c r="D152" s="34">
        <v>77.7</v>
      </c>
      <c r="E152" s="34">
        <v>8.4</v>
      </c>
      <c r="F152" s="34">
        <v>11.7</v>
      </c>
      <c r="G152" s="34">
        <v>6.4</v>
      </c>
    </row>
    <row r="153" spans="1:9" ht="15.95">
      <c r="A153" s="33" t="s">
        <v>528</v>
      </c>
      <c r="B153" s="23">
        <v>712</v>
      </c>
      <c r="C153" s="34">
        <v>97.7</v>
      </c>
      <c r="D153" s="34">
        <v>77.099999999999994</v>
      </c>
      <c r="E153" s="34">
        <v>16.2</v>
      </c>
      <c r="F153" s="34">
        <v>3.4</v>
      </c>
      <c r="G153" s="34">
        <v>14.1</v>
      </c>
    </row>
    <row r="154" spans="1:9" ht="15.95">
      <c r="A154" s="33" t="s">
        <v>529</v>
      </c>
      <c r="B154" s="23">
        <v>3268</v>
      </c>
      <c r="C154" s="34">
        <v>79.3</v>
      </c>
      <c r="D154" s="34">
        <v>85.2</v>
      </c>
      <c r="E154" s="34">
        <v>10.1</v>
      </c>
      <c r="F154" s="34">
        <v>2.9</v>
      </c>
      <c r="G154" s="34">
        <v>10.1</v>
      </c>
    </row>
    <row r="155" spans="1:9" ht="15.95">
      <c r="A155" s="33" t="s">
        <v>530</v>
      </c>
      <c r="B155" s="23">
        <v>1039</v>
      </c>
      <c r="C155" s="34">
        <v>58.5</v>
      </c>
      <c r="D155" s="34">
        <v>86.2</v>
      </c>
      <c r="E155" s="34">
        <v>8.6</v>
      </c>
      <c r="F155" s="34">
        <v>2.8</v>
      </c>
      <c r="G155" s="34">
        <v>9.4</v>
      </c>
    </row>
    <row r="156" spans="1:9" ht="15.95">
      <c r="A156" s="33" t="s">
        <v>531</v>
      </c>
      <c r="B156" s="23">
        <v>422</v>
      </c>
      <c r="C156" s="34">
        <v>85.6</v>
      </c>
      <c r="D156" s="34">
        <v>86.2</v>
      </c>
      <c r="E156" s="34">
        <v>10</v>
      </c>
      <c r="F156" s="34">
        <v>2.4</v>
      </c>
      <c r="G156" s="34">
        <v>7.9</v>
      </c>
    </row>
    <row r="157" spans="1:9" ht="15.95">
      <c r="A157" s="33" t="s">
        <v>532</v>
      </c>
      <c r="B157" s="23">
        <v>907</v>
      </c>
      <c r="C157" s="34">
        <v>65.400000000000006</v>
      </c>
      <c r="D157" s="34">
        <v>78.8</v>
      </c>
      <c r="E157" s="34">
        <v>11.1</v>
      </c>
      <c r="F157" s="34">
        <v>6.3</v>
      </c>
      <c r="G157" s="34">
        <v>11.9</v>
      </c>
    </row>
    <row r="158" spans="1:9" ht="15.95">
      <c r="A158" s="33" t="s">
        <v>533</v>
      </c>
      <c r="B158" s="23">
        <v>59</v>
      </c>
      <c r="C158" s="34">
        <v>61.4</v>
      </c>
      <c r="D158" s="34">
        <v>80.2</v>
      </c>
      <c r="E158" s="34">
        <v>6.4</v>
      </c>
      <c r="F158" s="34">
        <v>7.8</v>
      </c>
      <c r="G158" s="34">
        <v>1.7</v>
      </c>
    </row>
    <row r="159" spans="1:9" ht="15.95">
      <c r="A159" s="33" t="s">
        <v>534</v>
      </c>
      <c r="B159" s="23">
        <v>194</v>
      </c>
      <c r="C159" s="34">
        <v>79.5</v>
      </c>
      <c r="D159" s="34">
        <v>86.3</v>
      </c>
      <c r="E159" s="34">
        <v>6.4</v>
      </c>
      <c r="F159" s="34">
        <v>5.2</v>
      </c>
      <c r="G159" s="34">
        <v>10.4</v>
      </c>
    </row>
    <row r="160" spans="1:9" ht="15.95">
      <c r="A160" s="33" t="s">
        <v>535</v>
      </c>
      <c r="B160" s="23">
        <v>40</v>
      </c>
      <c r="C160" s="35" t="s">
        <v>390</v>
      </c>
      <c r="D160" s="35" t="s">
        <v>390</v>
      </c>
      <c r="E160" s="35" t="s">
        <v>390</v>
      </c>
      <c r="F160" s="35" t="s">
        <v>390</v>
      </c>
      <c r="G160" s="35" t="s">
        <v>390</v>
      </c>
    </row>
    <row r="161" spans="1:9" ht="15.95">
      <c r="A161" s="33" t="s">
        <v>536</v>
      </c>
      <c r="B161" s="23">
        <v>989</v>
      </c>
      <c r="C161" s="34">
        <v>88.5</v>
      </c>
      <c r="D161" s="34">
        <v>78</v>
      </c>
      <c r="E161" s="34">
        <v>14.6</v>
      </c>
      <c r="F161" s="34">
        <v>4.2</v>
      </c>
      <c r="G161" s="34">
        <v>17.3</v>
      </c>
    </row>
    <row r="162" spans="1:9" ht="15.95">
      <c r="A162" s="33" t="s">
        <v>537</v>
      </c>
      <c r="B162" s="23">
        <v>161</v>
      </c>
      <c r="C162" s="34">
        <v>67.7</v>
      </c>
      <c r="D162" s="34">
        <v>78.5</v>
      </c>
      <c r="E162" s="34">
        <v>12.6</v>
      </c>
      <c r="F162" s="34">
        <v>5.3</v>
      </c>
      <c r="G162" s="34">
        <v>6</v>
      </c>
    </row>
    <row r="163" spans="1:9" ht="18" customHeight="1">
      <c r="A163" s="32" t="s">
        <v>538</v>
      </c>
      <c r="B163" s="23">
        <v>3246</v>
      </c>
      <c r="C163" s="34">
        <v>46.9</v>
      </c>
      <c r="D163" s="34">
        <v>83.9</v>
      </c>
      <c r="E163" s="34">
        <v>7.3</v>
      </c>
      <c r="F163" s="34">
        <v>5.3</v>
      </c>
      <c r="G163" s="34">
        <v>10.199999999999999</v>
      </c>
    </row>
    <row r="164" spans="1:9" ht="15.95">
      <c r="A164" s="33" t="s">
        <v>539</v>
      </c>
      <c r="B164" s="23">
        <v>236</v>
      </c>
      <c r="C164" s="34">
        <v>51.9</v>
      </c>
      <c r="D164" s="34">
        <v>89.6</v>
      </c>
      <c r="E164" s="34">
        <v>3.5</v>
      </c>
      <c r="F164" s="34">
        <v>4.5</v>
      </c>
      <c r="G164" s="34">
        <v>10.8</v>
      </c>
    </row>
    <row r="165" spans="1:9" ht="15.95">
      <c r="A165" s="33" t="s">
        <v>540</v>
      </c>
      <c r="B165" s="23">
        <v>908</v>
      </c>
      <c r="C165" s="34">
        <v>52.8</v>
      </c>
      <c r="D165" s="34">
        <v>84.2</v>
      </c>
      <c r="E165" s="34">
        <v>5.0999999999999996</v>
      </c>
      <c r="F165" s="34">
        <v>7.6</v>
      </c>
      <c r="G165" s="34">
        <v>12</v>
      </c>
      <c r="I165" s="36">
        <f>B165/$B$72</f>
        <v>2.5561623782444681E-2</v>
      </c>
    </row>
    <row r="166" spans="1:9" ht="15.95">
      <c r="A166" s="33" t="s">
        <v>541</v>
      </c>
      <c r="B166" s="23">
        <v>40</v>
      </c>
      <c r="C166" s="35" t="s">
        <v>390</v>
      </c>
      <c r="D166" s="35" t="s">
        <v>390</v>
      </c>
      <c r="E166" s="35" t="s">
        <v>390</v>
      </c>
      <c r="F166" s="35" t="s">
        <v>390</v>
      </c>
      <c r="G166" s="35" t="s">
        <v>390</v>
      </c>
    </row>
    <row r="167" spans="1:9" ht="15.95">
      <c r="A167" s="33" t="s">
        <v>542</v>
      </c>
      <c r="B167" s="23">
        <v>180</v>
      </c>
      <c r="C167" s="34">
        <v>29.8</v>
      </c>
      <c r="D167" s="34">
        <v>87.8</v>
      </c>
      <c r="E167" s="34">
        <v>5.2</v>
      </c>
      <c r="F167" s="34">
        <v>4.5999999999999996</v>
      </c>
      <c r="G167" s="34">
        <v>8.9</v>
      </c>
    </row>
    <row r="168" spans="1:9" ht="15.95">
      <c r="A168" s="33" t="s">
        <v>543</v>
      </c>
      <c r="B168" s="23">
        <v>345</v>
      </c>
      <c r="C168" s="34">
        <v>36.4</v>
      </c>
      <c r="D168" s="34">
        <v>88.2</v>
      </c>
      <c r="E168" s="34">
        <v>5</v>
      </c>
      <c r="F168" s="34">
        <v>3</v>
      </c>
      <c r="G168" s="34">
        <v>8.5</v>
      </c>
    </row>
    <row r="169" spans="1:9" ht="15.95">
      <c r="A169" s="33" t="s">
        <v>544</v>
      </c>
      <c r="B169" s="23">
        <v>21</v>
      </c>
      <c r="C169" s="35" t="s">
        <v>390</v>
      </c>
      <c r="D169" s="35" t="s">
        <v>390</v>
      </c>
      <c r="E169" s="35" t="s">
        <v>390</v>
      </c>
      <c r="F169" s="35" t="s">
        <v>390</v>
      </c>
      <c r="G169" s="35" t="s">
        <v>390</v>
      </c>
    </row>
    <row r="170" spans="1:9" ht="15.95">
      <c r="A170" s="33" t="s">
        <v>545</v>
      </c>
      <c r="B170" s="23">
        <v>188</v>
      </c>
      <c r="C170" s="34">
        <v>37.700000000000003</v>
      </c>
      <c r="D170" s="34">
        <v>75.599999999999994</v>
      </c>
      <c r="E170" s="34">
        <v>17.3</v>
      </c>
      <c r="F170" s="34">
        <v>4.3</v>
      </c>
      <c r="G170" s="34">
        <v>6.7</v>
      </c>
    </row>
    <row r="171" spans="1:9" ht="15.95">
      <c r="A171" s="33" t="s">
        <v>546</v>
      </c>
      <c r="B171" s="23">
        <v>67</v>
      </c>
      <c r="C171" s="34">
        <v>48.1</v>
      </c>
      <c r="D171" s="34">
        <v>74.099999999999994</v>
      </c>
      <c r="E171" s="34">
        <v>9.1999999999999993</v>
      </c>
      <c r="F171" s="34">
        <v>9.9</v>
      </c>
      <c r="G171" s="34">
        <v>7.5</v>
      </c>
    </row>
    <row r="172" spans="1:9" ht="15.95">
      <c r="A172" s="33" t="s">
        <v>547</v>
      </c>
      <c r="B172" s="23">
        <v>50</v>
      </c>
      <c r="C172" s="34">
        <v>23.1</v>
      </c>
      <c r="D172" s="34">
        <v>77.5</v>
      </c>
      <c r="E172" s="34">
        <v>12</v>
      </c>
      <c r="F172" s="34">
        <v>7.1</v>
      </c>
      <c r="G172" s="34">
        <v>8.5</v>
      </c>
    </row>
    <row r="173" spans="1:9" ht="15.95">
      <c r="A173" s="33" t="s">
        <v>548</v>
      </c>
      <c r="B173" s="23">
        <v>84</v>
      </c>
      <c r="C173" s="34">
        <v>55.3</v>
      </c>
      <c r="D173" s="34">
        <v>73</v>
      </c>
      <c r="E173" s="34">
        <v>13.4</v>
      </c>
      <c r="F173" s="34">
        <v>7.9</v>
      </c>
      <c r="G173" s="34">
        <v>16.399999999999999</v>
      </c>
    </row>
    <row r="174" spans="1:9" ht="15.95">
      <c r="A174" s="33" t="s">
        <v>549</v>
      </c>
      <c r="B174" s="23">
        <v>118</v>
      </c>
      <c r="C174" s="34">
        <v>60.9</v>
      </c>
      <c r="D174" s="34">
        <v>87.9</v>
      </c>
      <c r="E174" s="34">
        <v>8.3000000000000007</v>
      </c>
      <c r="F174" s="34">
        <v>2.6</v>
      </c>
      <c r="G174" s="34">
        <v>5.7</v>
      </c>
      <c r="I174" s="36">
        <f>B174/$B$72</f>
        <v>3.3218850289961151E-3</v>
      </c>
    </row>
    <row r="175" spans="1:9" ht="15.95">
      <c r="A175" s="33" t="s">
        <v>550</v>
      </c>
      <c r="B175" s="23">
        <v>174</v>
      </c>
      <c r="C175" s="34">
        <v>54.1</v>
      </c>
      <c r="D175" s="34">
        <v>90.9</v>
      </c>
      <c r="E175" s="34">
        <v>3.8</v>
      </c>
      <c r="F175" s="34">
        <v>2.9</v>
      </c>
      <c r="G175" s="34">
        <v>4.0999999999999996</v>
      </c>
      <c r="I175" s="36">
        <f>B175/$B$72</f>
        <v>4.8983728393671528E-3</v>
      </c>
    </row>
    <row r="176" spans="1:9" ht="15.95">
      <c r="A176" s="33" t="s">
        <v>551</v>
      </c>
      <c r="B176" s="23">
        <v>76</v>
      </c>
      <c r="C176" s="34">
        <v>60.2</v>
      </c>
      <c r="D176" s="34">
        <v>84.6</v>
      </c>
      <c r="E176" s="34">
        <v>6.7</v>
      </c>
      <c r="F176" s="34">
        <v>5.6</v>
      </c>
      <c r="G176" s="34">
        <v>1.2</v>
      </c>
    </row>
    <row r="177" spans="1:7" ht="15.95">
      <c r="A177" s="33" t="s">
        <v>552</v>
      </c>
      <c r="B177" s="23">
        <v>226</v>
      </c>
      <c r="C177" s="34">
        <v>60.9</v>
      </c>
      <c r="D177" s="34">
        <v>86.3</v>
      </c>
      <c r="E177" s="34">
        <v>6.3</v>
      </c>
      <c r="F177" s="34">
        <v>3.2</v>
      </c>
      <c r="G177" s="34">
        <v>4.5999999999999996</v>
      </c>
    </row>
    <row r="178" spans="1:7" ht="15.95">
      <c r="A178" s="33" t="s">
        <v>553</v>
      </c>
      <c r="B178" s="23">
        <v>112</v>
      </c>
      <c r="C178" s="34">
        <v>64.2</v>
      </c>
      <c r="D178" s="34">
        <v>70.599999999999994</v>
      </c>
      <c r="E178" s="34">
        <v>9.5</v>
      </c>
      <c r="F178" s="34">
        <v>14.3</v>
      </c>
      <c r="G178" s="34">
        <v>32.9</v>
      </c>
    </row>
    <row r="179" spans="1:7" ht="15.95">
      <c r="A179" s="33" t="s">
        <v>554</v>
      </c>
      <c r="B179" s="23">
        <v>119</v>
      </c>
      <c r="C179" s="34">
        <v>14.4</v>
      </c>
      <c r="D179" s="34">
        <v>78.2</v>
      </c>
      <c r="E179" s="34">
        <v>14</v>
      </c>
      <c r="F179" s="34">
        <v>3.7</v>
      </c>
      <c r="G179" s="34">
        <v>16.8</v>
      </c>
    </row>
    <row r="180" spans="1:7" ht="15.95">
      <c r="A180" s="33" t="s">
        <v>555</v>
      </c>
      <c r="B180" s="23">
        <v>214</v>
      </c>
      <c r="C180" s="34">
        <v>46</v>
      </c>
      <c r="D180" s="34">
        <v>84.4</v>
      </c>
      <c r="E180" s="34">
        <v>9.1</v>
      </c>
      <c r="F180" s="34">
        <v>3</v>
      </c>
      <c r="G180" s="34">
        <v>8.6999999999999993</v>
      </c>
    </row>
    <row r="181" spans="1:7" ht="15.95">
      <c r="A181" s="33" t="s">
        <v>556</v>
      </c>
      <c r="B181" s="23">
        <v>82</v>
      </c>
      <c r="C181" s="34">
        <v>12.2</v>
      </c>
      <c r="D181" s="34">
        <v>86.1</v>
      </c>
      <c r="E181" s="34">
        <v>7.2</v>
      </c>
      <c r="F181" s="34">
        <v>1.9</v>
      </c>
      <c r="G181" s="34">
        <v>7.6</v>
      </c>
    </row>
    <row r="182" spans="1:7" ht="15.95">
      <c r="A182" s="33" t="s">
        <v>557</v>
      </c>
      <c r="B182" s="23">
        <v>5</v>
      </c>
      <c r="C182" s="35" t="s">
        <v>390</v>
      </c>
      <c r="D182" s="35" t="s">
        <v>390</v>
      </c>
      <c r="E182" s="35" t="s">
        <v>390</v>
      </c>
      <c r="F182" s="35" t="s">
        <v>390</v>
      </c>
      <c r="G182" s="35" t="s">
        <v>390</v>
      </c>
    </row>
    <row r="183" spans="1:7" ht="18" customHeight="1">
      <c r="A183" s="32" t="s">
        <v>558</v>
      </c>
      <c r="B183" s="23">
        <v>9141</v>
      </c>
      <c r="C183" s="34">
        <v>75</v>
      </c>
      <c r="D183" s="34">
        <v>76.5</v>
      </c>
      <c r="E183" s="34">
        <v>11.9</v>
      </c>
      <c r="F183" s="34">
        <v>9.4</v>
      </c>
      <c r="G183" s="34">
        <v>8.1999999999999993</v>
      </c>
    </row>
    <row r="184" spans="1:7" ht="15.95">
      <c r="A184" s="33" t="s">
        <v>559</v>
      </c>
      <c r="B184" s="23">
        <v>51</v>
      </c>
      <c r="C184" s="34">
        <v>21.1</v>
      </c>
      <c r="D184" s="34">
        <v>97.4</v>
      </c>
      <c r="E184" s="34">
        <v>0.1</v>
      </c>
      <c r="F184" s="34">
        <v>1.7</v>
      </c>
      <c r="G184" s="34">
        <v>5.0999999999999996</v>
      </c>
    </row>
    <row r="185" spans="1:7" ht="15.95">
      <c r="A185" s="33" t="s">
        <v>560</v>
      </c>
      <c r="B185" s="23">
        <v>159</v>
      </c>
      <c r="C185" s="34">
        <v>35.799999999999997</v>
      </c>
      <c r="D185" s="34">
        <v>81.599999999999994</v>
      </c>
      <c r="E185" s="34">
        <v>3.7</v>
      </c>
      <c r="F185" s="34">
        <v>13.5</v>
      </c>
      <c r="G185" s="34">
        <v>4.7</v>
      </c>
    </row>
    <row r="186" spans="1:7" ht="15.95">
      <c r="A186" s="33" t="s">
        <v>561</v>
      </c>
      <c r="B186" s="23">
        <v>114</v>
      </c>
      <c r="C186" s="34">
        <v>94.1</v>
      </c>
      <c r="D186" s="34">
        <v>79.7</v>
      </c>
      <c r="E186" s="34">
        <v>12.8</v>
      </c>
      <c r="F186" s="34">
        <v>5.6</v>
      </c>
      <c r="G186" s="34">
        <v>9</v>
      </c>
    </row>
    <row r="187" spans="1:7" ht="15.95">
      <c r="A187" s="33" t="s">
        <v>562</v>
      </c>
      <c r="B187" s="23">
        <v>51</v>
      </c>
      <c r="C187" s="34">
        <v>50.2</v>
      </c>
      <c r="D187" s="34">
        <v>91.9</v>
      </c>
      <c r="E187" s="34">
        <v>0</v>
      </c>
      <c r="F187" s="34">
        <v>7.9</v>
      </c>
      <c r="G187" s="34">
        <v>3.2</v>
      </c>
    </row>
    <row r="188" spans="1:7" ht="15.95">
      <c r="A188" s="33" t="s">
        <v>563</v>
      </c>
      <c r="B188" s="23">
        <v>342</v>
      </c>
      <c r="C188" s="34">
        <v>57.5</v>
      </c>
      <c r="D188" s="34">
        <v>68.5</v>
      </c>
      <c r="E188" s="34">
        <v>8.1999999999999993</v>
      </c>
      <c r="F188" s="34">
        <v>21.7</v>
      </c>
      <c r="G188" s="34">
        <v>4.5</v>
      </c>
    </row>
    <row r="189" spans="1:7" ht="15.95">
      <c r="A189" s="33" t="s">
        <v>564</v>
      </c>
      <c r="B189" s="23">
        <v>1079</v>
      </c>
      <c r="C189" s="34">
        <v>40</v>
      </c>
      <c r="D189" s="34">
        <v>72</v>
      </c>
      <c r="E189" s="34">
        <v>8.1999999999999993</v>
      </c>
      <c r="F189" s="34">
        <v>18.100000000000001</v>
      </c>
      <c r="G189" s="34">
        <v>6.8</v>
      </c>
    </row>
    <row r="190" spans="1:7" ht="15.95">
      <c r="A190" s="33" t="s">
        <v>565</v>
      </c>
      <c r="B190" s="23">
        <v>116</v>
      </c>
      <c r="C190" s="34">
        <v>70.900000000000006</v>
      </c>
      <c r="D190" s="34">
        <v>86</v>
      </c>
      <c r="E190" s="34">
        <v>4.7</v>
      </c>
      <c r="F190" s="34">
        <v>7.9</v>
      </c>
      <c r="G190" s="34">
        <v>5.0999999999999996</v>
      </c>
    </row>
    <row r="191" spans="1:7" ht="15.95">
      <c r="A191" s="33" t="s">
        <v>566</v>
      </c>
      <c r="B191" s="23">
        <v>12</v>
      </c>
      <c r="C191" s="35" t="s">
        <v>390</v>
      </c>
      <c r="D191" s="35" t="s">
        <v>390</v>
      </c>
      <c r="E191" s="35" t="s">
        <v>390</v>
      </c>
      <c r="F191" s="35" t="s">
        <v>390</v>
      </c>
      <c r="G191" s="35" t="s">
        <v>390</v>
      </c>
    </row>
    <row r="192" spans="1:7" ht="15.95">
      <c r="A192" s="33" t="s">
        <v>567</v>
      </c>
      <c r="B192" s="23">
        <v>15</v>
      </c>
      <c r="C192" s="35" t="s">
        <v>390</v>
      </c>
      <c r="D192" s="35" t="s">
        <v>390</v>
      </c>
      <c r="E192" s="35" t="s">
        <v>390</v>
      </c>
      <c r="F192" s="35" t="s">
        <v>390</v>
      </c>
      <c r="G192" s="35" t="s">
        <v>390</v>
      </c>
    </row>
    <row r="193" spans="1:7" ht="15.95">
      <c r="A193" s="33" t="s">
        <v>568</v>
      </c>
      <c r="B193" s="23">
        <v>122</v>
      </c>
      <c r="C193" s="34">
        <v>87.6</v>
      </c>
      <c r="D193" s="34">
        <v>82.9</v>
      </c>
      <c r="E193" s="34">
        <v>8.6999999999999993</v>
      </c>
      <c r="F193" s="34">
        <v>6.4</v>
      </c>
      <c r="G193" s="34">
        <v>6.2</v>
      </c>
    </row>
    <row r="194" spans="1:7" ht="15.95">
      <c r="A194" s="33" t="s">
        <v>569</v>
      </c>
      <c r="B194" s="23">
        <v>258</v>
      </c>
      <c r="C194" s="34">
        <v>68.2</v>
      </c>
      <c r="D194" s="34">
        <v>78.2</v>
      </c>
      <c r="E194" s="34">
        <v>5.3</v>
      </c>
      <c r="F194" s="34">
        <v>14.7</v>
      </c>
      <c r="G194" s="34">
        <v>5</v>
      </c>
    </row>
    <row r="195" spans="1:7" ht="15.95">
      <c r="A195" s="33" t="s">
        <v>570</v>
      </c>
      <c r="B195" s="23">
        <v>10</v>
      </c>
      <c r="C195" s="35" t="s">
        <v>390</v>
      </c>
      <c r="D195" s="35" t="s">
        <v>390</v>
      </c>
      <c r="E195" s="35" t="s">
        <v>390</v>
      </c>
      <c r="F195" s="35" t="s">
        <v>390</v>
      </c>
      <c r="G195" s="35" t="s">
        <v>390</v>
      </c>
    </row>
    <row r="196" spans="1:7" ht="15.95">
      <c r="A196" s="33" t="s">
        <v>571</v>
      </c>
      <c r="B196" s="23">
        <v>7</v>
      </c>
      <c r="C196" s="35" t="s">
        <v>390</v>
      </c>
      <c r="D196" s="35" t="s">
        <v>390</v>
      </c>
      <c r="E196" s="35" t="s">
        <v>390</v>
      </c>
      <c r="F196" s="35" t="s">
        <v>390</v>
      </c>
      <c r="G196" s="35" t="s">
        <v>390</v>
      </c>
    </row>
    <row r="197" spans="1:7" ht="15.95">
      <c r="A197" s="33" t="s">
        <v>572</v>
      </c>
      <c r="B197" s="23">
        <v>100</v>
      </c>
      <c r="C197" s="34">
        <v>72.400000000000006</v>
      </c>
      <c r="D197" s="34">
        <v>73.3</v>
      </c>
      <c r="E197" s="34">
        <v>16.600000000000001</v>
      </c>
      <c r="F197" s="34">
        <v>10</v>
      </c>
      <c r="G197" s="34">
        <v>8.8000000000000007</v>
      </c>
    </row>
    <row r="198" spans="1:7" ht="15.95">
      <c r="A198" s="33" t="s">
        <v>573</v>
      </c>
      <c r="B198" s="23">
        <v>141</v>
      </c>
      <c r="C198" s="34">
        <v>98</v>
      </c>
      <c r="D198" s="34">
        <v>93</v>
      </c>
      <c r="E198" s="34">
        <v>2.8</v>
      </c>
      <c r="F198" s="34">
        <v>2.7</v>
      </c>
      <c r="G198" s="34">
        <v>10.5</v>
      </c>
    </row>
    <row r="199" spans="1:7" ht="15.95">
      <c r="A199" s="33" t="s">
        <v>574</v>
      </c>
      <c r="B199" s="23">
        <v>5</v>
      </c>
      <c r="C199" s="35" t="s">
        <v>390</v>
      </c>
      <c r="D199" s="35" t="s">
        <v>390</v>
      </c>
      <c r="E199" s="35" t="s">
        <v>390</v>
      </c>
      <c r="F199" s="35" t="s">
        <v>390</v>
      </c>
      <c r="G199" s="35" t="s">
        <v>390</v>
      </c>
    </row>
    <row r="200" spans="1:7" ht="15.95">
      <c r="A200" s="33" t="s">
        <v>575</v>
      </c>
      <c r="B200" s="23">
        <v>221</v>
      </c>
      <c r="C200" s="34">
        <v>83.3</v>
      </c>
      <c r="D200" s="34">
        <v>81.8</v>
      </c>
      <c r="E200" s="34">
        <v>12.5</v>
      </c>
      <c r="F200" s="34">
        <v>3.3</v>
      </c>
      <c r="G200" s="34">
        <v>10.199999999999999</v>
      </c>
    </row>
    <row r="201" spans="1:7" ht="15.95">
      <c r="A201" s="33" t="s">
        <v>576</v>
      </c>
      <c r="B201" s="23">
        <v>89</v>
      </c>
      <c r="C201" s="34">
        <v>62.5</v>
      </c>
      <c r="D201" s="34">
        <v>91.2</v>
      </c>
      <c r="E201" s="34">
        <v>2.1</v>
      </c>
      <c r="F201" s="34">
        <v>3.7</v>
      </c>
      <c r="G201" s="34">
        <v>3.6</v>
      </c>
    </row>
    <row r="202" spans="1:7" ht="15.95">
      <c r="A202" s="33" t="s">
        <v>577</v>
      </c>
      <c r="B202" s="23">
        <v>3159</v>
      </c>
      <c r="C202" s="34">
        <v>89.9</v>
      </c>
      <c r="D202" s="34">
        <v>76.7</v>
      </c>
      <c r="E202" s="34">
        <v>12.3</v>
      </c>
      <c r="F202" s="34">
        <v>8.6999999999999993</v>
      </c>
      <c r="G202" s="34">
        <v>6.9</v>
      </c>
    </row>
    <row r="203" spans="1:7" ht="15.95">
      <c r="A203" s="33" t="s">
        <v>578</v>
      </c>
      <c r="B203" s="23">
        <v>35</v>
      </c>
      <c r="C203" s="35" t="s">
        <v>390</v>
      </c>
      <c r="D203" s="35" t="s">
        <v>390</v>
      </c>
      <c r="E203" s="35" t="s">
        <v>390</v>
      </c>
      <c r="F203" s="35" t="s">
        <v>390</v>
      </c>
      <c r="G203" s="35" t="s">
        <v>390</v>
      </c>
    </row>
    <row r="204" spans="1:7" ht="15.95">
      <c r="A204" s="33" t="s">
        <v>579</v>
      </c>
      <c r="B204" s="23">
        <v>7</v>
      </c>
      <c r="C204" s="35" t="s">
        <v>390</v>
      </c>
      <c r="D204" s="35" t="s">
        <v>390</v>
      </c>
      <c r="E204" s="35" t="s">
        <v>390</v>
      </c>
      <c r="F204" s="35" t="s">
        <v>390</v>
      </c>
      <c r="G204" s="35" t="s">
        <v>390</v>
      </c>
    </row>
    <row r="205" spans="1:7" ht="15.95">
      <c r="A205" s="33" t="s">
        <v>580</v>
      </c>
      <c r="B205" s="23">
        <v>175</v>
      </c>
      <c r="C205" s="34">
        <v>92.2</v>
      </c>
      <c r="D205" s="34">
        <v>84.7</v>
      </c>
      <c r="E205" s="34">
        <v>10.6</v>
      </c>
      <c r="F205" s="34">
        <v>4</v>
      </c>
      <c r="G205" s="34">
        <v>3.4</v>
      </c>
    </row>
    <row r="206" spans="1:7" ht="15.95">
      <c r="A206" s="33" t="s">
        <v>581</v>
      </c>
      <c r="B206" s="23">
        <v>39</v>
      </c>
      <c r="C206" s="35" t="s">
        <v>390</v>
      </c>
      <c r="D206" s="35" t="s">
        <v>390</v>
      </c>
      <c r="E206" s="35" t="s">
        <v>390</v>
      </c>
      <c r="F206" s="35" t="s">
        <v>390</v>
      </c>
      <c r="G206" s="35" t="s">
        <v>390</v>
      </c>
    </row>
    <row r="207" spans="1:7" ht="15.95">
      <c r="A207" s="33" t="s">
        <v>582</v>
      </c>
      <c r="B207" s="23">
        <v>376</v>
      </c>
      <c r="C207" s="34">
        <v>69.3</v>
      </c>
      <c r="D207" s="34">
        <v>71.2</v>
      </c>
      <c r="E207" s="34">
        <v>17.100000000000001</v>
      </c>
      <c r="F207" s="34">
        <v>9.4</v>
      </c>
      <c r="G207" s="34">
        <v>11</v>
      </c>
    </row>
    <row r="208" spans="1:7" ht="15.95">
      <c r="A208" s="33" t="s">
        <v>583</v>
      </c>
      <c r="B208" s="23">
        <v>168</v>
      </c>
      <c r="C208" s="34">
        <v>94.9</v>
      </c>
      <c r="D208" s="34">
        <v>88.6</v>
      </c>
      <c r="E208" s="34">
        <v>7</v>
      </c>
      <c r="F208" s="34">
        <v>2.4</v>
      </c>
      <c r="G208" s="34">
        <v>11.9</v>
      </c>
    </row>
    <row r="209" spans="1:9" ht="15.95">
      <c r="A209" s="33" t="s">
        <v>584</v>
      </c>
      <c r="B209" s="23">
        <v>319</v>
      </c>
      <c r="C209" s="34">
        <v>70.8</v>
      </c>
      <c r="D209" s="34">
        <v>84.3</v>
      </c>
      <c r="E209" s="34">
        <v>8.1999999999999993</v>
      </c>
      <c r="F209" s="34">
        <v>6.4</v>
      </c>
      <c r="G209" s="34">
        <v>12.5</v>
      </c>
    </row>
    <row r="210" spans="1:9" ht="15.95">
      <c r="A210" s="33" t="s">
        <v>585</v>
      </c>
      <c r="B210" s="23">
        <v>223</v>
      </c>
      <c r="C210" s="34">
        <v>30.6</v>
      </c>
      <c r="D210" s="34">
        <v>83.9</v>
      </c>
      <c r="E210" s="34">
        <v>9.6999999999999993</v>
      </c>
      <c r="F210" s="34">
        <v>3.1</v>
      </c>
      <c r="G210" s="34">
        <v>8.4</v>
      </c>
    </row>
    <row r="211" spans="1:9" ht="15.95">
      <c r="A211" s="33" t="s">
        <v>586</v>
      </c>
      <c r="B211" s="23">
        <v>632</v>
      </c>
      <c r="C211" s="34">
        <v>79.400000000000006</v>
      </c>
      <c r="D211" s="34">
        <v>75.599999999999994</v>
      </c>
      <c r="E211" s="34">
        <v>13.5</v>
      </c>
      <c r="F211" s="34">
        <v>7.3</v>
      </c>
      <c r="G211" s="34">
        <v>14.3</v>
      </c>
    </row>
    <row r="212" spans="1:9" ht="15.95">
      <c r="A212" s="33" t="s">
        <v>587</v>
      </c>
      <c r="B212" s="23">
        <v>630</v>
      </c>
      <c r="C212" s="34">
        <v>89.5</v>
      </c>
      <c r="D212" s="34">
        <v>64</v>
      </c>
      <c r="E212" s="34">
        <v>28.4</v>
      </c>
      <c r="F212" s="34">
        <v>5.4</v>
      </c>
      <c r="G212" s="34">
        <v>12.4</v>
      </c>
    </row>
    <row r="213" spans="1:9" ht="15.95">
      <c r="A213" s="33" t="s">
        <v>588</v>
      </c>
      <c r="B213" s="23">
        <v>167</v>
      </c>
      <c r="C213" s="34">
        <v>91.7</v>
      </c>
      <c r="D213" s="34">
        <v>74.599999999999994</v>
      </c>
      <c r="E213" s="34">
        <v>13.2</v>
      </c>
      <c r="F213" s="34">
        <v>6.9</v>
      </c>
      <c r="G213" s="34">
        <v>9.8000000000000007</v>
      </c>
    </row>
    <row r="214" spans="1:9" ht="15.95">
      <c r="A214" s="33" t="s">
        <v>589</v>
      </c>
      <c r="B214" s="23">
        <v>48</v>
      </c>
      <c r="C214" s="35" t="s">
        <v>390</v>
      </c>
      <c r="D214" s="35" t="s">
        <v>390</v>
      </c>
      <c r="E214" s="35" t="s">
        <v>390</v>
      </c>
      <c r="F214" s="35" t="s">
        <v>390</v>
      </c>
      <c r="G214" s="35" t="s">
        <v>390</v>
      </c>
    </row>
    <row r="215" spans="1:9" ht="15.95">
      <c r="A215" s="33" t="s">
        <v>590</v>
      </c>
      <c r="B215" s="23">
        <v>160</v>
      </c>
      <c r="C215" s="34">
        <v>66</v>
      </c>
      <c r="D215" s="34">
        <v>66.8</v>
      </c>
      <c r="E215" s="34">
        <v>18.5</v>
      </c>
      <c r="F215" s="34">
        <v>10.4</v>
      </c>
      <c r="G215" s="34">
        <v>10</v>
      </c>
    </row>
    <row r="216" spans="1:9" ht="15.95">
      <c r="A216" s="33" t="s">
        <v>591</v>
      </c>
      <c r="B216" s="23">
        <v>110</v>
      </c>
      <c r="C216" s="34">
        <v>46.5</v>
      </c>
      <c r="D216" s="34">
        <v>84</v>
      </c>
      <c r="E216" s="34">
        <v>9</v>
      </c>
      <c r="F216" s="34">
        <v>6.5</v>
      </c>
      <c r="G216" s="34">
        <v>9.4</v>
      </c>
    </row>
    <row r="217" spans="1:9" s="40" customFormat="1" ht="15.95">
      <c r="A217" s="37" t="s">
        <v>592</v>
      </c>
      <c r="B217" s="38"/>
      <c r="C217" s="39"/>
      <c r="D217" s="39"/>
      <c r="E217" s="39"/>
      <c r="F217" s="39"/>
      <c r="G217" s="39"/>
      <c r="I217" s="41">
        <f>I73+I90+I145+I165</f>
        <v>0.30299532683970498</v>
      </c>
    </row>
    <row r="218" spans="1:9">
      <c r="B218" s="25"/>
    </row>
    <row r="219" spans="1:9" ht="15.95">
      <c r="A219" s="22" t="s">
        <v>593</v>
      </c>
      <c r="B219" s="23">
        <v>26751</v>
      </c>
      <c r="C219" s="34">
        <v>56.6</v>
      </c>
      <c r="D219" s="34">
        <v>72.599999999999994</v>
      </c>
      <c r="E219" s="34">
        <v>16.8</v>
      </c>
      <c r="F219" s="34">
        <v>5.9</v>
      </c>
      <c r="G219" s="34">
        <v>24</v>
      </c>
    </row>
    <row r="220" spans="1:9" ht="21" customHeight="1">
      <c r="A220" s="24" t="s">
        <v>594</v>
      </c>
      <c r="B220" s="23">
        <v>3506</v>
      </c>
      <c r="C220" s="34">
        <v>87.1</v>
      </c>
      <c r="D220" s="34">
        <v>65.599999999999994</v>
      </c>
      <c r="E220" s="34">
        <v>25.1</v>
      </c>
      <c r="F220" s="34">
        <v>5.2</v>
      </c>
      <c r="G220" s="34">
        <v>18.8</v>
      </c>
    </row>
    <row r="221" spans="1:9" ht="15.95">
      <c r="A221" s="32" t="s">
        <v>595</v>
      </c>
      <c r="B221" s="23">
        <v>1936</v>
      </c>
      <c r="C221" s="34">
        <v>88.6</v>
      </c>
      <c r="D221" s="34">
        <v>56.4</v>
      </c>
      <c r="E221" s="34">
        <v>33.9</v>
      </c>
      <c r="F221" s="34">
        <v>5.6</v>
      </c>
      <c r="G221" s="34">
        <v>16.7</v>
      </c>
    </row>
    <row r="222" spans="1:9" ht="15.95">
      <c r="A222" s="32" t="s">
        <v>596</v>
      </c>
      <c r="B222" s="23">
        <v>27</v>
      </c>
      <c r="C222" s="35" t="s">
        <v>390</v>
      </c>
      <c r="D222" s="35" t="s">
        <v>390</v>
      </c>
      <c r="E222" s="35" t="s">
        <v>390</v>
      </c>
      <c r="F222" s="35" t="s">
        <v>390</v>
      </c>
      <c r="G222" s="35" t="s">
        <v>390</v>
      </c>
    </row>
    <row r="223" spans="1:9" ht="15.95">
      <c r="A223" s="32" t="s">
        <v>597</v>
      </c>
      <c r="B223" s="23">
        <v>83</v>
      </c>
      <c r="C223" s="34">
        <v>67.2</v>
      </c>
      <c r="D223" s="34">
        <v>88</v>
      </c>
      <c r="E223" s="34">
        <v>5.2</v>
      </c>
      <c r="F223" s="34">
        <v>5.6</v>
      </c>
      <c r="G223" s="34">
        <v>11</v>
      </c>
    </row>
    <row r="224" spans="1:9" ht="15.95">
      <c r="A224" s="32" t="s">
        <v>598</v>
      </c>
      <c r="B224" s="23">
        <v>172</v>
      </c>
      <c r="C224" s="34">
        <v>82.7</v>
      </c>
      <c r="D224" s="34">
        <v>83.7</v>
      </c>
      <c r="E224" s="34">
        <v>4.5999999999999996</v>
      </c>
      <c r="F224" s="34">
        <v>6.7</v>
      </c>
      <c r="G224" s="34">
        <v>12.4</v>
      </c>
    </row>
    <row r="225" spans="1:7" ht="15.95">
      <c r="A225" s="32" t="s">
        <v>599</v>
      </c>
      <c r="B225" s="23">
        <v>299</v>
      </c>
      <c r="C225" s="34">
        <v>95.9</v>
      </c>
      <c r="D225" s="34">
        <v>82.9</v>
      </c>
      <c r="E225" s="34">
        <v>7.9</v>
      </c>
      <c r="F225" s="34">
        <v>5</v>
      </c>
      <c r="G225" s="34">
        <v>29.1</v>
      </c>
    </row>
    <row r="226" spans="1:7" ht="15.95">
      <c r="A226" s="32" t="s">
        <v>600</v>
      </c>
      <c r="B226" s="23">
        <v>539</v>
      </c>
      <c r="C226" s="34">
        <v>91.6</v>
      </c>
      <c r="D226" s="34">
        <v>76.2</v>
      </c>
      <c r="E226" s="34">
        <v>15</v>
      </c>
      <c r="F226" s="34">
        <v>4</v>
      </c>
      <c r="G226" s="34">
        <v>27.9</v>
      </c>
    </row>
    <row r="227" spans="1:7" ht="15.95">
      <c r="A227" s="32" t="s">
        <v>601</v>
      </c>
      <c r="B227" s="23">
        <v>36</v>
      </c>
      <c r="C227" s="35" t="s">
        <v>390</v>
      </c>
      <c r="D227" s="35" t="s">
        <v>390</v>
      </c>
      <c r="E227" s="35" t="s">
        <v>390</v>
      </c>
      <c r="F227" s="35" t="s">
        <v>390</v>
      </c>
      <c r="G227" s="35" t="s">
        <v>390</v>
      </c>
    </row>
    <row r="228" spans="1:7" ht="15.95">
      <c r="A228" s="32" t="s">
        <v>602</v>
      </c>
      <c r="B228" s="23">
        <v>39</v>
      </c>
      <c r="C228" s="35" t="s">
        <v>390</v>
      </c>
      <c r="D228" s="35" t="s">
        <v>390</v>
      </c>
      <c r="E228" s="35" t="s">
        <v>390</v>
      </c>
      <c r="F228" s="35" t="s">
        <v>390</v>
      </c>
      <c r="G228" s="35" t="s">
        <v>390</v>
      </c>
    </row>
    <row r="229" spans="1:7" ht="15.95">
      <c r="A229" s="32" t="s">
        <v>603</v>
      </c>
      <c r="B229" s="23">
        <v>61</v>
      </c>
      <c r="C229" s="34">
        <v>84.2</v>
      </c>
      <c r="D229" s="34">
        <v>86.4</v>
      </c>
      <c r="E229" s="34">
        <v>2.2999999999999998</v>
      </c>
      <c r="F229" s="34">
        <v>6</v>
      </c>
      <c r="G229" s="34">
        <v>8.4</v>
      </c>
    </row>
    <row r="230" spans="1:7" ht="15.95">
      <c r="A230" s="32" t="s">
        <v>604</v>
      </c>
      <c r="B230" s="23">
        <v>112</v>
      </c>
      <c r="C230" s="34">
        <v>83.8</v>
      </c>
      <c r="D230" s="34">
        <v>64.7</v>
      </c>
      <c r="E230" s="34">
        <v>27.6</v>
      </c>
      <c r="F230" s="34">
        <v>5.9</v>
      </c>
      <c r="G230" s="34">
        <v>17.2</v>
      </c>
    </row>
    <row r="231" spans="1:7" ht="32.1">
      <c r="A231" s="32" t="s">
        <v>605</v>
      </c>
      <c r="B231" s="23">
        <v>200</v>
      </c>
      <c r="C231" s="34">
        <v>70.5</v>
      </c>
      <c r="D231" s="34">
        <v>60.3</v>
      </c>
      <c r="E231" s="34">
        <v>31.4</v>
      </c>
      <c r="F231" s="34">
        <v>4.0999999999999996</v>
      </c>
      <c r="G231" s="34">
        <v>16.100000000000001</v>
      </c>
    </row>
    <row r="232" spans="1:7" ht="21" customHeight="1">
      <c r="A232" s="24" t="s">
        <v>606</v>
      </c>
      <c r="B232" s="23">
        <v>3113</v>
      </c>
      <c r="C232" s="34">
        <v>22.3</v>
      </c>
      <c r="D232" s="34">
        <v>72.599999999999994</v>
      </c>
      <c r="E232" s="34">
        <v>20.5</v>
      </c>
      <c r="F232" s="34">
        <v>2.9</v>
      </c>
      <c r="G232" s="34">
        <v>12.8</v>
      </c>
    </row>
    <row r="233" spans="1:7" ht="15.95">
      <c r="A233" s="32" t="s">
        <v>607</v>
      </c>
      <c r="B233" s="23">
        <v>52</v>
      </c>
      <c r="C233" s="34">
        <v>29.9</v>
      </c>
      <c r="D233" s="34">
        <v>77.7</v>
      </c>
      <c r="E233" s="34">
        <v>13.1</v>
      </c>
      <c r="F233" s="34">
        <v>3.8</v>
      </c>
      <c r="G233" s="34">
        <v>10.1</v>
      </c>
    </row>
    <row r="234" spans="1:7" ht="15.95">
      <c r="A234" s="32" t="s">
        <v>608</v>
      </c>
      <c r="B234" s="23">
        <v>95</v>
      </c>
      <c r="C234" s="34">
        <v>12.5</v>
      </c>
      <c r="D234" s="34">
        <v>81.099999999999994</v>
      </c>
      <c r="E234" s="34">
        <v>14.1</v>
      </c>
      <c r="F234" s="34">
        <v>0.9</v>
      </c>
      <c r="G234" s="34">
        <v>7.1</v>
      </c>
    </row>
    <row r="235" spans="1:7" ht="15.95">
      <c r="A235" s="32" t="s">
        <v>609</v>
      </c>
      <c r="B235" s="23">
        <v>44</v>
      </c>
      <c r="C235" s="35" t="s">
        <v>390</v>
      </c>
      <c r="D235" s="35" t="s">
        <v>390</v>
      </c>
      <c r="E235" s="35" t="s">
        <v>390</v>
      </c>
      <c r="F235" s="35" t="s">
        <v>390</v>
      </c>
      <c r="G235" s="35" t="s">
        <v>390</v>
      </c>
    </row>
    <row r="236" spans="1:7" ht="15.95">
      <c r="A236" s="32" t="s">
        <v>610</v>
      </c>
      <c r="B236" s="23">
        <v>72</v>
      </c>
      <c r="C236" s="34">
        <v>22</v>
      </c>
      <c r="D236" s="34">
        <v>74.7</v>
      </c>
      <c r="E236" s="34">
        <v>15</v>
      </c>
      <c r="F236" s="34">
        <v>5.4</v>
      </c>
      <c r="G236" s="34">
        <v>10</v>
      </c>
    </row>
    <row r="237" spans="1:7" ht="15.95">
      <c r="A237" s="32" t="s">
        <v>611</v>
      </c>
      <c r="B237" s="23">
        <v>283</v>
      </c>
      <c r="C237" s="34">
        <v>3.5</v>
      </c>
      <c r="D237" s="34">
        <v>88.5</v>
      </c>
      <c r="E237" s="34">
        <v>7.5</v>
      </c>
      <c r="F237" s="34">
        <v>1</v>
      </c>
      <c r="G237" s="34">
        <v>7.7</v>
      </c>
    </row>
    <row r="238" spans="1:7" ht="15.95">
      <c r="A238" s="32" t="s">
        <v>612</v>
      </c>
      <c r="B238" s="23">
        <v>27</v>
      </c>
      <c r="C238" s="35" t="s">
        <v>390</v>
      </c>
      <c r="D238" s="35" t="s">
        <v>390</v>
      </c>
      <c r="E238" s="35" t="s">
        <v>390</v>
      </c>
      <c r="F238" s="35" t="s">
        <v>390</v>
      </c>
      <c r="G238" s="35" t="s">
        <v>390</v>
      </c>
    </row>
    <row r="239" spans="1:7" ht="15.95">
      <c r="A239" s="32" t="s">
        <v>613</v>
      </c>
      <c r="B239" s="23">
        <v>408</v>
      </c>
      <c r="C239" s="34">
        <v>28.5</v>
      </c>
      <c r="D239" s="34">
        <v>67.400000000000006</v>
      </c>
      <c r="E239" s="34">
        <v>29</v>
      </c>
      <c r="F239" s="34">
        <v>1.8</v>
      </c>
      <c r="G239" s="34">
        <v>13.5</v>
      </c>
    </row>
    <row r="240" spans="1:7" ht="15.95">
      <c r="A240" s="32" t="s">
        <v>614</v>
      </c>
      <c r="B240" s="23">
        <v>136</v>
      </c>
      <c r="C240" s="34">
        <v>23.2</v>
      </c>
      <c r="D240" s="34">
        <v>87.1</v>
      </c>
      <c r="E240" s="34">
        <v>11.6</v>
      </c>
      <c r="F240" s="34">
        <v>0.9</v>
      </c>
      <c r="G240" s="34">
        <v>14.1</v>
      </c>
    </row>
    <row r="241" spans="1:7" ht="15.95">
      <c r="A241" s="32" t="s">
        <v>615</v>
      </c>
      <c r="B241" s="23">
        <v>4</v>
      </c>
      <c r="C241" s="35" t="s">
        <v>390</v>
      </c>
      <c r="D241" s="35" t="s">
        <v>390</v>
      </c>
      <c r="E241" s="35" t="s">
        <v>390</v>
      </c>
      <c r="F241" s="35" t="s">
        <v>390</v>
      </c>
      <c r="G241" s="35" t="s">
        <v>390</v>
      </c>
    </row>
    <row r="242" spans="1:7" ht="15.95">
      <c r="A242" s="32" t="s">
        <v>616</v>
      </c>
      <c r="B242" s="23">
        <v>6</v>
      </c>
      <c r="C242" s="35" t="s">
        <v>390</v>
      </c>
      <c r="D242" s="35" t="s">
        <v>390</v>
      </c>
      <c r="E242" s="35" t="s">
        <v>390</v>
      </c>
      <c r="F242" s="35" t="s">
        <v>390</v>
      </c>
      <c r="G242" s="35" t="s">
        <v>390</v>
      </c>
    </row>
    <row r="243" spans="1:7" ht="15.95">
      <c r="A243" s="32" t="s">
        <v>617</v>
      </c>
      <c r="B243" s="23">
        <v>704</v>
      </c>
      <c r="C243" s="34">
        <v>13.6</v>
      </c>
      <c r="D243" s="34">
        <v>79.8</v>
      </c>
      <c r="E243" s="34">
        <v>13.9</v>
      </c>
      <c r="F243" s="34">
        <v>2.4</v>
      </c>
      <c r="G243" s="34">
        <v>10.9</v>
      </c>
    </row>
    <row r="244" spans="1:7" ht="15.95">
      <c r="A244" s="32" t="s">
        <v>618</v>
      </c>
      <c r="B244" s="23">
        <v>7</v>
      </c>
      <c r="C244" s="35" t="s">
        <v>390</v>
      </c>
      <c r="D244" s="35" t="s">
        <v>390</v>
      </c>
      <c r="E244" s="35" t="s">
        <v>390</v>
      </c>
      <c r="F244" s="35" t="s">
        <v>390</v>
      </c>
      <c r="G244" s="35" t="s">
        <v>390</v>
      </c>
    </row>
    <row r="245" spans="1:7" ht="15.95">
      <c r="A245" s="32" t="s">
        <v>619</v>
      </c>
      <c r="B245" s="23">
        <v>15</v>
      </c>
      <c r="C245" s="35" t="s">
        <v>390</v>
      </c>
      <c r="D245" s="35" t="s">
        <v>390</v>
      </c>
      <c r="E245" s="35" t="s">
        <v>390</v>
      </c>
      <c r="F245" s="35" t="s">
        <v>390</v>
      </c>
      <c r="G245" s="35" t="s">
        <v>390</v>
      </c>
    </row>
    <row r="246" spans="1:7" ht="15.95">
      <c r="A246" s="32" t="s">
        <v>620</v>
      </c>
      <c r="B246" s="23">
        <v>94</v>
      </c>
      <c r="C246" s="34">
        <v>48.8</v>
      </c>
      <c r="D246" s="34">
        <v>79</v>
      </c>
      <c r="E246" s="34">
        <v>13.8</v>
      </c>
      <c r="F246" s="34">
        <v>4.5999999999999996</v>
      </c>
      <c r="G246" s="34">
        <v>11.3</v>
      </c>
    </row>
    <row r="247" spans="1:7" ht="15.95">
      <c r="A247" s="32" t="s">
        <v>621</v>
      </c>
      <c r="B247" s="23">
        <v>920</v>
      </c>
      <c r="C247" s="34">
        <v>24.3</v>
      </c>
      <c r="D247" s="34">
        <v>57.5</v>
      </c>
      <c r="E247" s="34">
        <v>32.299999999999997</v>
      </c>
      <c r="F247" s="34">
        <v>4.4000000000000004</v>
      </c>
      <c r="G247" s="34">
        <v>17</v>
      </c>
    </row>
    <row r="248" spans="1:7" ht="15.95">
      <c r="A248" s="32" t="s">
        <v>622</v>
      </c>
      <c r="B248" s="23">
        <v>63</v>
      </c>
      <c r="C248" s="34">
        <v>52.2</v>
      </c>
      <c r="D248" s="34">
        <v>69.400000000000006</v>
      </c>
      <c r="E248" s="34">
        <v>21.5</v>
      </c>
      <c r="F248" s="34">
        <v>4.7</v>
      </c>
      <c r="G248" s="34">
        <v>20.9</v>
      </c>
    </row>
    <row r="249" spans="1:7" ht="15.95">
      <c r="A249" s="32" t="s">
        <v>623</v>
      </c>
      <c r="B249" s="23">
        <v>46</v>
      </c>
      <c r="C249" s="35" t="s">
        <v>390</v>
      </c>
      <c r="D249" s="35" t="s">
        <v>390</v>
      </c>
      <c r="E249" s="35" t="s">
        <v>390</v>
      </c>
      <c r="F249" s="35" t="s">
        <v>390</v>
      </c>
      <c r="G249" s="35" t="s">
        <v>390</v>
      </c>
    </row>
    <row r="250" spans="1:7" ht="15" customHeight="1">
      <c r="A250" s="32" t="s">
        <v>624</v>
      </c>
      <c r="B250" s="23">
        <v>136</v>
      </c>
      <c r="C250" s="34">
        <v>49.6</v>
      </c>
      <c r="D250" s="34">
        <v>88.5</v>
      </c>
      <c r="E250" s="34">
        <v>4.0999999999999996</v>
      </c>
      <c r="F250" s="34">
        <v>2.5</v>
      </c>
      <c r="G250" s="34">
        <v>9.4</v>
      </c>
    </row>
    <row r="251" spans="1:7" ht="21" customHeight="1">
      <c r="A251" s="24" t="s">
        <v>625</v>
      </c>
      <c r="B251" s="23">
        <v>8305</v>
      </c>
      <c r="C251" s="34">
        <v>53.8</v>
      </c>
      <c r="D251" s="34">
        <v>74.400000000000006</v>
      </c>
      <c r="E251" s="34">
        <v>13.9</v>
      </c>
      <c r="F251" s="34">
        <v>6.2</v>
      </c>
      <c r="G251" s="34">
        <v>25.5</v>
      </c>
    </row>
    <row r="252" spans="1:7" ht="15.95">
      <c r="A252" s="32" t="s">
        <v>626</v>
      </c>
      <c r="B252" s="23">
        <v>465</v>
      </c>
      <c r="C252" s="34">
        <v>19.7</v>
      </c>
      <c r="D252" s="34">
        <v>65</v>
      </c>
      <c r="E252" s="34">
        <v>16.399999999999999</v>
      </c>
      <c r="F252" s="34">
        <v>13.9</v>
      </c>
      <c r="G252" s="34">
        <v>21</v>
      </c>
    </row>
    <row r="253" spans="1:7" ht="15.95">
      <c r="A253" s="32" t="s">
        <v>627</v>
      </c>
      <c r="B253" s="23">
        <v>519</v>
      </c>
      <c r="C253" s="34">
        <v>54.8</v>
      </c>
      <c r="D253" s="34">
        <v>74.8</v>
      </c>
      <c r="E253" s="34">
        <v>17</v>
      </c>
      <c r="F253" s="34">
        <v>3.7</v>
      </c>
      <c r="G253" s="34">
        <v>18.899999999999999</v>
      </c>
    </row>
    <row r="254" spans="1:7" ht="15.95">
      <c r="A254" s="32" t="s">
        <v>628</v>
      </c>
      <c r="B254" s="23">
        <v>2079</v>
      </c>
      <c r="C254" s="34">
        <v>39.299999999999997</v>
      </c>
      <c r="D254" s="34">
        <v>73.2</v>
      </c>
      <c r="E254" s="34">
        <v>16.8</v>
      </c>
      <c r="F254" s="34">
        <v>5.0999999999999996</v>
      </c>
      <c r="G254" s="34">
        <v>35.4</v>
      </c>
    </row>
    <row r="255" spans="1:7" ht="15.95">
      <c r="A255" s="32" t="s">
        <v>629</v>
      </c>
      <c r="B255" s="23">
        <v>1068</v>
      </c>
      <c r="C255" s="34">
        <v>58.9</v>
      </c>
      <c r="D255" s="34">
        <v>72.2</v>
      </c>
      <c r="E255" s="34">
        <v>14.5</v>
      </c>
      <c r="F255" s="34">
        <v>6.5</v>
      </c>
      <c r="G255" s="34">
        <v>27.4</v>
      </c>
    </row>
    <row r="256" spans="1:7" ht="15.95">
      <c r="A256" s="32" t="s">
        <v>630</v>
      </c>
      <c r="B256" s="23">
        <v>417</v>
      </c>
      <c r="C256" s="34">
        <v>57.3</v>
      </c>
      <c r="D256" s="34">
        <v>85.5</v>
      </c>
      <c r="E256" s="34">
        <v>7.2</v>
      </c>
      <c r="F256" s="34">
        <v>2.8</v>
      </c>
      <c r="G256" s="34">
        <v>14.1</v>
      </c>
    </row>
    <row r="257" spans="1:7" ht="15.95">
      <c r="A257" s="32" t="s">
        <v>631</v>
      </c>
      <c r="B257" s="23">
        <v>372</v>
      </c>
      <c r="C257" s="34">
        <v>60</v>
      </c>
      <c r="D257" s="34">
        <v>70</v>
      </c>
      <c r="E257" s="34">
        <v>17.3</v>
      </c>
      <c r="F257" s="34">
        <v>4.4000000000000004</v>
      </c>
      <c r="G257" s="34">
        <v>22.8</v>
      </c>
    </row>
    <row r="258" spans="1:7" ht="15.95">
      <c r="A258" s="32" t="s">
        <v>632</v>
      </c>
      <c r="B258" s="23">
        <v>225</v>
      </c>
      <c r="C258" s="34">
        <v>62.1</v>
      </c>
      <c r="D258" s="34">
        <v>72</v>
      </c>
      <c r="E258" s="34">
        <v>16.899999999999999</v>
      </c>
      <c r="F258" s="34">
        <v>5</v>
      </c>
      <c r="G258" s="34">
        <v>21.3</v>
      </c>
    </row>
    <row r="259" spans="1:7" ht="15.95">
      <c r="A259" s="32" t="s">
        <v>633</v>
      </c>
      <c r="B259" s="23">
        <v>2016</v>
      </c>
      <c r="C259" s="34">
        <v>69.900000000000006</v>
      </c>
      <c r="D259" s="34">
        <v>78.2</v>
      </c>
      <c r="E259" s="34">
        <v>9.1999999999999993</v>
      </c>
      <c r="F259" s="34">
        <v>7.6</v>
      </c>
      <c r="G259" s="34">
        <v>20.9</v>
      </c>
    </row>
    <row r="260" spans="1:7" ht="15.95">
      <c r="A260" s="32" t="s">
        <v>634</v>
      </c>
      <c r="B260" s="23">
        <v>207</v>
      </c>
      <c r="C260" s="34">
        <v>69.900000000000006</v>
      </c>
      <c r="D260" s="34">
        <v>69.900000000000006</v>
      </c>
      <c r="E260" s="34">
        <v>18.5</v>
      </c>
      <c r="F260" s="34">
        <v>7</v>
      </c>
      <c r="G260" s="34">
        <v>21.8</v>
      </c>
    </row>
    <row r="261" spans="1:7" ht="15.95">
      <c r="A261" s="32" t="s">
        <v>635</v>
      </c>
      <c r="B261" s="23">
        <v>334</v>
      </c>
      <c r="C261" s="34">
        <v>45.9</v>
      </c>
      <c r="D261" s="34">
        <v>76.400000000000006</v>
      </c>
      <c r="E261" s="34">
        <v>9.9</v>
      </c>
      <c r="F261" s="34">
        <v>7.8</v>
      </c>
      <c r="G261" s="34">
        <v>27.9</v>
      </c>
    </row>
    <row r="262" spans="1:7" ht="15.95">
      <c r="A262" s="32" t="s">
        <v>636</v>
      </c>
      <c r="B262" s="23">
        <v>274</v>
      </c>
      <c r="C262" s="34">
        <v>19.5</v>
      </c>
      <c r="D262" s="34">
        <v>70.900000000000006</v>
      </c>
      <c r="E262" s="34">
        <v>19.899999999999999</v>
      </c>
      <c r="F262" s="34">
        <v>2.9</v>
      </c>
      <c r="G262" s="34">
        <v>31.2</v>
      </c>
    </row>
    <row r="263" spans="1:7" ht="15.95">
      <c r="A263" s="32" t="s">
        <v>637</v>
      </c>
      <c r="B263" s="23">
        <v>324</v>
      </c>
      <c r="C263" s="34">
        <v>85.9</v>
      </c>
      <c r="D263" s="34">
        <v>74.8</v>
      </c>
      <c r="E263" s="34">
        <v>12.9</v>
      </c>
      <c r="F263" s="34">
        <v>3.3</v>
      </c>
      <c r="G263" s="34">
        <v>17.100000000000001</v>
      </c>
    </row>
    <row r="264" spans="1:7" ht="15.95">
      <c r="A264" s="32" t="s">
        <v>638</v>
      </c>
      <c r="B264" s="23">
        <v>4</v>
      </c>
      <c r="C264" s="35" t="s">
        <v>390</v>
      </c>
      <c r="D264" s="35" t="s">
        <v>390</v>
      </c>
      <c r="E264" s="35" t="s">
        <v>390</v>
      </c>
      <c r="F264" s="35" t="s">
        <v>390</v>
      </c>
      <c r="G264" s="35" t="s">
        <v>390</v>
      </c>
    </row>
    <row r="265" spans="1:7" ht="21" customHeight="1">
      <c r="A265" s="24" t="s">
        <v>639</v>
      </c>
      <c r="B265" s="23">
        <v>5888</v>
      </c>
      <c r="C265" s="34">
        <v>40.700000000000003</v>
      </c>
      <c r="D265" s="34">
        <v>77.400000000000006</v>
      </c>
      <c r="E265" s="34">
        <v>14.9</v>
      </c>
      <c r="F265" s="34">
        <v>3.3</v>
      </c>
      <c r="G265" s="34">
        <v>38</v>
      </c>
    </row>
    <row r="266" spans="1:7" ht="15.95">
      <c r="A266" s="32" t="s">
        <v>640</v>
      </c>
      <c r="B266" s="23">
        <v>326</v>
      </c>
      <c r="C266" s="34">
        <v>41.1</v>
      </c>
      <c r="D266" s="34">
        <v>79.900000000000006</v>
      </c>
      <c r="E266" s="34">
        <v>12</v>
      </c>
      <c r="F266" s="34">
        <v>4.5999999999999996</v>
      </c>
      <c r="G266" s="34">
        <v>28.5</v>
      </c>
    </row>
    <row r="267" spans="1:7" ht="15.95">
      <c r="A267" s="32" t="s">
        <v>641</v>
      </c>
      <c r="B267" s="23">
        <v>255</v>
      </c>
      <c r="C267" s="34">
        <v>8</v>
      </c>
      <c r="D267" s="34">
        <v>91.6</v>
      </c>
      <c r="E267" s="34">
        <v>5.4</v>
      </c>
      <c r="F267" s="34">
        <v>1.2</v>
      </c>
      <c r="G267" s="34">
        <v>21.5</v>
      </c>
    </row>
    <row r="268" spans="1:7" ht="15.95">
      <c r="A268" s="32" t="s">
        <v>642</v>
      </c>
      <c r="B268" s="23">
        <v>2307</v>
      </c>
      <c r="C268" s="34">
        <v>35.200000000000003</v>
      </c>
      <c r="D268" s="34">
        <v>72.5</v>
      </c>
      <c r="E268" s="34">
        <v>18.600000000000001</v>
      </c>
      <c r="F268" s="34">
        <v>3.8</v>
      </c>
      <c r="G268" s="34">
        <v>31.7</v>
      </c>
    </row>
    <row r="269" spans="1:7" ht="15.95">
      <c r="A269" s="32" t="s">
        <v>643</v>
      </c>
      <c r="B269" s="23">
        <v>1527</v>
      </c>
      <c r="C269" s="34">
        <v>88</v>
      </c>
      <c r="D269" s="34">
        <v>74.3</v>
      </c>
      <c r="E269" s="34">
        <v>17.899999999999999</v>
      </c>
      <c r="F269" s="34">
        <v>3.9</v>
      </c>
      <c r="G269" s="34">
        <v>49.4</v>
      </c>
    </row>
    <row r="270" spans="1:7" ht="15.95">
      <c r="A270" s="32" t="s">
        <v>644</v>
      </c>
      <c r="B270" s="23">
        <v>108</v>
      </c>
      <c r="C270" s="34">
        <v>6.5</v>
      </c>
      <c r="D270" s="34">
        <v>82</v>
      </c>
      <c r="E270" s="34">
        <v>11.4</v>
      </c>
      <c r="F270" s="34">
        <v>1.4</v>
      </c>
      <c r="G270" s="34">
        <v>13.3</v>
      </c>
    </row>
    <row r="271" spans="1:7" ht="15.95">
      <c r="A271" s="32" t="s">
        <v>645</v>
      </c>
      <c r="B271" s="23">
        <v>1365</v>
      </c>
      <c r="C271" s="34">
        <v>5.9</v>
      </c>
      <c r="D271" s="34">
        <v>85.6</v>
      </c>
      <c r="E271" s="34">
        <v>7.9</v>
      </c>
      <c r="F271" s="34">
        <v>2</v>
      </c>
      <c r="G271" s="34">
        <v>43.1</v>
      </c>
    </row>
    <row r="272" spans="1:7" ht="21" customHeight="1">
      <c r="A272" s="24" t="s">
        <v>646</v>
      </c>
      <c r="B272" s="23">
        <v>5939</v>
      </c>
      <c r="C272" s="34">
        <v>76.099999999999994</v>
      </c>
      <c r="D272" s="34">
        <v>69.5</v>
      </c>
      <c r="E272" s="34">
        <v>16.100000000000001</v>
      </c>
      <c r="F272" s="34">
        <v>10.199999999999999</v>
      </c>
      <c r="G272" s="34">
        <v>17.100000000000001</v>
      </c>
    </row>
    <row r="273" spans="1:7" ht="15.95">
      <c r="A273" s="32" t="s">
        <v>647</v>
      </c>
      <c r="B273" s="23">
        <v>208</v>
      </c>
      <c r="C273" s="34">
        <v>44.3</v>
      </c>
      <c r="D273" s="34">
        <v>82.4</v>
      </c>
      <c r="E273" s="34">
        <v>7.7</v>
      </c>
      <c r="F273" s="34">
        <v>4.7</v>
      </c>
      <c r="G273" s="34">
        <v>6.8</v>
      </c>
    </row>
    <row r="274" spans="1:7" ht="15.95">
      <c r="A274" s="32" t="s">
        <v>648</v>
      </c>
      <c r="B274" s="23">
        <v>232</v>
      </c>
      <c r="C274" s="34">
        <v>66.2</v>
      </c>
      <c r="D274" s="34">
        <v>63.8</v>
      </c>
      <c r="E274" s="34">
        <v>15.4</v>
      </c>
      <c r="F274" s="34">
        <v>18.8</v>
      </c>
      <c r="G274" s="34">
        <v>11.1</v>
      </c>
    </row>
    <row r="275" spans="1:7" ht="15.95">
      <c r="A275" s="32" t="s">
        <v>649</v>
      </c>
      <c r="B275" s="23">
        <v>49</v>
      </c>
      <c r="C275" s="35" t="s">
        <v>390</v>
      </c>
      <c r="D275" s="35" t="s">
        <v>390</v>
      </c>
      <c r="E275" s="35" t="s">
        <v>390</v>
      </c>
      <c r="F275" s="35" t="s">
        <v>390</v>
      </c>
      <c r="G275" s="35" t="s">
        <v>390</v>
      </c>
    </row>
    <row r="276" spans="1:7" ht="15.95">
      <c r="A276" s="32" t="s">
        <v>650</v>
      </c>
      <c r="B276" s="23">
        <v>263</v>
      </c>
      <c r="C276" s="34">
        <v>78.400000000000006</v>
      </c>
      <c r="D276" s="34">
        <v>90.8</v>
      </c>
      <c r="E276" s="34">
        <v>2.8</v>
      </c>
      <c r="F276" s="34">
        <v>1.6</v>
      </c>
      <c r="G276" s="34">
        <v>13.6</v>
      </c>
    </row>
    <row r="277" spans="1:7" ht="15.95">
      <c r="A277" s="32" t="s">
        <v>651</v>
      </c>
      <c r="B277" s="23">
        <v>90</v>
      </c>
      <c r="C277" s="34">
        <v>46.7</v>
      </c>
      <c r="D277" s="34">
        <v>45.1</v>
      </c>
      <c r="E277" s="34">
        <v>8.9</v>
      </c>
      <c r="F277" s="34">
        <v>34</v>
      </c>
      <c r="G277" s="34">
        <v>10.199999999999999</v>
      </c>
    </row>
    <row r="278" spans="1:7" ht="15.95">
      <c r="A278" s="32" t="s">
        <v>652</v>
      </c>
      <c r="B278" s="23">
        <v>1</v>
      </c>
      <c r="C278" s="35" t="s">
        <v>390</v>
      </c>
      <c r="D278" s="35" t="s">
        <v>390</v>
      </c>
      <c r="E278" s="35" t="s">
        <v>390</v>
      </c>
      <c r="F278" s="35" t="s">
        <v>390</v>
      </c>
      <c r="G278" s="35" t="s">
        <v>390</v>
      </c>
    </row>
    <row r="279" spans="1:7" ht="15.95">
      <c r="A279" s="32" t="s">
        <v>653</v>
      </c>
      <c r="B279" s="23">
        <v>37</v>
      </c>
      <c r="C279" s="35" t="s">
        <v>390</v>
      </c>
      <c r="D279" s="35" t="s">
        <v>390</v>
      </c>
      <c r="E279" s="35" t="s">
        <v>390</v>
      </c>
      <c r="F279" s="35" t="s">
        <v>390</v>
      </c>
      <c r="G279" s="35" t="s">
        <v>390</v>
      </c>
    </row>
    <row r="280" spans="1:7" ht="15.95">
      <c r="A280" s="32" t="s">
        <v>654</v>
      </c>
      <c r="B280" s="23">
        <v>224</v>
      </c>
      <c r="C280" s="34">
        <v>42.9</v>
      </c>
      <c r="D280" s="34">
        <v>75.900000000000006</v>
      </c>
      <c r="E280" s="34">
        <v>16.100000000000001</v>
      </c>
      <c r="F280" s="34">
        <v>1.8</v>
      </c>
      <c r="G280" s="34">
        <v>18.600000000000001</v>
      </c>
    </row>
    <row r="281" spans="1:7" ht="15.95">
      <c r="A281" s="32" t="s">
        <v>655</v>
      </c>
      <c r="B281" s="23">
        <v>17</v>
      </c>
      <c r="C281" s="35" t="s">
        <v>390</v>
      </c>
      <c r="D281" s="35" t="s">
        <v>390</v>
      </c>
      <c r="E281" s="35" t="s">
        <v>390</v>
      </c>
      <c r="F281" s="35" t="s">
        <v>390</v>
      </c>
      <c r="G281" s="35" t="s">
        <v>390</v>
      </c>
    </row>
    <row r="282" spans="1:7" ht="15.95">
      <c r="A282" s="32" t="s">
        <v>656</v>
      </c>
      <c r="B282" s="23">
        <v>42</v>
      </c>
      <c r="C282" s="35" t="s">
        <v>390</v>
      </c>
      <c r="D282" s="35" t="s">
        <v>390</v>
      </c>
      <c r="E282" s="35" t="s">
        <v>390</v>
      </c>
      <c r="F282" s="35" t="s">
        <v>390</v>
      </c>
      <c r="G282" s="35" t="s">
        <v>390</v>
      </c>
    </row>
    <row r="283" spans="1:7" ht="15.95">
      <c r="A283" s="32" t="s">
        <v>657</v>
      </c>
      <c r="B283" s="23">
        <v>135</v>
      </c>
      <c r="C283" s="34">
        <v>15.6</v>
      </c>
      <c r="D283" s="34">
        <v>50.7</v>
      </c>
      <c r="E283" s="34">
        <v>38.1</v>
      </c>
      <c r="F283" s="34">
        <v>5.0999999999999996</v>
      </c>
      <c r="G283" s="34">
        <v>24.1</v>
      </c>
    </row>
    <row r="284" spans="1:7" ht="15.95">
      <c r="A284" s="32" t="s">
        <v>658</v>
      </c>
      <c r="B284" s="23">
        <v>806</v>
      </c>
      <c r="C284" s="34">
        <v>92.6</v>
      </c>
      <c r="D284" s="34">
        <v>76.7</v>
      </c>
      <c r="E284" s="34">
        <v>13.5</v>
      </c>
      <c r="F284" s="34">
        <v>5.6</v>
      </c>
      <c r="G284" s="34">
        <v>16.3</v>
      </c>
    </row>
    <row r="285" spans="1:7" ht="15.95">
      <c r="A285" s="32" t="s">
        <v>659</v>
      </c>
      <c r="B285" s="23">
        <v>397</v>
      </c>
      <c r="C285" s="34">
        <v>81.8</v>
      </c>
      <c r="D285" s="34">
        <v>27.2</v>
      </c>
      <c r="E285" s="34">
        <v>8.3000000000000007</v>
      </c>
      <c r="F285" s="34">
        <v>62.3</v>
      </c>
      <c r="G285" s="34">
        <v>9.1</v>
      </c>
    </row>
    <row r="286" spans="1:7" ht="15.95">
      <c r="A286" s="32" t="s">
        <v>660</v>
      </c>
      <c r="B286" s="23">
        <v>89</v>
      </c>
      <c r="C286" s="34">
        <v>31.1</v>
      </c>
      <c r="D286" s="34">
        <v>60.1</v>
      </c>
      <c r="E286" s="34">
        <v>24.9</v>
      </c>
      <c r="F286" s="34">
        <v>8.3000000000000007</v>
      </c>
      <c r="G286" s="34">
        <v>27.5</v>
      </c>
    </row>
    <row r="287" spans="1:7" ht="15.95">
      <c r="A287" s="32" t="s">
        <v>661</v>
      </c>
      <c r="B287" s="23">
        <v>68</v>
      </c>
      <c r="C287" s="34">
        <v>46.4</v>
      </c>
      <c r="D287" s="34">
        <v>81.2</v>
      </c>
      <c r="E287" s="34">
        <v>4.5</v>
      </c>
      <c r="F287" s="34">
        <v>5.3</v>
      </c>
      <c r="G287" s="34">
        <v>8.8000000000000007</v>
      </c>
    </row>
    <row r="288" spans="1:7" ht="15.95">
      <c r="A288" s="32" t="s">
        <v>662</v>
      </c>
      <c r="B288" s="23">
        <v>1225</v>
      </c>
      <c r="C288" s="34">
        <v>93.7</v>
      </c>
      <c r="D288" s="34">
        <v>77.3</v>
      </c>
      <c r="E288" s="34">
        <v>15.4</v>
      </c>
      <c r="F288" s="34">
        <v>4.3</v>
      </c>
      <c r="G288" s="34">
        <v>22.3</v>
      </c>
    </row>
    <row r="289" spans="1:9" ht="15.95">
      <c r="A289" s="32" t="s">
        <v>663</v>
      </c>
      <c r="B289" s="23">
        <v>1365</v>
      </c>
      <c r="C289" s="34">
        <v>83.7</v>
      </c>
      <c r="D289" s="34">
        <v>62</v>
      </c>
      <c r="E289" s="34">
        <v>24.8</v>
      </c>
      <c r="F289" s="34">
        <v>9.1</v>
      </c>
      <c r="G289" s="34">
        <v>20.7</v>
      </c>
    </row>
    <row r="290" spans="1:9" ht="15.95">
      <c r="A290" s="32" t="s">
        <v>664</v>
      </c>
      <c r="B290" s="23">
        <v>480</v>
      </c>
      <c r="C290" s="34">
        <v>62.3</v>
      </c>
      <c r="D290" s="34">
        <v>80.099999999999994</v>
      </c>
      <c r="E290" s="34">
        <v>11.4</v>
      </c>
      <c r="F290" s="34">
        <v>3.5</v>
      </c>
      <c r="G290" s="34">
        <v>9.6</v>
      </c>
    </row>
    <row r="291" spans="1:9" ht="15.95">
      <c r="A291" s="32" t="s">
        <v>665</v>
      </c>
      <c r="B291" s="23">
        <v>44</v>
      </c>
      <c r="C291" s="35" t="s">
        <v>390</v>
      </c>
      <c r="D291" s="35" t="s">
        <v>390</v>
      </c>
      <c r="E291" s="35" t="s">
        <v>390</v>
      </c>
      <c r="F291" s="35" t="s">
        <v>390</v>
      </c>
      <c r="G291" s="35" t="s">
        <v>390</v>
      </c>
    </row>
    <row r="292" spans="1:9" ht="15.95">
      <c r="A292" s="32" t="s">
        <v>666</v>
      </c>
      <c r="B292" s="23">
        <v>167</v>
      </c>
      <c r="C292" s="34">
        <v>60.1</v>
      </c>
      <c r="D292" s="34">
        <v>74.599999999999994</v>
      </c>
      <c r="E292" s="34">
        <v>14.6</v>
      </c>
      <c r="F292" s="34">
        <v>4.9000000000000004</v>
      </c>
      <c r="G292" s="34">
        <v>17.8</v>
      </c>
    </row>
    <row r="293" spans="1:9">
      <c r="B293" s="25"/>
    </row>
    <row r="294" spans="1:9" ht="15.95">
      <c r="A294" s="22" t="s">
        <v>667</v>
      </c>
      <c r="B294" s="23">
        <v>33566</v>
      </c>
      <c r="C294" s="34">
        <v>61.3</v>
      </c>
      <c r="D294" s="34">
        <v>78.5</v>
      </c>
      <c r="E294" s="34">
        <v>13</v>
      </c>
      <c r="F294" s="34">
        <v>5</v>
      </c>
      <c r="G294" s="34">
        <v>15.9</v>
      </c>
    </row>
    <row r="295" spans="1:9" ht="21" customHeight="1">
      <c r="A295" s="24" t="s">
        <v>668</v>
      </c>
      <c r="B295" s="23">
        <v>15815</v>
      </c>
      <c r="C295" s="34">
        <v>49.1</v>
      </c>
      <c r="D295" s="34">
        <v>79.900000000000006</v>
      </c>
      <c r="E295" s="34">
        <v>11.1</v>
      </c>
      <c r="F295" s="34">
        <v>5.6</v>
      </c>
      <c r="G295" s="34">
        <v>15.9</v>
      </c>
    </row>
    <row r="296" spans="1:9" ht="15.95">
      <c r="A296" s="32" t="s">
        <v>669</v>
      </c>
      <c r="B296" s="23">
        <v>3272</v>
      </c>
      <c r="C296" s="34">
        <v>43.4</v>
      </c>
      <c r="D296" s="34">
        <v>81.599999999999994</v>
      </c>
      <c r="E296" s="34">
        <v>9.4</v>
      </c>
      <c r="F296" s="34">
        <v>6.2</v>
      </c>
      <c r="G296" s="34">
        <v>15</v>
      </c>
    </row>
    <row r="297" spans="1:9" ht="15.95">
      <c r="A297" s="32" t="s">
        <v>670</v>
      </c>
      <c r="B297" s="23">
        <v>1220</v>
      </c>
      <c r="C297" s="34">
        <v>30</v>
      </c>
      <c r="D297" s="34">
        <v>84.6</v>
      </c>
      <c r="E297" s="34">
        <v>6.8</v>
      </c>
      <c r="F297" s="34">
        <v>5.4</v>
      </c>
      <c r="G297" s="34">
        <v>13.3</v>
      </c>
    </row>
    <row r="298" spans="1:9" ht="15.95">
      <c r="A298" s="32" t="s">
        <v>671</v>
      </c>
      <c r="B298" s="23">
        <v>3253</v>
      </c>
      <c r="C298" s="34">
        <v>72.7</v>
      </c>
      <c r="D298" s="34">
        <v>70.2</v>
      </c>
      <c r="E298" s="34">
        <v>17.899999999999999</v>
      </c>
      <c r="F298" s="34">
        <v>6.4</v>
      </c>
      <c r="G298" s="34">
        <v>22.3</v>
      </c>
    </row>
    <row r="299" spans="1:9" ht="15.95">
      <c r="A299" s="32" t="s">
        <v>672</v>
      </c>
      <c r="B299" s="23">
        <v>109</v>
      </c>
      <c r="C299" s="34">
        <v>48.9</v>
      </c>
      <c r="D299" s="34">
        <v>78.400000000000006</v>
      </c>
      <c r="E299" s="34">
        <v>12.7</v>
      </c>
      <c r="F299" s="34">
        <v>7</v>
      </c>
      <c r="G299" s="34">
        <v>18.600000000000001</v>
      </c>
    </row>
    <row r="300" spans="1:9" ht="15.95">
      <c r="A300" s="32" t="s">
        <v>673</v>
      </c>
      <c r="B300" s="23">
        <v>130</v>
      </c>
      <c r="C300" s="34">
        <v>7.2</v>
      </c>
      <c r="D300" s="34">
        <v>88.8</v>
      </c>
      <c r="E300" s="34">
        <v>4.5</v>
      </c>
      <c r="F300" s="34">
        <v>2.5</v>
      </c>
      <c r="G300" s="34">
        <v>21.9</v>
      </c>
    </row>
    <row r="301" spans="1:9" ht="15.95">
      <c r="A301" s="32" t="s">
        <v>674</v>
      </c>
      <c r="B301" s="23">
        <v>3235</v>
      </c>
      <c r="C301" s="34">
        <v>48.2</v>
      </c>
      <c r="D301" s="34">
        <v>77.599999999999994</v>
      </c>
      <c r="E301" s="34">
        <v>12.8</v>
      </c>
      <c r="F301" s="34">
        <v>5.7</v>
      </c>
      <c r="G301" s="34">
        <v>17.2</v>
      </c>
    </row>
    <row r="302" spans="1:9" ht="15.95">
      <c r="A302" s="32" t="s">
        <v>675</v>
      </c>
      <c r="B302" s="23">
        <v>241</v>
      </c>
      <c r="C302" s="34">
        <v>50.4</v>
      </c>
      <c r="D302" s="34">
        <v>80.7</v>
      </c>
      <c r="E302" s="34">
        <v>14.8</v>
      </c>
      <c r="F302" s="34">
        <v>3.9</v>
      </c>
      <c r="G302" s="34">
        <v>10.6</v>
      </c>
    </row>
    <row r="303" spans="1:9" ht="15.95">
      <c r="A303" s="32" t="s">
        <v>676</v>
      </c>
      <c r="B303" s="23">
        <v>624</v>
      </c>
      <c r="C303" s="34">
        <v>51.8</v>
      </c>
      <c r="D303" s="34">
        <v>81.3</v>
      </c>
      <c r="E303" s="34">
        <v>10</v>
      </c>
      <c r="F303" s="34">
        <v>5.9</v>
      </c>
      <c r="G303" s="34">
        <v>11.9</v>
      </c>
      <c r="I303" s="36">
        <f>B303/$B$295</f>
        <v>3.9456212456528611E-2</v>
      </c>
    </row>
    <row r="304" spans="1:9" ht="15.95">
      <c r="A304" s="32" t="s">
        <v>677</v>
      </c>
      <c r="B304" s="23">
        <v>262</v>
      </c>
      <c r="C304" s="34">
        <v>34</v>
      </c>
      <c r="D304" s="34">
        <v>85.8</v>
      </c>
      <c r="E304" s="34">
        <v>6</v>
      </c>
      <c r="F304" s="34">
        <v>5.0999999999999996</v>
      </c>
      <c r="G304" s="34">
        <v>10.3</v>
      </c>
      <c r="I304" s="36">
        <f t="shared" ref="I304:I311" si="0">B304/$B$295</f>
        <v>1.6566550742965539E-2</v>
      </c>
    </row>
    <row r="305" spans="1:9" ht="15.95">
      <c r="A305" s="32" t="s">
        <v>678</v>
      </c>
      <c r="B305" s="23">
        <v>89</v>
      </c>
      <c r="C305" s="34">
        <v>82.7</v>
      </c>
      <c r="D305" s="34">
        <v>81.900000000000006</v>
      </c>
      <c r="E305" s="34">
        <v>11.2</v>
      </c>
      <c r="F305" s="34">
        <v>6.4</v>
      </c>
      <c r="G305" s="34">
        <v>13</v>
      </c>
      <c r="I305" s="36">
        <f t="shared" si="0"/>
        <v>5.6275687638318054E-3</v>
      </c>
    </row>
    <row r="306" spans="1:9" ht="15.95">
      <c r="A306" s="32" t="s">
        <v>679</v>
      </c>
      <c r="B306" s="23">
        <v>525</v>
      </c>
      <c r="C306" s="34">
        <v>27.1</v>
      </c>
      <c r="D306" s="34">
        <v>88.5</v>
      </c>
      <c r="E306" s="34">
        <v>6.4</v>
      </c>
      <c r="F306" s="34">
        <v>3.2</v>
      </c>
      <c r="G306" s="34">
        <v>12.9</v>
      </c>
      <c r="I306" s="36">
        <f t="shared" si="0"/>
        <v>3.3196332595637056E-2</v>
      </c>
    </row>
    <row r="307" spans="1:9" ht="15.95">
      <c r="A307" s="32" t="s">
        <v>680</v>
      </c>
      <c r="B307" s="23">
        <v>1264</v>
      </c>
      <c r="C307" s="34">
        <v>28</v>
      </c>
      <c r="D307" s="34">
        <v>89.9</v>
      </c>
      <c r="E307" s="34">
        <v>4.5999999999999996</v>
      </c>
      <c r="F307" s="34">
        <v>3.7</v>
      </c>
      <c r="G307" s="34">
        <v>10.1</v>
      </c>
      <c r="I307" s="36">
        <f t="shared" si="0"/>
        <v>7.9924122668352832E-2</v>
      </c>
    </row>
    <row r="308" spans="1:9" ht="15.95">
      <c r="A308" s="32" t="s">
        <v>681</v>
      </c>
      <c r="B308" s="23">
        <v>61</v>
      </c>
      <c r="C308" s="34">
        <v>78.400000000000006</v>
      </c>
      <c r="D308" s="34">
        <v>82.4</v>
      </c>
      <c r="E308" s="34">
        <v>6</v>
      </c>
      <c r="F308" s="34">
        <v>8.6999999999999993</v>
      </c>
      <c r="G308" s="34">
        <v>12.8</v>
      </c>
      <c r="I308" s="36">
        <f t="shared" si="0"/>
        <v>3.8570976920644959E-3</v>
      </c>
    </row>
    <row r="309" spans="1:9" ht="15.95">
      <c r="A309" s="32" t="s">
        <v>682</v>
      </c>
      <c r="B309" s="23">
        <v>997</v>
      </c>
      <c r="C309" s="34">
        <v>57.1</v>
      </c>
      <c r="D309" s="34">
        <v>85.7</v>
      </c>
      <c r="E309" s="34">
        <v>7.2</v>
      </c>
      <c r="F309" s="34">
        <v>4.8</v>
      </c>
      <c r="G309" s="34">
        <v>11.5</v>
      </c>
      <c r="I309" s="36">
        <f t="shared" si="0"/>
        <v>6.3041416376857409E-2</v>
      </c>
    </row>
    <row r="310" spans="1:9" ht="15.95">
      <c r="A310" s="32" t="s">
        <v>683</v>
      </c>
      <c r="B310" s="23">
        <v>35</v>
      </c>
      <c r="C310" s="35" t="s">
        <v>390</v>
      </c>
      <c r="D310" s="35" t="s">
        <v>390</v>
      </c>
      <c r="E310" s="35" t="s">
        <v>390</v>
      </c>
      <c r="F310" s="35" t="s">
        <v>390</v>
      </c>
      <c r="G310" s="35" t="s">
        <v>390</v>
      </c>
      <c r="I310" s="36">
        <f t="shared" si="0"/>
        <v>2.2130888397091371E-3</v>
      </c>
    </row>
    <row r="311" spans="1:9" ht="15.95">
      <c r="A311" s="32" t="s">
        <v>684</v>
      </c>
      <c r="B311" s="23">
        <v>58</v>
      </c>
      <c r="C311" s="34">
        <v>69.400000000000006</v>
      </c>
      <c r="D311" s="34">
        <v>61.3</v>
      </c>
      <c r="E311" s="34">
        <v>24.7</v>
      </c>
      <c r="F311" s="34">
        <v>7</v>
      </c>
      <c r="G311" s="34">
        <v>25.8</v>
      </c>
      <c r="I311" s="36">
        <f t="shared" si="0"/>
        <v>3.6674043629465699E-3</v>
      </c>
    </row>
    <row r="312" spans="1:9" ht="15" customHeight="1">
      <c r="A312" s="32" t="s">
        <v>685</v>
      </c>
      <c r="B312" s="23">
        <v>166</v>
      </c>
      <c r="C312" s="34">
        <v>58.4</v>
      </c>
      <c r="D312" s="34">
        <v>82.9</v>
      </c>
      <c r="E312" s="34">
        <v>11</v>
      </c>
      <c r="F312" s="34">
        <v>5.4</v>
      </c>
      <c r="G312" s="34">
        <v>22</v>
      </c>
    </row>
    <row r="313" spans="1:9" ht="15.95">
      <c r="A313" s="32" t="s">
        <v>686</v>
      </c>
      <c r="B313" s="23">
        <v>276</v>
      </c>
      <c r="C313" s="34">
        <v>50.3</v>
      </c>
      <c r="D313" s="34">
        <v>84.2</v>
      </c>
      <c r="E313" s="34">
        <v>9.5</v>
      </c>
      <c r="F313" s="34">
        <v>4.9000000000000004</v>
      </c>
      <c r="G313" s="34">
        <v>8.1</v>
      </c>
    </row>
    <row r="314" spans="1:9" s="40" customFormat="1" ht="15.95">
      <c r="A314" s="37" t="s">
        <v>687</v>
      </c>
      <c r="B314" s="38"/>
      <c r="C314" s="39"/>
      <c r="D314" s="39"/>
      <c r="E314" s="39"/>
      <c r="F314" s="39"/>
      <c r="G314" s="39"/>
      <c r="I314" s="42">
        <f>SUM(I295:I313)</f>
        <v>0.24754979449889347</v>
      </c>
    </row>
    <row r="315" spans="1:9" ht="21" customHeight="1">
      <c r="A315" s="24" t="s">
        <v>688</v>
      </c>
      <c r="B315" s="23">
        <v>17751</v>
      </c>
      <c r="C315" s="34">
        <v>72.2</v>
      </c>
      <c r="D315" s="34">
        <v>77.3</v>
      </c>
      <c r="E315" s="34">
        <v>14.6</v>
      </c>
      <c r="F315" s="34">
        <v>4.5</v>
      </c>
      <c r="G315" s="34">
        <v>15.9</v>
      </c>
    </row>
    <row r="316" spans="1:9" ht="15.95">
      <c r="A316" s="32" t="s">
        <v>689</v>
      </c>
      <c r="B316" s="23">
        <v>1425</v>
      </c>
      <c r="C316" s="34">
        <v>70.099999999999994</v>
      </c>
      <c r="D316" s="34">
        <v>80.3</v>
      </c>
      <c r="E316" s="34">
        <v>13.4</v>
      </c>
      <c r="F316" s="34">
        <v>4</v>
      </c>
      <c r="G316" s="34">
        <v>11.6</v>
      </c>
      <c r="I316" s="36">
        <f>B316/$B$315</f>
        <v>8.0277167483522052E-2</v>
      </c>
    </row>
    <row r="317" spans="1:9" ht="15.95">
      <c r="A317" s="32" t="s">
        <v>690</v>
      </c>
      <c r="B317" s="23">
        <v>23</v>
      </c>
      <c r="C317" s="35" t="s">
        <v>390</v>
      </c>
      <c r="D317" s="35" t="s">
        <v>390</v>
      </c>
      <c r="E317" s="35" t="s">
        <v>390</v>
      </c>
      <c r="F317" s="35" t="s">
        <v>390</v>
      </c>
      <c r="G317" s="35" t="s">
        <v>390</v>
      </c>
      <c r="I317" s="36"/>
    </row>
    <row r="318" spans="1:9" ht="15.95">
      <c r="A318" s="32" t="s">
        <v>691</v>
      </c>
      <c r="B318" s="23">
        <v>47</v>
      </c>
      <c r="C318" s="35" t="s">
        <v>390</v>
      </c>
      <c r="D318" s="35" t="s">
        <v>390</v>
      </c>
      <c r="E318" s="35" t="s">
        <v>390</v>
      </c>
      <c r="F318" s="35" t="s">
        <v>390</v>
      </c>
      <c r="G318" s="35" t="s">
        <v>390</v>
      </c>
      <c r="I318" s="36"/>
    </row>
    <row r="319" spans="1:9" ht="15.95">
      <c r="A319" s="32" t="s">
        <v>692</v>
      </c>
      <c r="B319" s="23">
        <v>9</v>
      </c>
      <c r="C319" s="35" t="s">
        <v>390</v>
      </c>
      <c r="D319" s="35" t="s">
        <v>390</v>
      </c>
      <c r="E319" s="35" t="s">
        <v>390</v>
      </c>
      <c r="F319" s="35" t="s">
        <v>390</v>
      </c>
      <c r="G319" s="35" t="s">
        <v>390</v>
      </c>
      <c r="I319" s="36"/>
    </row>
    <row r="320" spans="1:9" ht="15.95">
      <c r="A320" s="32" t="s">
        <v>693</v>
      </c>
      <c r="B320" s="23">
        <v>139</v>
      </c>
      <c r="C320" s="34">
        <v>71.3</v>
      </c>
      <c r="D320" s="34">
        <v>70.7</v>
      </c>
      <c r="E320" s="34">
        <v>22.9</v>
      </c>
      <c r="F320" s="34">
        <v>3.1</v>
      </c>
      <c r="G320" s="34">
        <v>18.899999999999999</v>
      </c>
      <c r="I320" s="36">
        <f>B320/$B$315</f>
        <v>7.8305447580418013E-3</v>
      </c>
    </row>
    <row r="321" spans="1:9" ht="15.95">
      <c r="A321" s="32" t="s">
        <v>694</v>
      </c>
      <c r="B321" s="23">
        <v>473</v>
      </c>
      <c r="C321" s="34">
        <v>85.9</v>
      </c>
      <c r="D321" s="34">
        <v>79.400000000000006</v>
      </c>
      <c r="E321" s="34">
        <v>13.6</v>
      </c>
      <c r="F321" s="34">
        <v>3.8</v>
      </c>
      <c r="G321" s="34">
        <v>13.1</v>
      </c>
      <c r="I321" s="36">
        <f>B321/$B$315</f>
        <v>2.6646386119091883E-2</v>
      </c>
    </row>
    <row r="322" spans="1:9" ht="15.95">
      <c r="A322" s="32" t="s">
        <v>695</v>
      </c>
      <c r="B322" s="23">
        <v>1089</v>
      </c>
      <c r="C322" s="34">
        <v>88.7</v>
      </c>
      <c r="D322" s="34">
        <v>87.4</v>
      </c>
      <c r="E322" s="34">
        <v>6.9</v>
      </c>
      <c r="F322" s="34">
        <v>3.7</v>
      </c>
      <c r="G322" s="34">
        <v>11.3</v>
      </c>
      <c r="I322" s="36">
        <f>B322/$B$315</f>
        <v>6.1348656413723168E-2</v>
      </c>
    </row>
    <row r="323" spans="1:9" ht="15.95">
      <c r="A323" s="32" t="s">
        <v>696</v>
      </c>
      <c r="B323" s="23">
        <v>14</v>
      </c>
      <c r="C323" s="35" t="s">
        <v>390</v>
      </c>
      <c r="D323" s="35" t="s">
        <v>390</v>
      </c>
      <c r="E323" s="35" t="s">
        <v>390</v>
      </c>
      <c r="F323" s="35" t="s">
        <v>390</v>
      </c>
      <c r="G323" s="35" t="s">
        <v>390</v>
      </c>
      <c r="I323" s="36"/>
    </row>
    <row r="324" spans="1:9" ht="15.95">
      <c r="A324" s="32" t="s">
        <v>697</v>
      </c>
      <c r="B324" s="23">
        <v>129</v>
      </c>
      <c r="C324" s="34">
        <v>89.5</v>
      </c>
      <c r="D324" s="34">
        <v>75.599999999999994</v>
      </c>
      <c r="E324" s="34">
        <v>14.3</v>
      </c>
      <c r="F324" s="34">
        <v>4.2</v>
      </c>
      <c r="G324" s="34">
        <v>17.7</v>
      </c>
      <c r="I324" s="36">
        <f>B324/$B$315</f>
        <v>7.2671962142977862E-3</v>
      </c>
    </row>
    <row r="325" spans="1:9" ht="15.95">
      <c r="A325" s="32" t="s">
        <v>698</v>
      </c>
      <c r="B325" s="23">
        <v>30</v>
      </c>
      <c r="C325" s="35" t="s">
        <v>390</v>
      </c>
      <c r="D325" s="35" t="s">
        <v>390</v>
      </c>
      <c r="E325" s="35" t="s">
        <v>390</v>
      </c>
      <c r="F325" s="35" t="s">
        <v>390</v>
      </c>
      <c r="G325" s="35" t="s">
        <v>390</v>
      </c>
      <c r="I325" s="36">
        <f>B325/$B$315</f>
        <v>1.6900456312320432E-3</v>
      </c>
    </row>
    <row r="326" spans="1:9" ht="15.95">
      <c r="A326" s="32" t="s">
        <v>699</v>
      </c>
      <c r="B326" s="23">
        <v>306</v>
      </c>
      <c r="C326" s="34">
        <v>85.2</v>
      </c>
      <c r="D326" s="34">
        <v>79.900000000000006</v>
      </c>
      <c r="E326" s="34">
        <v>12.6</v>
      </c>
      <c r="F326" s="34">
        <v>5</v>
      </c>
      <c r="G326" s="34">
        <v>16.399999999999999</v>
      </c>
      <c r="I326" s="36"/>
    </row>
    <row r="327" spans="1:9" ht="15.95">
      <c r="A327" s="32" t="s">
        <v>700</v>
      </c>
      <c r="B327" s="23">
        <v>82</v>
      </c>
      <c r="C327" s="34">
        <v>60.8</v>
      </c>
      <c r="D327" s="34">
        <v>78.3</v>
      </c>
      <c r="E327" s="34">
        <v>16</v>
      </c>
      <c r="F327" s="34">
        <v>3.9</v>
      </c>
      <c r="G327" s="34">
        <v>17.8</v>
      </c>
      <c r="I327" s="36"/>
    </row>
    <row r="328" spans="1:9" ht="15.95">
      <c r="A328" s="32" t="s">
        <v>701</v>
      </c>
      <c r="B328" s="23">
        <v>7</v>
      </c>
      <c r="C328" s="35" t="s">
        <v>390</v>
      </c>
      <c r="D328" s="35" t="s">
        <v>390</v>
      </c>
      <c r="E328" s="35" t="s">
        <v>390</v>
      </c>
      <c r="F328" s="35" t="s">
        <v>390</v>
      </c>
      <c r="G328" s="35" t="s">
        <v>390</v>
      </c>
      <c r="I328" s="36"/>
    </row>
    <row r="329" spans="1:9" ht="15.95">
      <c r="A329" s="32" t="s">
        <v>702</v>
      </c>
      <c r="B329" s="23">
        <v>7</v>
      </c>
      <c r="C329" s="35" t="s">
        <v>390</v>
      </c>
      <c r="D329" s="35" t="s">
        <v>390</v>
      </c>
      <c r="E329" s="35" t="s">
        <v>390</v>
      </c>
      <c r="F329" s="35" t="s">
        <v>390</v>
      </c>
      <c r="G329" s="35" t="s">
        <v>390</v>
      </c>
      <c r="I329" s="36"/>
    </row>
    <row r="330" spans="1:9" ht="15.95">
      <c r="A330" s="32" t="s">
        <v>703</v>
      </c>
      <c r="B330" s="23">
        <v>90</v>
      </c>
      <c r="C330" s="34">
        <v>75.2</v>
      </c>
      <c r="D330" s="34">
        <v>75.8</v>
      </c>
      <c r="E330" s="34">
        <v>15.6</v>
      </c>
      <c r="F330" s="34">
        <v>2</v>
      </c>
      <c r="G330" s="34">
        <v>16.600000000000001</v>
      </c>
      <c r="I330" s="36"/>
    </row>
    <row r="331" spans="1:9" ht="15.95">
      <c r="A331" s="32" t="s">
        <v>704</v>
      </c>
      <c r="B331" s="23">
        <v>55</v>
      </c>
      <c r="C331" s="34">
        <v>63.8</v>
      </c>
      <c r="D331" s="34">
        <v>90.5</v>
      </c>
      <c r="E331" s="34">
        <v>3.2</v>
      </c>
      <c r="F331" s="34">
        <v>5.7</v>
      </c>
      <c r="G331" s="34">
        <v>17.3</v>
      </c>
      <c r="I331" s="36"/>
    </row>
    <row r="332" spans="1:9" ht="15.95">
      <c r="A332" s="32" t="s">
        <v>705</v>
      </c>
      <c r="B332" s="23">
        <v>2494</v>
      </c>
      <c r="C332" s="34">
        <v>65.099999999999994</v>
      </c>
      <c r="D332" s="34">
        <v>73.2</v>
      </c>
      <c r="E332" s="34">
        <v>17.2</v>
      </c>
      <c r="F332" s="34">
        <v>5.4</v>
      </c>
      <c r="G332" s="34">
        <v>17.399999999999999</v>
      </c>
      <c r="I332" s="36">
        <f>B332/$B$315</f>
        <v>0.14049912680975721</v>
      </c>
    </row>
    <row r="333" spans="1:9" ht="15.95">
      <c r="A333" s="32" t="s">
        <v>706</v>
      </c>
      <c r="B333" s="23">
        <v>62</v>
      </c>
      <c r="C333" s="34">
        <v>76.7</v>
      </c>
      <c r="D333" s="34">
        <v>58.8</v>
      </c>
      <c r="E333" s="34">
        <v>26.8</v>
      </c>
      <c r="F333" s="34">
        <v>10</v>
      </c>
      <c r="G333" s="34">
        <v>21.9</v>
      </c>
      <c r="I333" s="36"/>
    </row>
    <row r="334" spans="1:9" ht="15.95">
      <c r="A334" s="32" t="s">
        <v>707</v>
      </c>
      <c r="B334" s="23">
        <v>182</v>
      </c>
      <c r="C334" s="34">
        <v>81.400000000000006</v>
      </c>
      <c r="D334" s="34">
        <v>77.2</v>
      </c>
      <c r="E334" s="34">
        <v>13.6</v>
      </c>
      <c r="F334" s="34">
        <v>6.9</v>
      </c>
      <c r="G334" s="34">
        <v>17.8</v>
      </c>
      <c r="I334" s="36"/>
    </row>
    <row r="335" spans="1:9" ht="15.95">
      <c r="A335" s="32" t="s">
        <v>708</v>
      </c>
      <c r="B335" s="23">
        <v>125</v>
      </c>
      <c r="C335" s="34">
        <v>60.9</v>
      </c>
      <c r="D335" s="34">
        <v>64.8</v>
      </c>
      <c r="E335" s="34">
        <v>21.5</v>
      </c>
      <c r="F335" s="34">
        <v>7.8</v>
      </c>
      <c r="G335" s="34">
        <v>15.7</v>
      </c>
      <c r="I335" s="36"/>
    </row>
    <row r="336" spans="1:9" ht="15.95">
      <c r="A336" s="32" t="s">
        <v>709</v>
      </c>
      <c r="B336" s="23">
        <v>142</v>
      </c>
      <c r="C336" s="34">
        <v>85</v>
      </c>
      <c r="D336" s="34">
        <v>71.900000000000006</v>
      </c>
      <c r="E336" s="34">
        <v>18</v>
      </c>
      <c r="F336" s="34">
        <v>2.8</v>
      </c>
      <c r="G336" s="34">
        <v>21.2</v>
      </c>
      <c r="I336" s="36"/>
    </row>
    <row r="337" spans="1:9" ht="15.95">
      <c r="A337" s="32" t="s">
        <v>710</v>
      </c>
      <c r="B337" s="23">
        <v>96</v>
      </c>
      <c r="C337" s="34">
        <v>80.099999999999994</v>
      </c>
      <c r="D337" s="34">
        <v>81.3</v>
      </c>
      <c r="E337" s="34">
        <v>8.6</v>
      </c>
      <c r="F337" s="34">
        <v>5.0999999999999996</v>
      </c>
      <c r="G337" s="34">
        <v>10.4</v>
      </c>
      <c r="I337" s="36"/>
    </row>
    <row r="338" spans="1:9" ht="15.95">
      <c r="A338" s="32" t="s">
        <v>711</v>
      </c>
      <c r="B338" s="23">
        <v>120</v>
      </c>
      <c r="C338" s="34">
        <v>80.400000000000006</v>
      </c>
      <c r="D338" s="34">
        <v>77.599999999999994</v>
      </c>
      <c r="E338" s="34">
        <v>15.3</v>
      </c>
      <c r="F338" s="34">
        <v>5.0999999999999996</v>
      </c>
      <c r="G338" s="34">
        <v>14.6</v>
      </c>
      <c r="I338" s="36"/>
    </row>
    <row r="339" spans="1:9" ht="15.95">
      <c r="A339" s="32" t="s">
        <v>712</v>
      </c>
      <c r="B339" s="23">
        <v>32</v>
      </c>
      <c r="C339" s="35" t="s">
        <v>390</v>
      </c>
      <c r="D339" s="35" t="s">
        <v>390</v>
      </c>
      <c r="E339" s="35" t="s">
        <v>390</v>
      </c>
      <c r="F339" s="35" t="s">
        <v>390</v>
      </c>
      <c r="G339" s="35" t="s">
        <v>390</v>
      </c>
      <c r="I339" s="36"/>
    </row>
    <row r="340" spans="1:9" ht="15.95">
      <c r="A340" s="32" t="s">
        <v>713</v>
      </c>
      <c r="B340" s="23">
        <v>107</v>
      </c>
      <c r="C340" s="34">
        <v>54.9</v>
      </c>
      <c r="D340" s="34">
        <v>66.2</v>
      </c>
      <c r="E340" s="34">
        <v>18.8</v>
      </c>
      <c r="F340" s="34">
        <v>8</v>
      </c>
      <c r="G340" s="34">
        <v>14.4</v>
      </c>
      <c r="I340" s="36"/>
    </row>
    <row r="341" spans="1:9" ht="15.95">
      <c r="A341" s="32" t="s">
        <v>714</v>
      </c>
      <c r="B341" s="23">
        <v>45</v>
      </c>
      <c r="C341" s="35" t="s">
        <v>390</v>
      </c>
      <c r="D341" s="35" t="s">
        <v>390</v>
      </c>
      <c r="E341" s="35" t="s">
        <v>390</v>
      </c>
      <c r="F341" s="35" t="s">
        <v>390</v>
      </c>
      <c r="G341" s="35" t="s">
        <v>390</v>
      </c>
      <c r="I341" s="36">
        <f t="shared" ref="I341" si="1">B341/$B$294</f>
        <v>1.3406423166299232E-3</v>
      </c>
    </row>
    <row r="342" spans="1:9" ht="15.95">
      <c r="A342" s="32" t="s">
        <v>715</v>
      </c>
      <c r="B342" s="23">
        <v>1267</v>
      </c>
      <c r="C342" s="34">
        <v>91</v>
      </c>
      <c r="D342" s="34">
        <v>79.900000000000006</v>
      </c>
      <c r="E342" s="34">
        <v>12.8</v>
      </c>
      <c r="F342" s="34">
        <v>3.5</v>
      </c>
      <c r="G342" s="34">
        <v>19.7</v>
      </c>
      <c r="I342" s="36"/>
    </row>
    <row r="343" spans="1:9" ht="15.95">
      <c r="A343" s="32" t="s">
        <v>716</v>
      </c>
      <c r="B343" s="23">
        <v>127</v>
      </c>
      <c r="C343" s="34">
        <v>58</v>
      </c>
      <c r="D343" s="34">
        <v>60.8</v>
      </c>
      <c r="E343" s="34">
        <v>25.3</v>
      </c>
      <c r="F343" s="34">
        <v>5.9</v>
      </c>
      <c r="G343" s="34">
        <v>15.1</v>
      </c>
      <c r="I343" s="36"/>
    </row>
    <row r="344" spans="1:9" ht="15.95">
      <c r="A344" s="32" t="s">
        <v>717</v>
      </c>
      <c r="B344" s="23">
        <v>110</v>
      </c>
      <c r="C344" s="34">
        <v>78.099999999999994</v>
      </c>
      <c r="D344" s="34">
        <v>75.5</v>
      </c>
      <c r="E344" s="34">
        <v>10.1</v>
      </c>
      <c r="F344" s="34">
        <v>5.2</v>
      </c>
      <c r="G344" s="34">
        <v>15</v>
      </c>
      <c r="I344" s="36"/>
    </row>
    <row r="345" spans="1:9" ht="15.95">
      <c r="A345" s="32" t="s">
        <v>718</v>
      </c>
      <c r="B345" s="23">
        <v>16</v>
      </c>
      <c r="C345" s="35" t="s">
        <v>390</v>
      </c>
      <c r="D345" s="35" t="s">
        <v>390</v>
      </c>
      <c r="E345" s="35" t="s">
        <v>390</v>
      </c>
      <c r="F345" s="35" t="s">
        <v>390</v>
      </c>
      <c r="G345" s="35" t="s">
        <v>390</v>
      </c>
      <c r="I345" s="36"/>
    </row>
    <row r="346" spans="1:9" ht="15.95">
      <c r="A346" s="32" t="s">
        <v>719</v>
      </c>
      <c r="B346" s="23">
        <v>239</v>
      </c>
      <c r="C346" s="34">
        <v>19.399999999999999</v>
      </c>
      <c r="D346" s="34">
        <v>67.3</v>
      </c>
      <c r="E346" s="34">
        <v>25.5</v>
      </c>
      <c r="F346" s="34">
        <v>5.5</v>
      </c>
      <c r="G346" s="34">
        <v>18.100000000000001</v>
      </c>
      <c r="I346" s="36"/>
    </row>
    <row r="347" spans="1:9" ht="15.95">
      <c r="A347" s="32" t="s">
        <v>720</v>
      </c>
      <c r="B347" s="23">
        <v>292</v>
      </c>
      <c r="C347" s="34">
        <v>57.4</v>
      </c>
      <c r="D347" s="34">
        <v>81.7</v>
      </c>
      <c r="E347" s="34">
        <v>11.6</v>
      </c>
      <c r="F347" s="34">
        <v>2</v>
      </c>
      <c r="G347" s="34">
        <v>16.899999999999999</v>
      </c>
      <c r="I347" s="36"/>
    </row>
    <row r="348" spans="1:9" ht="15.95">
      <c r="A348" s="32" t="s">
        <v>721</v>
      </c>
      <c r="B348" s="23">
        <v>18</v>
      </c>
      <c r="C348" s="35" t="s">
        <v>390</v>
      </c>
      <c r="D348" s="35" t="s">
        <v>390</v>
      </c>
      <c r="E348" s="35" t="s">
        <v>390</v>
      </c>
      <c r="F348" s="35" t="s">
        <v>390</v>
      </c>
      <c r="G348" s="35" t="s">
        <v>390</v>
      </c>
      <c r="I348" s="36"/>
    </row>
    <row r="349" spans="1:9" ht="15.95">
      <c r="A349" s="32" t="s">
        <v>722</v>
      </c>
      <c r="B349" s="23">
        <v>111</v>
      </c>
      <c r="C349" s="34">
        <v>55.3</v>
      </c>
      <c r="D349" s="34">
        <v>70.8</v>
      </c>
      <c r="E349" s="34">
        <v>22.4</v>
      </c>
      <c r="F349" s="34">
        <v>4.8</v>
      </c>
      <c r="G349" s="34">
        <v>15.9</v>
      </c>
      <c r="I349" s="36"/>
    </row>
    <row r="350" spans="1:9" ht="15.95">
      <c r="A350" s="32" t="s">
        <v>723</v>
      </c>
      <c r="B350" s="23">
        <v>306</v>
      </c>
      <c r="C350" s="34">
        <v>40.799999999999997</v>
      </c>
      <c r="D350" s="34">
        <v>67.400000000000006</v>
      </c>
      <c r="E350" s="34">
        <v>22.2</v>
      </c>
      <c r="F350" s="34">
        <v>5.6</v>
      </c>
      <c r="G350" s="34">
        <v>14.4</v>
      </c>
      <c r="I350" s="36"/>
    </row>
    <row r="351" spans="1:9" ht="15" customHeight="1">
      <c r="A351" s="32" t="s">
        <v>724</v>
      </c>
      <c r="B351" s="23">
        <v>50</v>
      </c>
      <c r="C351" s="34">
        <v>56.7</v>
      </c>
      <c r="D351" s="34">
        <v>51</v>
      </c>
      <c r="E351" s="34">
        <v>38.4</v>
      </c>
      <c r="F351" s="34">
        <v>7.9</v>
      </c>
      <c r="G351" s="34">
        <v>3.8</v>
      </c>
      <c r="I351" s="36"/>
    </row>
    <row r="352" spans="1:9" ht="15.95">
      <c r="A352" s="32" t="s">
        <v>725</v>
      </c>
      <c r="B352" s="23">
        <v>270</v>
      </c>
      <c r="C352" s="34">
        <v>53.9</v>
      </c>
      <c r="D352" s="34">
        <v>81.599999999999994</v>
      </c>
      <c r="E352" s="34">
        <v>7.8</v>
      </c>
      <c r="F352" s="34">
        <v>6.7</v>
      </c>
      <c r="G352" s="34">
        <v>9.6999999999999993</v>
      </c>
      <c r="I352" s="36"/>
    </row>
    <row r="353" spans="1:9" ht="15.95">
      <c r="A353" s="32" t="s">
        <v>726</v>
      </c>
      <c r="B353" s="23">
        <v>623</v>
      </c>
      <c r="C353" s="34">
        <v>31.3</v>
      </c>
      <c r="D353" s="34">
        <v>72.2</v>
      </c>
      <c r="E353" s="34">
        <v>20.399999999999999</v>
      </c>
      <c r="F353" s="34">
        <v>3.7</v>
      </c>
      <c r="G353" s="34">
        <v>27</v>
      </c>
      <c r="I353" s="36"/>
    </row>
    <row r="354" spans="1:9" ht="15.95">
      <c r="A354" s="32" t="s">
        <v>727</v>
      </c>
      <c r="B354" s="23">
        <v>1525</v>
      </c>
      <c r="C354" s="34">
        <v>37.9</v>
      </c>
      <c r="D354" s="34">
        <v>74</v>
      </c>
      <c r="E354" s="34">
        <v>18.399999999999999</v>
      </c>
      <c r="F354" s="34">
        <v>4.2</v>
      </c>
      <c r="G354" s="34">
        <v>20.6</v>
      </c>
      <c r="I354" s="36"/>
    </row>
    <row r="355" spans="1:9" ht="15.95">
      <c r="A355" s="32" t="s">
        <v>728</v>
      </c>
      <c r="B355" s="23">
        <v>52</v>
      </c>
      <c r="C355" s="34">
        <v>46.8</v>
      </c>
      <c r="D355" s="34">
        <v>85.9</v>
      </c>
      <c r="E355" s="34">
        <v>7.4</v>
      </c>
      <c r="F355" s="34">
        <v>3.5</v>
      </c>
      <c r="G355" s="34">
        <v>29</v>
      </c>
      <c r="I355" s="36"/>
    </row>
    <row r="356" spans="1:9" ht="15.95">
      <c r="A356" s="32" t="s">
        <v>729</v>
      </c>
      <c r="B356" s="23">
        <v>2769</v>
      </c>
      <c r="C356" s="34">
        <v>95</v>
      </c>
      <c r="D356" s="34">
        <v>83.7</v>
      </c>
      <c r="E356" s="34">
        <v>9.3000000000000007</v>
      </c>
      <c r="F356" s="34">
        <v>3.6</v>
      </c>
      <c r="G356" s="34">
        <v>12.4</v>
      </c>
      <c r="I356" s="36">
        <f>B356/$B$315</f>
        <v>0.1559912117627176</v>
      </c>
    </row>
    <row r="357" spans="1:9" ht="15.95">
      <c r="A357" s="32" t="s">
        <v>730</v>
      </c>
      <c r="B357" s="23">
        <v>73</v>
      </c>
      <c r="C357" s="34">
        <v>60.2</v>
      </c>
      <c r="D357" s="34">
        <v>74.8</v>
      </c>
      <c r="E357" s="34">
        <v>14</v>
      </c>
      <c r="F357" s="34">
        <v>6.3</v>
      </c>
      <c r="G357" s="34">
        <v>7.4</v>
      </c>
      <c r="I357" s="36">
        <f t="shared" ref="I357:I361" si="2">B357/$B$315</f>
        <v>4.1124443693313049E-3</v>
      </c>
    </row>
    <row r="358" spans="1:9" ht="15.95">
      <c r="A358" s="32" t="s">
        <v>731</v>
      </c>
      <c r="B358" s="23">
        <v>267</v>
      </c>
      <c r="C358" s="34">
        <v>79.599999999999994</v>
      </c>
      <c r="D358" s="34">
        <v>72.400000000000006</v>
      </c>
      <c r="E358" s="34">
        <v>16.5</v>
      </c>
      <c r="F358" s="34">
        <v>8.5</v>
      </c>
      <c r="G358" s="34">
        <v>15.2</v>
      </c>
      <c r="I358" s="36">
        <f t="shared" si="2"/>
        <v>1.5041406117965185E-2</v>
      </c>
    </row>
    <row r="359" spans="1:9" ht="15.95">
      <c r="A359" s="32" t="s">
        <v>732</v>
      </c>
      <c r="B359" s="23">
        <v>94</v>
      </c>
      <c r="C359" s="34">
        <v>89.8</v>
      </c>
      <c r="D359" s="34">
        <v>69.7</v>
      </c>
      <c r="E359" s="34">
        <v>21.1</v>
      </c>
      <c r="F359" s="34">
        <v>6.8</v>
      </c>
      <c r="G359" s="34">
        <v>13.9</v>
      </c>
      <c r="I359" s="36">
        <f t="shared" si="2"/>
        <v>5.2954763111937352E-3</v>
      </c>
    </row>
    <row r="360" spans="1:9" ht="15.95">
      <c r="A360" s="32" t="s">
        <v>733</v>
      </c>
      <c r="B360" s="23">
        <v>2</v>
      </c>
      <c r="C360" s="35" t="s">
        <v>390</v>
      </c>
      <c r="D360" s="35" t="s">
        <v>390</v>
      </c>
      <c r="E360" s="35" t="s">
        <v>390</v>
      </c>
      <c r="F360" s="35" t="s">
        <v>390</v>
      </c>
      <c r="G360" s="35" t="s">
        <v>390</v>
      </c>
      <c r="I360" s="36">
        <f t="shared" si="2"/>
        <v>1.1266970874880288E-4</v>
      </c>
    </row>
    <row r="361" spans="1:9" ht="15.95">
      <c r="A361" s="32" t="s">
        <v>734</v>
      </c>
      <c r="B361" s="23">
        <v>237</v>
      </c>
      <c r="C361" s="34">
        <v>84.3</v>
      </c>
      <c r="D361" s="34">
        <v>70.8</v>
      </c>
      <c r="E361" s="34">
        <v>20.3</v>
      </c>
      <c r="F361" s="34">
        <v>4.2</v>
      </c>
      <c r="G361" s="34">
        <v>14.9</v>
      </c>
      <c r="I361" s="36">
        <f t="shared" si="2"/>
        <v>1.3351360486733141E-2</v>
      </c>
    </row>
    <row r="362" spans="1:9" ht="15.95">
      <c r="A362" s="32" t="s">
        <v>735</v>
      </c>
      <c r="B362" s="23">
        <v>61</v>
      </c>
      <c r="C362" s="34">
        <v>36.799999999999997</v>
      </c>
      <c r="D362" s="34">
        <v>67.400000000000006</v>
      </c>
      <c r="E362" s="34">
        <v>24.4</v>
      </c>
      <c r="F362" s="34">
        <v>3</v>
      </c>
      <c r="G362" s="34">
        <v>11.9</v>
      </c>
      <c r="I362" s="36"/>
    </row>
    <row r="363" spans="1:9" ht="15.95">
      <c r="A363" s="32" t="s">
        <v>736</v>
      </c>
      <c r="B363" s="23">
        <v>1271</v>
      </c>
      <c r="C363" s="34">
        <v>83.1</v>
      </c>
      <c r="D363" s="34">
        <v>75.099999999999994</v>
      </c>
      <c r="E363" s="34">
        <v>14.8</v>
      </c>
      <c r="F363" s="34">
        <v>6.3</v>
      </c>
      <c r="G363" s="34">
        <v>18.399999999999999</v>
      </c>
      <c r="I363" s="36"/>
    </row>
    <row r="364" spans="1:9" ht="15.95">
      <c r="A364" s="32" t="s">
        <v>737</v>
      </c>
      <c r="B364" s="23">
        <v>33</v>
      </c>
      <c r="C364" s="35" t="s">
        <v>390</v>
      </c>
      <c r="D364" s="35" t="s">
        <v>390</v>
      </c>
      <c r="E364" s="35" t="s">
        <v>390</v>
      </c>
      <c r="F364" s="35" t="s">
        <v>390</v>
      </c>
      <c r="G364" s="35" t="s">
        <v>390</v>
      </c>
      <c r="I364" s="36"/>
    </row>
    <row r="365" spans="1:9" ht="15.95">
      <c r="A365" s="32" t="s">
        <v>738</v>
      </c>
      <c r="B365" s="23">
        <v>10</v>
      </c>
      <c r="C365" s="35" t="s">
        <v>390</v>
      </c>
      <c r="D365" s="35" t="s">
        <v>390</v>
      </c>
      <c r="E365" s="35" t="s">
        <v>390</v>
      </c>
      <c r="F365" s="35" t="s">
        <v>390</v>
      </c>
      <c r="G365" s="35" t="s">
        <v>390</v>
      </c>
      <c r="I365" s="36">
        <f>B365/$B$315</f>
        <v>5.6334854374401441E-4</v>
      </c>
    </row>
    <row r="366" spans="1:9" ht="15.95">
      <c r="A366" s="32" t="s">
        <v>739</v>
      </c>
      <c r="B366" s="23">
        <v>21</v>
      </c>
      <c r="C366" s="35" t="s">
        <v>390</v>
      </c>
      <c r="D366" s="35" t="s">
        <v>390</v>
      </c>
      <c r="E366" s="35" t="s">
        <v>390</v>
      </c>
      <c r="F366" s="35" t="s">
        <v>390</v>
      </c>
      <c r="G366" s="35" t="s">
        <v>390</v>
      </c>
      <c r="I366" s="36">
        <f>B366/$B$315</f>
        <v>1.1830319418624302E-3</v>
      </c>
    </row>
    <row r="367" spans="1:9" ht="15.95">
      <c r="A367" s="32" t="s">
        <v>740</v>
      </c>
      <c r="B367" s="23">
        <v>576</v>
      </c>
      <c r="C367" s="34">
        <v>75.2</v>
      </c>
      <c r="D367" s="34">
        <v>77.599999999999994</v>
      </c>
      <c r="E367" s="34">
        <v>15.1</v>
      </c>
      <c r="F367" s="34">
        <v>3.7</v>
      </c>
      <c r="G367" s="34">
        <v>12.5</v>
      </c>
      <c r="I367" s="36">
        <f>B367/$B$315</f>
        <v>3.2448876119655232E-2</v>
      </c>
    </row>
    <row r="368" spans="1:9" s="40" customFormat="1" ht="15.95">
      <c r="A368" s="37" t="s">
        <v>741</v>
      </c>
      <c r="B368" s="43"/>
      <c r="I368" s="42">
        <f>SUM(I316:I367)</f>
        <v>0.55499959110824737</v>
      </c>
    </row>
    <row r="369" spans="1:7" ht="15.95">
      <c r="A369" s="22" t="s">
        <v>742</v>
      </c>
      <c r="B369" s="23">
        <v>14193</v>
      </c>
      <c r="C369" s="34">
        <v>5.0999999999999996</v>
      </c>
      <c r="D369" s="34">
        <v>86.9</v>
      </c>
      <c r="E369" s="34">
        <v>7.3</v>
      </c>
      <c r="F369" s="34">
        <v>2.2000000000000002</v>
      </c>
      <c r="G369" s="34">
        <v>30.7</v>
      </c>
    </row>
    <row r="370" spans="1:7" ht="21" customHeight="1">
      <c r="A370" s="24" t="s">
        <v>743</v>
      </c>
      <c r="B370" s="23">
        <v>1184</v>
      </c>
      <c r="C370" s="34">
        <v>23.4</v>
      </c>
      <c r="D370" s="34">
        <v>89.3</v>
      </c>
      <c r="E370" s="34">
        <v>4.9000000000000004</v>
      </c>
      <c r="F370" s="34">
        <v>1.7</v>
      </c>
      <c r="G370" s="34">
        <v>44.3</v>
      </c>
    </row>
    <row r="371" spans="1:7" ht="15.95">
      <c r="A371" s="32" t="s">
        <v>744</v>
      </c>
      <c r="B371" s="23">
        <v>62</v>
      </c>
      <c r="C371" s="34">
        <v>8.6999999999999993</v>
      </c>
      <c r="D371" s="34">
        <v>87.2</v>
      </c>
      <c r="E371" s="34">
        <v>6.6</v>
      </c>
      <c r="F371" s="34">
        <v>4.4000000000000004</v>
      </c>
      <c r="G371" s="34">
        <v>27.1</v>
      </c>
    </row>
    <row r="372" spans="1:7" ht="15.95">
      <c r="A372" s="32" t="s">
        <v>745</v>
      </c>
      <c r="B372" s="23">
        <v>18</v>
      </c>
      <c r="C372" s="35" t="s">
        <v>390</v>
      </c>
      <c r="D372" s="35" t="s">
        <v>390</v>
      </c>
      <c r="E372" s="35" t="s">
        <v>390</v>
      </c>
      <c r="F372" s="35" t="s">
        <v>390</v>
      </c>
      <c r="G372" s="35" t="s">
        <v>390</v>
      </c>
    </row>
    <row r="373" spans="1:7" ht="15.95">
      <c r="A373" s="32" t="s">
        <v>746</v>
      </c>
      <c r="B373" s="23">
        <v>2</v>
      </c>
      <c r="C373" s="35" t="s">
        <v>390</v>
      </c>
      <c r="D373" s="35" t="s">
        <v>390</v>
      </c>
      <c r="E373" s="35" t="s">
        <v>390</v>
      </c>
      <c r="F373" s="35" t="s">
        <v>390</v>
      </c>
      <c r="G373" s="35" t="s">
        <v>390</v>
      </c>
    </row>
    <row r="374" spans="1:7" ht="15.95">
      <c r="A374" s="32" t="s">
        <v>747</v>
      </c>
      <c r="B374" s="23">
        <v>110</v>
      </c>
      <c r="C374" s="34">
        <v>67.099999999999994</v>
      </c>
      <c r="D374" s="34">
        <v>80.400000000000006</v>
      </c>
      <c r="E374" s="34">
        <v>12.4</v>
      </c>
      <c r="F374" s="34">
        <v>4.2</v>
      </c>
      <c r="G374" s="34">
        <v>48.8</v>
      </c>
    </row>
    <row r="375" spans="1:7" ht="15.95">
      <c r="A375" s="32" t="s">
        <v>748</v>
      </c>
      <c r="B375" s="23">
        <v>854</v>
      </c>
      <c r="C375" s="34">
        <v>21.5</v>
      </c>
      <c r="D375" s="34">
        <v>91.7</v>
      </c>
      <c r="E375" s="34">
        <v>3.3</v>
      </c>
      <c r="F375" s="34">
        <v>1.3</v>
      </c>
      <c r="G375" s="34">
        <v>51.1</v>
      </c>
    </row>
    <row r="376" spans="1:7" ht="15.95">
      <c r="A376" s="32" t="s">
        <v>749</v>
      </c>
      <c r="B376" s="23">
        <v>44</v>
      </c>
      <c r="C376" s="35" t="s">
        <v>390</v>
      </c>
      <c r="D376" s="35" t="s">
        <v>390</v>
      </c>
      <c r="E376" s="35" t="s">
        <v>390</v>
      </c>
      <c r="F376" s="35" t="s">
        <v>390</v>
      </c>
      <c r="G376" s="35" t="s">
        <v>390</v>
      </c>
    </row>
    <row r="377" spans="1:7" ht="15.95">
      <c r="A377" s="32" t="s">
        <v>750</v>
      </c>
      <c r="B377" s="23">
        <v>1</v>
      </c>
      <c r="C377" s="35" t="s">
        <v>390</v>
      </c>
      <c r="D377" s="35" t="s">
        <v>390</v>
      </c>
      <c r="E377" s="35" t="s">
        <v>390</v>
      </c>
      <c r="F377" s="35" t="s">
        <v>390</v>
      </c>
      <c r="G377" s="35" t="s">
        <v>390</v>
      </c>
    </row>
    <row r="378" spans="1:7" ht="15.95">
      <c r="A378" s="32" t="s">
        <v>751</v>
      </c>
      <c r="B378" s="23">
        <v>27</v>
      </c>
      <c r="C378" s="35" t="s">
        <v>390</v>
      </c>
      <c r="D378" s="35" t="s">
        <v>390</v>
      </c>
      <c r="E378" s="35" t="s">
        <v>390</v>
      </c>
      <c r="F378" s="35" t="s">
        <v>390</v>
      </c>
      <c r="G378" s="35" t="s">
        <v>390</v>
      </c>
    </row>
    <row r="379" spans="1:7" ht="15.95">
      <c r="A379" s="32" t="s">
        <v>752</v>
      </c>
      <c r="B379" s="23">
        <v>66</v>
      </c>
      <c r="C379" s="34">
        <v>2</v>
      </c>
      <c r="D379" s="34">
        <v>82.9</v>
      </c>
      <c r="E379" s="34">
        <v>10.3</v>
      </c>
      <c r="F379" s="34">
        <v>0</v>
      </c>
      <c r="G379" s="34">
        <v>9.1</v>
      </c>
    </row>
    <row r="380" spans="1:7" ht="21" customHeight="1">
      <c r="A380" s="24" t="s">
        <v>753</v>
      </c>
      <c r="B380" s="23">
        <v>8031</v>
      </c>
      <c r="C380" s="34">
        <v>3</v>
      </c>
      <c r="D380" s="34">
        <v>87.8</v>
      </c>
      <c r="E380" s="34">
        <v>6.9</v>
      </c>
      <c r="F380" s="34">
        <v>1.6</v>
      </c>
      <c r="G380" s="34">
        <v>36</v>
      </c>
    </row>
    <row r="381" spans="1:7" ht="15.95">
      <c r="A381" s="32" t="s">
        <v>754</v>
      </c>
      <c r="B381" s="23">
        <v>639</v>
      </c>
      <c r="C381" s="34">
        <v>3</v>
      </c>
      <c r="D381" s="34">
        <v>89.8</v>
      </c>
      <c r="E381" s="34">
        <v>5.4</v>
      </c>
      <c r="F381" s="34">
        <v>1.2</v>
      </c>
      <c r="G381" s="34">
        <v>24.5</v>
      </c>
    </row>
    <row r="382" spans="1:7" ht="15.95">
      <c r="A382" s="32" t="s">
        <v>755</v>
      </c>
      <c r="B382" s="23">
        <v>15</v>
      </c>
      <c r="C382" s="35" t="s">
        <v>390</v>
      </c>
      <c r="D382" s="35" t="s">
        <v>390</v>
      </c>
      <c r="E382" s="35" t="s">
        <v>390</v>
      </c>
      <c r="F382" s="35" t="s">
        <v>390</v>
      </c>
      <c r="G382" s="35" t="s">
        <v>390</v>
      </c>
    </row>
    <row r="383" spans="1:7" ht="15.95">
      <c r="A383" s="32" t="s">
        <v>756</v>
      </c>
      <c r="B383" s="23">
        <v>166</v>
      </c>
      <c r="C383" s="34">
        <v>0.7</v>
      </c>
      <c r="D383" s="34">
        <v>84.6</v>
      </c>
      <c r="E383" s="34">
        <v>7.1</v>
      </c>
      <c r="F383" s="34">
        <v>1.2</v>
      </c>
      <c r="G383" s="34">
        <v>45.1</v>
      </c>
    </row>
    <row r="384" spans="1:7" ht="15.95">
      <c r="A384" s="32" t="s">
        <v>757</v>
      </c>
      <c r="B384" s="23">
        <v>1351</v>
      </c>
      <c r="C384" s="34">
        <v>2.2000000000000002</v>
      </c>
      <c r="D384" s="34">
        <v>89.3</v>
      </c>
      <c r="E384" s="34">
        <v>5.3</v>
      </c>
      <c r="F384" s="34">
        <v>1.7</v>
      </c>
      <c r="G384" s="34">
        <v>35.4</v>
      </c>
    </row>
    <row r="385" spans="1:7" ht="15.95">
      <c r="A385" s="32" t="s">
        <v>758</v>
      </c>
      <c r="B385" s="23">
        <v>183</v>
      </c>
      <c r="C385" s="34">
        <v>2.4</v>
      </c>
      <c r="D385" s="34">
        <v>87.2</v>
      </c>
      <c r="E385" s="34">
        <v>6.9</v>
      </c>
      <c r="F385" s="34">
        <v>1.3</v>
      </c>
      <c r="G385" s="34">
        <v>47.4</v>
      </c>
    </row>
    <row r="386" spans="1:7" ht="15.95">
      <c r="A386" s="32" t="s">
        <v>759</v>
      </c>
      <c r="B386" s="23">
        <v>54</v>
      </c>
      <c r="C386" s="34">
        <v>1</v>
      </c>
      <c r="D386" s="34">
        <v>90.4</v>
      </c>
      <c r="E386" s="34">
        <v>8.5</v>
      </c>
      <c r="F386" s="34">
        <v>0</v>
      </c>
      <c r="G386" s="34">
        <v>46.7</v>
      </c>
    </row>
    <row r="387" spans="1:7" ht="15.95">
      <c r="A387" s="32" t="s">
        <v>760</v>
      </c>
      <c r="B387" s="23">
        <v>1946</v>
      </c>
      <c r="C387" s="34">
        <v>3.3</v>
      </c>
      <c r="D387" s="34">
        <v>85.9</v>
      </c>
      <c r="E387" s="34">
        <v>8.6</v>
      </c>
      <c r="F387" s="34">
        <v>1.7</v>
      </c>
      <c r="G387" s="34">
        <v>46.9</v>
      </c>
    </row>
    <row r="388" spans="1:7" ht="15.95">
      <c r="A388" s="32" t="s">
        <v>761</v>
      </c>
      <c r="B388" s="23">
        <v>15</v>
      </c>
      <c r="C388" s="35" t="s">
        <v>390</v>
      </c>
      <c r="D388" s="35" t="s">
        <v>390</v>
      </c>
      <c r="E388" s="35" t="s">
        <v>390</v>
      </c>
      <c r="F388" s="35" t="s">
        <v>390</v>
      </c>
      <c r="G388" s="35" t="s">
        <v>390</v>
      </c>
    </row>
    <row r="389" spans="1:7" ht="15.95">
      <c r="A389" s="32" t="s">
        <v>762</v>
      </c>
      <c r="B389" s="23">
        <v>2</v>
      </c>
      <c r="C389" s="35" t="s">
        <v>390</v>
      </c>
      <c r="D389" s="35" t="s">
        <v>390</v>
      </c>
      <c r="E389" s="35" t="s">
        <v>390</v>
      </c>
      <c r="F389" s="35" t="s">
        <v>390</v>
      </c>
      <c r="G389" s="35" t="s">
        <v>390</v>
      </c>
    </row>
    <row r="390" spans="1:7" ht="15.95">
      <c r="A390" s="32" t="s">
        <v>763</v>
      </c>
      <c r="B390" s="23">
        <v>358</v>
      </c>
      <c r="C390" s="34">
        <v>1.5</v>
      </c>
      <c r="D390" s="34">
        <v>90.4</v>
      </c>
      <c r="E390" s="34">
        <v>5.2</v>
      </c>
      <c r="F390" s="34">
        <v>0.8</v>
      </c>
      <c r="G390" s="34">
        <v>19.3</v>
      </c>
    </row>
    <row r="391" spans="1:7" ht="15.95">
      <c r="A391" s="32" t="s">
        <v>764</v>
      </c>
      <c r="B391" s="23">
        <v>156</v>
      </c>
      <c r="C391" s="34">
        <v>2.7</v>
      </c>
      <c r="D391" s="34">
        <v>91.7</v>
      </c>
      <c r="E391" s="34">
        <v>3.8</v>
      </c>
      <c r="F391" s="34">
        <v>0.6</v>
      </c>
      <c r="G391" s="34">
        <v>63.9</v>
      </c>
    </row>
    <row r="392" spans="1:7" ht="15.95">
      <c r="A392" s="32" t="s">
        <v>765</v>
      </c>
      <c r="B392" s="23">
        <v>857</v>
      </c>
      <c r="C392" s="34">
        <v>2.5</v>
      </c>
      <c r="D392" s="34">
        <v>87.9</v>
      </c>
      <c r="E392" s="34">
        <v>6.7</v>
      </c>
      <c r="F392" s="34">
        <v>2.5</v>
      </c>
      <c r="G392" s="34">
        <v>19.100000000000001</v>
      </c>
    </row>
    <row r="393" spans="1:7" ht="15.95">
      <c r="A393" s="32" t="s">
        <v>766</v>
      </c>
      <c r="B393" s="23">
        <v>44</v>
      </c>
      <c r="C393" s="35" t="s">
        <v>390</v>
      </c>
      <c r="D393" s="35" t="s">
        <v>390</v>
      </c>
      <c r="E393" s="35" t="s">
        <v>390</v>
      </c>
      <c r="F393" s="35" t="s">
        <v>390</v>
      </c>
      <c r="G393" s="35" t="s">
        <v>390</v>
      </c>
    </row>
    <row r="394" spans="1:7" ht="15.95">
      <c r="A394" s="32" t="s">
        <v>767</v>
      </c>
      <c r="B394" s="23">
        <v>58</v>
      </c>
      <c r="C394" s="34">
        <v>3.1</v>
      </c>
      <c r="D394" s="34">
        <v>82.1</v>
      </c>
      <c r="E394" s="34">
        <v>9.6</v>
      </c>
      <c r="F394" s="34">
        <v>0</v>
      </c>
      <c r="G394" s="34">
        <v>42.6</v>
      </c>
    </row>
    <row r="395" spans="1:7" ht="15.95">
      <c r="A395" s="32" t="s">
        <v>768</v>
      </c>
      <c r="B395" s="23">
        <v>540</v>
      </c>
      <c r="C395" s="34">
        <v>6.6</v>
      </c>
      <c r="D395" s="34">
        <v>89.7</v>
      </c>
      <c r="E395" s="34">
        <v>5.9</v>
      </c>
      <c r="F395" s="34">
        <v>1.5</v>
      </c>
      <c r="G395" s="34">
        <v>53.4</v>
      </c>
    </row>
    <row r="396" spans="1:7" ht="15.95">
      <c r="A396" s="32" t="s">
        <v>769</v>
      </c>
      <c r="B396" s="23">
        <v>4</v>
      </c>
      <c r="C396" s="35" t="s">
        <v>390</v>
      </c>
      <c r="D396" s="35" t="s">
        <v>390</v>
      </c>
      <c r="E396" s="35" t="s">
        <v>390</v>
      </c>
      <c r="F396" s="35" t="s">
        <v>390</v>
      </c>
      <c r="G396" s="35" t="s">
        <v>390</v>
      </c>
    </row>
    <row r="397" spans="1:7" ht="15.95">
      <c r="A397" s="32" t="s">
        <v>770</v>
      </c>
      <c r="B397" s="23">
        <v>600</v>
      </c>
      <c r="C397" s="34">
        <v>2.2000000000000002</v>
      </c>
      <c r="D397" s="34">
        <v>86.6</v>
      </c>
      <c r="E397" s="34">
        <v>9</v>
      </c>
      <c r="F397" s="34">
        <v>1.5</v>
      </c>
      <c r="G397" s="34">
        <v>27.1</v>
      </c>
    </row>
    <row r="398" spans="1:7" ht="15.95">
      <c r="A398" s="32" t="s">
        <v>771</v>
      </c>
      <c r="B398" s="23">
        <v>27</v>
      </c>
      <c r="C398" s="35" t="s">
        <v>390</v>
      </c>
      <c r="D398" s="35" t="s">
        <v>390</v>
      </c>
      <c r="E398" s="35" t="s">
        <v>390</v>
      </c>
      <c r="F398" s="35" t="s">
        <v>390</v>
      </c>
      <c r="G398" s="35" t="s">
        <v>390</v>
      </c>
    </row>
    <row r="399" spans="1:7" ht="15.95">
      <c r="A399" s="32" t="s">
        <v>772</v>
      </c>
      <c r="B399" s="23">
        <v>12</v>
      </c>
      <c r="C399" s="35" t="s">
        <v>390</v>
      </c>
      <c r="D399" s="35" t="s">
        <v>390</v>
      </c>
      <c r="E399" s="35" t="s">
        <v>390</v>
      </c>
      <c r="F399" s="35" t="s">
        <v>390</v>
      </c>
      <c r="G399" s="35" t="s">
        <v>390</v>
      </c>
    </row>
    <row r="400" spans="1:7" ht="15.95">
      <c r="A400" s="32" t="s">
        <v>773</v>
      </c>
      <c r="B400" s="23">
        <v>220</v>
      </c>
      <c r="C400" s="34">
        <v>0.6</v>
      </c>
      <c r="D400" s="34">
        <v>86.6</v>
      </c>
      <c r="E400" s="34">
        <v>6.9</v>
      </c>
      <c r="F400" s="34">
        <v>2.5</v>
      </c>
      <c r="G400" s="34">
        <v>56.1</v>
      </c>
    </row>
    <row r="401" spans="1:7" ht="15.95">
      <c r="A401" s="32" t="s">
        <v>774</v>
      </c>
      <c r="B401" s="23">
        <v>137</v>
      </c>
      <c r="C401" s="34">
        <v>2.6</v>
      </c>
      <c r="D401" s="34">
        <v>91.4</v>
      </c>
      <c r="E401" s="34">
        <v>4.3</v>
      </c>
      <c r="F401" s="34">
        <v>1.6</v>
      </c>
      <c r="G401" s="34">
        <v>18.7</v>
      </c>
    </row>
    <row r="402" spans="1:7" ht="15.95">
      <c r="A402" s="32" t="s">
        <v>775</v>
      </c>
      <c r="B402" s="23">
        <v>43</v>
      </c>
      <c r="C402" s="35" t="s">
        <v>390</v>
      </c>
      <c r="D402" s="35" t="s">
        <v>390</v>
      </c>
      <c r="E402" s="35" t="s">
        <v>390</v>
      </c>
      <c r="F402" s="35" t="s">
        <v>390</v>
      </c>
      <c r="G402" s="35" t="s">
        <v>390</v>
      </c>
    </row>
    <row r="403" spans="1:7" ht="15.95">
      <c r="A403" s="32" t="s">
        <v>776</v>
      </c>
      <c r="B403" s="23">
        <v>11</v>
      </c>
      <c r="C403" s="35" t="s">
        <v>390</v>
      </c>
      <c r="D403" s="35" t="s">
        <v>390</v>
      </c>
      <c r="E403" s="35" t="s">
        <v>390</v>
      </c>
      <c r="F403" s="35" t="s">
        <v>390</v>
      </c>
      <c r="G403" s="35" t="s">
        <v>390</v>
      </c>
    </row>
    <row r="404" spans="1:7" ht="15.95">
      <c r="A404" s="32" t="s">
        <v>777</v>
      </c>
      <c r="B404" s="23">
        <v>69</v>
      </c>
      <c r="C404" s="34">
        <v>9.4</v>
      </c>
      <c r="D404" s="34">
        <v>88.2</v>
      </c>
      <c r="E404" s="34">
        <v>3.8</v>
      </c>
      <c r="F404" s="34">
        <v>2.1</v>
      </c>
      <c r="G404" s="34">
        <v>38.299999999999997</v>
      </c>
    </row>
    <row r="405" spans="1:7" ht="15.95">
      <c r="A405" s="32" t="s">
        <v>778</v>
      </c>
      <c r="B405" s="23">
        <v>89</v>
      </c>
      <c r="C405" s="34">
        <v>10.199999999999999</v>
      </c>
      <c r="D405" s="34">
        <v>85.5</v>
      </c>
      <c r="E405" s="34">
        <v>9.8000000000000007</v>
      </c>
      <c r="F405" s="34">
        <v>2.2000000000000002</v>
      </c>
      <c r="G405" s="34">
        <v>11.2</v>
      </c>
    </row>
    <row r="406" spans="1:7" ht="15.95">
      <c r="A406" s="32" t="s">
        <v>779</v>
      </c>
      <c r="B406" s="23">
        <v>40</v>
      </c>
      <c r="C406" s="35" t="s">
        <v>390</v>
      </c>
      <c r="D406" s="35" t="s">
        <v>390</v>
      </c>
      <c r="E406" s="35" t="s">
        <v>390</v>
      </c>
      <c r="F406" s="35" t="s">
        <v>390</v>
      </c>
      <c r="G406" s="35" t="s">
        <v>390</v>
      </c>
    </row>
    <row r="407" spans="1:7" ht="15.95">
      <c r="A407" s="32" t="s">
        <v>780</v>
      </c>
      <c r="B407" s="23">
        <v>34</v>
      </c>
      <c r="C407" s="35" t="s">
        <v>390</v>
      </c>
      <c r="D407" s="35" t="s">
        <v>390</v>
      </c>
      <c r="E407" s="35" t="s">
        <v>390</v>
      </c>
      <c r="F407" s="35" t="s">
        <v>390</v>
      </c>
      <c r="G407" s="35" t="s">
        <v>390</v>
      </c>
    </row>
    <row r="408" spans="1:7" ht="15.95">
      <c r="A408" s="32" t="s">
        <v>781</v>
      </c>
      <c r="B408" s="23">
        <v>30</v>
      </c>
      <c r="C408" s="35" t="s">
        <v>390</v>
      </c>
      <c r="D408" s="35" t="s">
        <v>390</v>
      </c>
      <c r="E408" s="35" t="s">
        <v>390</v>
      </c>
      <c r="F408" s="35" t="s">
        <v>390</v>
      </c>
      <c r="G408" s="35" t="s">
        <v>390</v>
      </c>
    </row>
    <row r="409" spans="1:7" ht="15.95">
      <c r="A409" s="32" t="s">
        <v>782</v>
      </c>
      <c r="B409" s="23">
        <v>101</v>
      </c>
      <c r="C409" s="34">
        <v>2.7</v>
      </c>
      <c r="D409" s="34">
        <v>79.400000000000006</v>
      </c>
      <c r="E409" s="34">
        <v>13.7</v>
      </c>
      <c r="F409" s="34">
        <v>0.1</v>
      </c>
      <c r="G409" s="34">
        <v>15.5</v>
      </c>
    </row>
    <row r="410" spans="1:7" ht="15.95">
      <c r="A410" s="32" t="s">
        <v>783</v>
      </c>
      <c r="B410" s="23">
        <v>17</v>
      </c>
      <c r="C410" s="35" t="s">
        <v>390</v>
      </c>
      <c r="D410" s="35" t="s">
        <v>390</v>
      </c>
      <c r="E410" s="35" t="s">
        <v>390</v>
      </c>
      <c r="F410" s="35" t="s">
        <v>390</v>
      </c>
      <c r="G410" s="35" t="s">
        <v>390</v>
      </c>
    </row>
    <row r="411" spans="1:7" ht="15.95">
      <c r="A411" s="32" t="s">
        <v>784</v>
      </c>
      <c r="B411" s="23">
        <v>10</v>
      </c>
      <c r="C411" s="35" t="s">
        <v>390</v>
      </c>
      <c r="D411" s="35" t="s">
        <v>390</v>
      </c>
      <c r="E411" s="35" t="s">
        <v>390</v>
      </c>
      <c r="F411" s="35" t="s">
        <v>390</v>
      </c>
      <c r="G411" s="35" t="s">
        <v>390</v>
      </c>
    </row>
    <row r="412" spans="1:7" ht="15.95">
      <c r="A412" s="32" t="s">
        <v>785</v>
      </c>
      <c r="B412" s="23">
        <v>24</v>
      </c>
      <c r="C412" s="35" t="s">
        <v>390</v>
      </c>
      <c r="D412" s="35" t="s">
        <v>390</v>
      </c>
      <c r="E412" s="35" t="s">
        <v>390</v>
      </c>
      <c r="F412" s="35" t="s">
        <v>390</v>
      </c>
      <c r="G412" s="35" t="s">
        <v>390</v>
      </c>
    </row>
    <row r="413" spans="1:7" ht="15.95">
      <c r="A413" s="32" t="s">
        <v>786</v>
      </c>
      <c r="B413" s="23">
        <v>30</v>
      </c>
      <c r="C413" s="35" t="s">
        <v>390</v>
      </c>
      <c r="D413" s="35" t="s">
        <v>390</v>
      </c>
      <c r="E413" s="35" t="s">
        <v>390</v>
      </c>
      <c r="F413" s="35" t="s">
        <v>390</v>
      </c>
      <c r="G413" s="35" t="s">
        <v>390</v>
      </c>
    </row>
    <row r="414" spans="1:7" ht="15.95">
      <c r="A414" s="32" t="s">
        <v>787</v>
      </c>
      <c r="B414" s="23">
        <v>23</v>
      </c>
      <c r="C414" s="35" t="s">
        <v>390</v>
      </c>
      <c r="D414" s="35" t="s">
        <v>390</v>
      </c>
      <c r="E414" s="35" t="s">
        <v>390</v>
      </c>
      <c r="F414" s="35" t="s">
        <v>390</v>
      </c>
      <c r="G414" s="35" t="s">
        <v>390</v>
      </c>
    </row>
    <row r="415" spans="1:7" ht="15.95">
      <c r="A415" s="32" t="s">
        <v>788</v>
      </c>
      <c r="B415" s="23">
        <v>10</v>
      </c>
      <c r="C415" s="35" t="s">
        <v>390</v>
      </c>
      <c r="D415" s="35" t="s">
        <v>390</v>
      </c>
      <c r="E415" s="35" t="s">
        <v>390</v>
      </c>
      <c r="F415" s="35" t="s">
        <v>390</v>
      </c>
      <c r="G415" s="35" t="s">
        <v>390</v>
      </c>
    </row>
    <row r="416" spans="1:7" ht="15.95">
      <c r="A416" s="32" t="s">
        <v>789</v>
      </c>
      <c r="B416" s="23">
        <v>51</v>
      </c>
      <c r="C416" s="34">
        <v>1.1000000000000001</v>
      </c>
      <c r="D416" s="34">
        <v>85.8</v>
      </c>
      <c r="E416" s="34">
        <v>7.8</v>
      </c>
      <c r="F416" s="34">
        <v>2.7</v>
      </c>
      <c r="G416" s="34">
        <v>23.9</v>
      </c>
    </row>
    <row r="417" spans="1:7" ht="15.95">
      <c r="A417" s="32" t="s">
        <v>790</v>
      </c>
      <c r="B417" s="23">
        <v>2</v>
      </c>
      <c r="C417" s="35" t="s">
        <v>390</v>
      </c>
      <c r="D417" s="35" t="s">
        <v>390</v>
      </c>
      <c r="E417" s="35" t="s">
        <v>390</v>
      </c>
      <c r="F417" s="35" t="s">
        <v>390</v>
      </c>
      <c r="G417" s="35" t="s">
        <v>390</v>
      </c>
    </row>
    <row r="418" spans="1:7" ht="15.95">
      <c r="A418" s="32" t="s">
        <v>791</v>
      </c>
      <c r="B418" s="23">
        <v>4</v>
      </c>
      <c r="C418" s="35" t="s">
        <v>390</v>
      </c>
      <c r="D418" s="35" t="s">
        <v>390</v>
      </c>
      <c r="E418" s="35" t="s">
        <v>390</v>
      </c>
      <c r="F418" s="35" t="s">
        <v>390</v>
      </c>
      <c r="G418" s="35" t="s">
        <v>390</v>
      </c>
    </row>
    <row r="419" spans="1:7" ht="15.95">
      <c r="A419" s="32" t="s">
        <v>792</v>
      </c>
      <c r="B419" s="23">
        <v>4</v>
      </c>
      <c r="C419" s="35" t="s">
        <v>390</v>
      </c>
      <c r="D419" s="35" t="s">
        <v>390</v>
      </c>
      <c r="E419" s="35" t="s">
        <v>390</v>
      </c>
      <c r="F419" s="35" t="s">
        <v>390</v>
      </c>
      <c r="G419" s="35" t="s">
        <v>390</v>
      </c>
    </row>
    <row r="420" spans="1:7" ht="15.95">
      <c r="A420" s="32" t="s">
        <v>793</v>
      </c>
      <c r="B420" s="23">
        <v>54</v>
      </c>
      <c r="C420" s="34">
        <v>2.9</v>
      </c>
      <c r="D420" s="34">
        <v>93.1</v>
      </c>
      <c r="E420" s="34">
        <v>2</v>
      </c>
      <c r="F420" s="34">
        <v>0</v>
      </c>
      <c r="G420" s="34">
        <v>35.700000000000003</v>
      </c>
    </row>
    <row r="421" spans="1:7" ht="21" customHeight="1">
      <c r="A421" s="24" t="s">
        <v>794</v>
      </c>
      <c r="B421" s="23">
        <v>4977</v>
      </c>
      <c r="C421" s="34">
        <v>4</v>
      </c>
      <c r="D421" s="34">
        <v>85</v>
      </c>
      <c r="E421" s="34">
        <v>8.6</v>
      </c>
      <c r="F421" s="34">
        <v>3.3</v>
      </c>
      <c r="G421" s="34">
        <v>19</v>
      </c>
    </row>
    <row r="422" spans="1:7" ht="15.95">
      <c r="A422" s="32" t="s">
        <v>795</v>
      </c>
      <c r="B422" s="23">
        <v>253</v>
      </c>
      <c r="C422" s="34">
        <v>8.4</v>
      </c>
      <c r="D422" s="34">
        <v>84</v>
      </c>
      <c r="E422" s="34">
        <v>9.4</v>
      </c>
      <c r="F422" s="34">
        <v>4.0999999999999996</v>
      </c>
      <c r="G422" s="34">
        <v>12.8</v>
      </c>
    </row>
    <row r="423" spans="1:7" ht="15.95">
      <c r="A423" s="32" t="s">
        <v>796</v>
      </c>
      <c r="B423" s="23">
        <v>212</v>
      </c>
      <c r="C423" s="34">
        <v>11.3</v>
      </c>
      <c r="D423" s="34">
        <v>73.8</v>
      </c>
      <c r="E423" s="34">
        <v>12.7</v>
      </c>
      <c r="F423" s="34">
        <v>10.199999999999999</v>
      </c>
      <c r="G423" s="34">
        <v>17.100000000000001</v>
      </c>
    </row>
    <row r="424" spans="1:7" ht="15.95">
      <c r="A424" s="32" t="s">
        <v>797</v>
      </c>
      <c r="B424" s="23">
        <v>134</v>
      </c>
      <c r="C424" s="34">
        <v>8.1</v>
      </c>
      <c r="D424" s="34">
        <v>85.3</v>
      </c>
      <c r="E424" s="34">
        <v>7.3</v>
      </c>
      <c r="F424" s="34">
        <v>6.1</v>
      </c>
      <c r="G424" s="34">
        <v>19.7</v>
      </c>
    </row>
    <row r="425" spans="1:7" ht="15.95">
      <c r="A425" s="32" t="s">
        <v>798</v>
      </c>
      <c r="B425" s="23">
        <v>9</v>
      </c>
      <c r="C425" s="35" t="s">
        <v>390</v>
      </c>
      <c r="D425" s="35" t="s">
        <v>390</v>
      </c>
      <c r="E425" s="35" t="s">
        <v>390</v>
      </c>
      <c r="F425" s="35" t="s">
        <v>390</v>
      </c>
      <c r="G425" s="35" t="s">
        <v>390</v>
      </c>
    </row>
    <row r="426" spans="1:7" ht="15.95">
      <c r="A426" s="32" t="s">
        <v>799</v>
      </c>
      <c r="B426" s="23">
        <v>28</v>
      </c>
      <c r="C426" s="35" t="s">
        <v>390</v>
      </c>
      <c r="D426" s="35" t="s">
        <v>390</v>
      </c>
      <c r="E426" s="35" t="s">
        <v>390</v>
      </c>
      <c r="F426" s="35" t="s">
        <v>390</v>
      </c>
      <c r="G426" s="35" t="s">
        <v>390</v>
      </c>
    </row>
    <row r="427" spans="1:7" ht="15.95">
      <c r="A427" s="32" t="s">
        <v>800</v>
      </c>
      <c r="B427" s="23">
        <v>1</v>
      </c>
      <c r="C427" s="35" t="s">
        <v>390</v>
      </c>
      <c r="D427" s="35" t="s">
        <v>390</v>
      </c>
      <c r="E427" s="35" t="s">
        <v>390</v>
      </c>
      <c r="F427" s="35" t="s">
        <v>390</v>
      </c>
      <c r="G427" s="35" t="s">
        <v>390</v>
      </c>
    </row>
    <row r="428" spans="1:7" ht="15.95">
      <c r="A428" s="32" t="s">
        <v>801</v>
      </c>
      <c r="B428" s="23">
        <v>12</v>
      </c>
      <c r="C428" s="35" t="s">
        <v>390</v>
      </c>
      <c r="D428" s="35" t="s">
        <v>390</v>
      </c>
      <c r="E428" s="35" t="s">
        <v>390</v>
      </c>
      <c r="F428" s="35" t="s">
        <v>390</v>
      </c>
      <c r="G428" s="35" t="s">
        <v>390</v>
      </c>
    </row>
    <row r="429" spans="1:7" ht="15.95">
      <c r="A429" s="32" t="s">
        <v>802</v>
      </c>
      <c r="B429" s="23">
        <v>11</v>
      </c>
      <c r="C429" s="35" t="s">
        <v>390</v>
      </c>
      <c r="D429" s="35" t="s">
        <v>390</v>
      </c>
      <c r="E429" s="35" t="s">
        <v>390</v>
      </c>
      <c r="F429" s="35" t="s">
        <v>390</v>
      </c>
      <c r="G429" s="35" t="s">
        <v>390</v>
      </c>
    </row>
    <row r="430" spans="1:7" ht="15.95">
      <c r="A430" s="32" t="s">
        <v>803</v>
      </c>
      <c r="B430" s="23">
        <v>50</v>
      </c>
      <c r="C430" s="34">
        <v>2.8</v>
      </c>
      <c r="D430" s="34">
        <v>81.900000000000006</v>
      </c>
      <c r="E430" s="34">
        <v>14.2</v>
      </c>
      <c r="F430" s="34">
        <v>3.7</v>
      </c>
      <c r="G430" s="34">
        <v>26.5</v>
      </c>
    </row>
    <row r="431" spans="1:7" ht="15.95">
      <c r="A431" s="32" t="s">
        <v>804</v>
      </c>
      <c r="B431" s="23">
        <v>77</v>
      </c>
      <c r="C431" s="34">
        <v>2.6</v>
      </c>
      <c r="D431" s="34">
        <v>78.400000000000006</v>
      </c>
      <c r="E431" s="34">
        <v>11</v>
      </c>
      <c r="F431" s="34">
        <v>5.8</v>
      </c>
      <c r="G431" s="34">
        <v>24.1</v>
      </c>
    </row>
    <row r="432" spans="1:7" ht="15.95">
      <c r="A432" s="32" t="s">
        <v>805</v>
      </c>
      <c r="B432" s="23">
        <v>150</v>
      </c>
      <c r="C432" s="34">
        <v>5.2</v>
      </c>
      <c r="D432" s="34">
        <v>83</v>
      </c>
      <c r="E432" s="34">
        <v>5.6</v>
      </c>
      <c r="F432" s="34">
        <v>7.8</v>
      </c>
      <c r="G432" s="34">
        <v>13.9</v>
      </c>
    </row>
    <row r="433" spans="1:7" ht="15.95">
      <c r="A433" s="32" t="s">
        <v>806</v>
      </c>
      <c r="B433" s="23">
        <v>140</v>
      </c>
      <c r="C433" s="34">
        <v>1.1000000000000001</v>
      </c>
      <c r="D433" s="34">
        <v>86</v>
      </c>
      <c r="E433" s="34">
        <v>6.1</v>
      </c>
      <c r="F433" s="34">
        <v>2.9</v>
      </c>
      <c r="G433" s="34">
        <v>31.6</v>
      </c>
    </row>
    <row r="434" spans="1:7" ht="15.95">
      <c r="A434" s="32" t="s">
        <v>807</v>
      </c>
      <c r="B434" s="23">
        <v>22</v>
      </c>
      <c r="C434" s="35" t="s">
        <v>390</v>
      </c>
      <c r="D434" s="35" t="s">
        <v>390</v>
      </c>
      <c r="E434" s="35" t="s">
        <v>390</v>
      </c>
      <c r="F434" s="35" t="s">
        <v>390</v>
      </c>
      <c r="G434" s="35" t="s">
        <v>390</v>
      </c>
    </row>
    <row r="435" spans="1:7" ht="15.95">
      <c r="A435" s="32" t="s">
        <v>808</v>
      </c>
      <c r="B435" s="23">
        <v>902</v>
      </c>
      <c r="C435" s="34">
        <v>2.4</v>
      </c>
      <c r="D435" s="34">
        <v>84.1</v>
      </c>
      <c r="E435" s="34">
        <v>8.6999999999999993</v>
      </c>
      <c r="F435" s="34">
        <v>3.8</v>
      </c>
      <c r="G435" s="34">
        <v>23.2</v>
      </c>
    </row>
    <row r="436" spans="1:7" ht="15.95">
      <c r="A436" s="32" t="s">
        <v>809</v>
      </c>
      <c r="B436" s="23">
        <v>401</v>
      </c>
      <c r="C436" s="34">
        <v>1.8</v>
      </c>
      <c r="D436" s="34">
        <v>85.6</v>
      </c>
      <c r="E436" s="34">
        <v>9.4</v>
      </c>
      <c r="F436" s="34">
        <v>1.3</v>
      </c>
      <c r="G436" s="34">
        <v>18.100000000000001</v>
      </c>
    </row>
    <row r="437" spans="1:7" ht="15.95">
      <c r="A437" s="32" t="s">
        <v>810</v>
      </c>
      <c r="B437" s="23">
        <v>201</v>
      </c>
      <c r="C437" s="34">
        <v>2.6</v>
      </c>
      <c r="D437" s="34">
        <v>91.8</v>
      </c>
      <c r="E437" s="34">
        <v>4.5</v>
      </c>
      <c r="F437" s="34">
        <v>1.4</v>
      </c>
      <c r="G437" s="34">
        <v>11.5</v>
      </c>
    </row>
    <row r="438" spans="1:7" ht="15.95">
      <c r="A438" s="32" t="s">
        <v>811</v>
      </c>
      <c r="B438" s="23">
        <v>44</v>
      </c>
      <c r="C438" s="35" t="s">
        <v>390</v>
      </c>
      <c r="D438" s="35" t="s">
        <v>390</v>
      </c>
      <c r="E438" s="35" t="s">
        <v>390</v>
      </c>
      <c r="F438" s="35" t="s">
        <v>390</v>
      </c>
      <c r="G438" s="35" t="s">
        <v>390</v>
      </c>
    </row>
    <row r="439" spans="1:7" ht="15.95">
      <c r="A439" s="32" t="s">
        <v>812</v>
      </c>
      <c r="B439" s="23">
        <v>83</v>
      </c>
      <c r="C439" s="34">
        <v>1.8</v>
      </c>
      <c r="D439" s="34">
        <v>85.6</v>
      </c>
      <c r="E439" s="34">
        <v>7.5</v>
      </c>
      <c r="F439" s="34">
        <v>4.4000000000000004</v>
      </c>
      <c r="G439" s="34">
        <v>32.200000000000003</v>
      </c>
    </row>
    <row r="440" spans="1:7" ht="15.95">
      <c r="A440" s="32" t="s">
        <v>813</v>
      </c>
      <c r="B440" s="23">
        <v>26</v>
      </c>
      <c r="C440" s="35" t="s">
        <v>390</v>
      </c>
      <c r="D440" s="35" t="s">
        <v>390</v>
      </c>
      <c r="E440" s="35" t="s">
        <v>390</v>
      </c>
      <c r="F440" s="35" t="s">
        <v>390</v>
      </c>
      <c r="G440" s="35" t="s">
        <v>390</v>
      </c>
    </row>
    <row r="441" spans="1:7" ht="15.95">
      <c r="A441" s="32" t="s">
        <v>814</v>
      </c>
      <c r="B441" s="23">
        <v>448</v>
      </c>
      <c r="C441" s="34">
        <v>2</v>
      </c>
      <c r="D441" s="34">
        <v>90.6</v>
      </c>
      <c r="E441" s="34">
        <v>5.4</v>
      </c>
      <c r="F441" s="34">
        <v>2.4</v>
      </c>
      <c r="G441" s="34">
        <v>17.899999999999999</v>
      </c>
    </row>
    <row r="442" spans="1:7" ht="15.95">
      <c r="A442" s="32" t="s">
        <v>815</v>
      </c>
      <c r="B442" s="23">
        <v>41</v>
      </c>
      <c r="C442" s="35" t="s">
        <v>390</v>
      </c>
      <c r="D442" s="35" t="s">
        <v>390</v>
      </c>
      <c r="E442" s="35" t="s">
        <v>390</v>
      </c>
      <c r="F442" s="35" t="s">
        <v>390</v>
      </c>
      <c r="G442" s="35" t="s">
        <v>390</v>
      </c>
    </row>
    <row r="443" spans="1:7" ht="15.95">
      <c r="A443" s="32" t="s">
        <v>816</v>
      </c>
      <c r="B443" s="23">
        <v>424</v>
      </c>
      <c r="C443" s="34">
        <v>3.9</v>
      </c>
      <c r="D443" s="34">
        <v>85.8</v>
      </c>
      <c r="E443" s="34">
        <v>7.8</v>
      </c>
      <c r="F443" s="34">
        <v>3.4</v>
      </c>
      <c r="G443" s="34">
        <v>16.5</v>
      </c>
    </row>
    <row r="444" spans="1:7" ht="15.95">
      <c r="A444" s="32" t="s">
        <v>817</v>
      </c>
      <c r="B444" s="23">
        <v>528</v>
      </c>
      <c r="C444" s="34">
        <v>4.5</v>
      </c>
      <c r="D444" s="34">
        <v>85.9</v>
      </c>
      <c r="E444" s="34">
        <v>8.9</v>
      </c>
      <c r="F444" s="34">
        <v>2.1</v>
      </c>
      <c r="G444" s="34">
        <v>19.7</v>
      </c>
    </row>
    <row r="445" spans="1:7" ht="15.95">
      <c r="A445" s="32" t="s">
        <v>818</v>
      </c>
      <c r="B445" s="23">
        <v>27</v>
      </c>
      <c r="C445" s="35" t="s">
        <v>390</v>
      </c>
      <c r="D445" s="35" t="s">
        <v>390</v>
      </c>
      <c r="E445" s="35" t="s">
        <v>390</v>
      </c>
      <c r="F445" s="35" t="s">
        <v>390</v>
      </c>
      <c r="G445" s="35" t="s">
        <v>390</v>
      </c>
    </row>
    <row r="446" spans="1:7" ht="15.95">
      <c r="A446" s="32" t="s">
        <v>819</v>
      </c>
      <c r="B446" s="23">
        <v>40</v>
      </c>
      <c r="C446" s="35" t="s">
        <v>390</v>
      </c>
      <c r="D446" s="35" t="s">
        <v>390</v>
      </c>
      <c r="E446" s="35" t="s">
        <v>390</v>
      </c>
      <c r="F446" s="35" t="s">
        <v>390</v>
      </c>
      <c r="G446" s="35" t="s">
        <v>390</v>
      </c>
    </row>
    <row r="447" spans="1:7" ht="15.95">
      <c r="A447" s="32" t="s">
        <v>820</v>
      </c>
      <c r="B447" s="23">
        <v>129</v>
      </c>
      <c r="C447" s="34">
        <v>0.6</v>
      </c>
      <c r="D447" s="34">
        <v>89.8</v>
      </c>
      <c r="E447" s="34">
        <v>7.8</v>
      </c>
      <c r="F447" s="34">
        <v>0</v>
      </c>
      <c r="G447" s="34">
        <v>11.6</v>
      </c>
    </row>
    <row r="448" spans="1:7" ht="15.95">
      <c r="A448" s="32" t="s">
        <v>821</v>
      </c>
      <c r="B448" s="23">
        <v>189</v>
      </c>
      <c r="C448" s="34">
        <v>2.7</v>
      </c>
      <c r="D448" s="34">
        <v>78.3</v>
      </c>
      <c r="E448" s="34">
        <v>18.399999999999999</v>
      </c>
      <c r="F448" s="34">
        <v>1.7</v>
      </c>
      <c r="G448" s="34">
        <v>19.100000000000001</v>
      </c>
    </row>
    <row r="449" spans="1:7" ht="15.95">
      <c r="A449" s="32" t="s">
        <v>822</v>
      </c>
      <c r="B449" s="23">
        <v>63</v>
      </c>
      <c r="C449" s="34">
        <v>14.6</v>
      </c>
      <c r="D449" s="34">
        <v>80.900000000000006</v>
      </c>
      <c r="E449" s="34">
        <v>14.7</v>
      </c>
      <c r="F449" s="34">
        <v>1.4</v>
      </c>
      <c r="G449" s="34">
        <v>10.9</v>
      </c>
    </row>
    <row r="450" spans="1:7" ht="15.95">
      <c r="A450" s="32" t="s">
        <v>823</v>
      </c>
      <c r="B450" s="23">
        <v>5</v>
      </c>
      <c r="C450" s="35" t="s">
        <v>390</v>
      </c>
      <c r="D450" s="35" t="s">
        <v>390</v>
      </c>
      <c r="E450" s="35" t="s">
        <v>390</v>
      </c>
      <c r="F450" s="35" t="s">
        <v>390</v>
      </c>
      <c r="G450" s="35" t="s">
        <v>390</v>
      </c>
    </row>
    <row r="451" spans="1:7" ht="15.95">
      <c r="A451" s="32" t="s">
        <v>824</v>
      </c>
      <c r="B451" s="23">
        <v>34</v>
      </c>
      <c r="C451" s="35" t="s">
        <v>390</v>
      </c>
      <c r="D451" s="35" t="s">
        <v>390</v>
      </c>
      <c r="E451" s="35" t="s">
        <v>390</v>
      </c>
      <c r="F451" s="35" t="s">
        <v>390</v>
      </c>
      <c r="G451" s="35" t="s">
        <v>390</v>
      </c>
    </row>
    <row r="452" spans="1:7" ht="15.95">
      <c r="A452" s="32" t="s">
        <v>825</v>
      </c>
      <c r="B452" s="23">
        <v>0</v>
      </c>
      <c r="C452" s="35" t="s">
        <v>390</v>
      </c>
      <c r="D452" s="35" t="s">
        <v>390</v>
      </c>
      <c r="E452" s="35" t="s">
        <v>390</v>
      </c>
      <c r="F452" s="35" t="s">
        <v>390</v>
      </c>
      <c r="G452" s="35" t="s">
        <v>390</v>
      </c>
    </row>
    <row r="453" spans="1:7" ht="15.95">
      <c r="A453" s="32" t="s">
        <v>826</v>
      </c>
      <c r="B453" s="23">
        <v>35</v>
      </c>
      <c r="C453" s="35" t="s">
        <v>390</v>
      </c>
      <c r="D453" s="35" t="s">
        <v>390</v>
      </c>
      <c r="E453" s="35" t="s">
        <v>390</v>
      </c>
      <c r="F453" s="35" t="s">
        <v>390</v>
      </c>
      <c r="G453" s="35" t="s">
        <v>390</v>
      </c>
    </row>
    <row r="454" spans="1:7" ht="15.95">
      <c r="A454" s="32" t="s">
        <v>827</v>
      </c>
      <c r="B454" s="23">
        <v>4</v>
      </c>
      <c r="C454" s="35" t="s">
        <v>390</v>
      </c>
      <c r="D454" s="35" t="s">
        <v>390</v>
      </c>
      <c r="E454" s="35" t="s">
        <v>390</v>
      </c>
      <c r="F454" s="35" t="s">
        <v>390</v>
      </c>
      <c r="G454" s="35" t="s">
        <v>390</v>
      </c>
    </row>
    <row r="455" spans="1:7" ht="15.95">
      <c r="A455" s="32" t="s">
        <v>828</v>
      </c>
      <c r="B455" s="23">
        <v>14</v>
      </c>
      <c r="C455" s="35" t="s">
        <v>390</v>
      </c>
      <c r="D455" s="35" t="s">
        <v>390</v>
      </c>
      <c r="E455" s="35" t="s">
        <v>390</v>
      </c>
      <c r="F455" s="35" t="s">
        <v>390</v>
      </c>
      <c r="G455" s="35" t="s">
        <v>390</v>
      </c>
    </row>
    <row r="456" spans="1:7" ht="15.95">
      <c r="A456" s="32" t="s">
        <v>829</v>
      </c>
      <c r="B456" s="23">
        <v>9</v>
      </c>
      <c r="C456" s="35" t="s">
        <v>390</v>
      </c>
      <c r="D456" s="35" t="s">
        <v>390</v>
      </c>
      <c r="E456" s="35" t="s">
        <v>390</v>
      </c>
      <c r="F456" s="35" t="s">
        <v>390</v>
      </c>
      <c r="G456" s="35" t="s">
        <v>390</v>
      </c>
    </row>
    <row r="457" spans="1:7" ht="15.95">
      <c r="A457" s="32" t="s">
        <v>830</v>
      </c>
      <c r="B457" s="23">
        <v>18</v>
      </c>
      <c r="C457" s="35" t="s">
        <v>390</v>
      </c>
      <c r="D457" s="35" t="s">
        <v>390</v>
      </c>
      <c r="E457" s="35" t="s">
        <v>390</v>
      </c>
      <c r="F457" s="35" t="s">
        <v>390</v>
      </c>
      <c r="G457" s="35" t="s">
        <v>390</v>
      </c>
    </row>
    <row r="458" spans="1:7" ht="15.95">
      <c r="A458" s="32" t="s">
        <v>831</v>
      </c>
      <c r="B458" s="23">
        <v>215</v>
      </c>
      <c r="C458" s="34">
        <v>5.9</v>
      </c>
      <c r="D458" s="34">
        <v>86.7</v>
      </c>
      <c r="E458" s="34">
        <v>6.4</v>
      </c>
      <c r="F458" s="34">
        <v>2.2999999999999998</v>
      </c>
      <c r="G458" s="34">
        <v>23.5</v>
      </c>
    </row>
    <row r="459" spans="1:7">
      <c r="B459" s="25"/>
    </row>
    <row r="460" spans="1:7" ht="15.95">
      <c r="A460" s="22" t="s">
        <v>832</v>
      </c>
      <c r="B460" s="23">
        <v>17927</v>
      </c>
      <c r="C460" s="34">
        <v>22.8</v>
      </c>
      <c r="D460" s="34">
        <v>74.2</v>
      </c>
      <c r="E460" s="34">
        <v>16.600000000000001</v>
      </c>
      <c r="F460" s="34">
        <v>5.3</v>
      </c>
      <c r="G460" s="34">
        <v>22.2</v>
      </c>
    </row>
    <row r="461" spans="1:7" ht="21" customHeight="1">
      <c r="A461" s="24" t="s">
        <v>833</v>
      </c>
      <c r="B461" s="23">
        <v>8482</v>
      </c>
      <c r="C461" s="34">
        <v>28.9</v>
      </c>
      <c r="D461" s="34">
        <v>76.8</v>
      </c>
      <c r="E461" s="34">
        <v>13.3</v>
      </c>
      <c r="F461" s="34">
        <v>6.2</v>
      </c>
      <c r="G461" s="34">
        <v>22.8</v>
      </c>
    </row>
    <row r="462" spans="1:7" ht="15.95">
      <c r="A462" s="32" t="s">
        <v>834</v>
      </c>
      <c r="B462" s="23">
        <v>768</v>
      </c>
      <c r="C462" s="34">
        <v>19.100000000000001</v>
      </c>
      <c r="D462" s="34">
        <v>82.2</v>
      </c>
      <c r="E462" s="34">
        <v>10.4</v>
      </c>
      <c r="F462" s="34">
        <v>3.7</v>
      </c>
      <c r="G462" s="34">
        <v>16.7</v>
      </c>
    </row>
    <row r="463" spans="1:7" ht="15.95">
      <c r="A463" s="32" t="s">
        <v>835</v>
      </c>
      <c r="B463" s="23">
        <v>1</v>
      </c>
      <c r="C463" s="35" t="s">
        <v>390</v>
      </c>
      <c r="D463" s="35" t="s">
        <v>390</v>
      </c>
      <c r="E463" s="35" t="s">
        <v>390</v>
      </c>
      <c r="F463" s="35" t="s">
        <v>390</v>
      </c>
      <c r="G463" s="35" t="s">
        <v>390</v>
      </c>
    </row>
    <row r="464" spans="1:7" ht="15.95">
      <c r="A464" s="32" t="s">
        <v>836</v>
      </c>
      <c r="B464" s="23">
        <v>128</v>
      </c>
      <c r="C464" s="34">
        <v>42.1</v>
      </c>
      <c r="D464" s="34">
        <v>63.5</v>
      </c>
      <c r="E464" s="34">
        <v>15.3</v>
      </c>
      <c r="F464" s="34">
        <v>17.2</v>
      </c>
      <c r="G464" s="34">
        <v>18.2</v>
      </c>
    </row>
    <row r="465" spans="1:7" ht="15.95">
      <c r="A465" s="32" t="s">
        <v>837</v>
      </c>
      <c r="B465" s="23">
        <v>13</v>
      </c>
      <c r="C465" s="35" t="s">
        <v>390</v>
      </c>
      <c r="D465" s="35" t="s">
        <v>390</v>
      </c>
      <c r="E465" s="35" t="s">
        <v>390</v>
      </c>
      <c r="F465" s="35" t="s">
        <v>390</v>
      </c>
      <c r="G465" s="35" t="s">
        <v>390</v>
      </c>
    </row>
    <row r="466" spans="1:7" ht="15.95">
      <c r="A466" s="32" t="s">
        <v>838</v>
      </c>
      <c r="B466" s="23">
        <v>30</v>
      </c>
      <c r="C466" s="35" t="s">
        <v>390</v>
      </c>
      <c r="D466" s="35" t="s">
        <v>390</v>
      </c>
      <c r="E466" s="35" t="s">
        <v>390</v>
      </c>
      <c r="F466" s="35" t="s">
        <v>390</v>
      </c>
      <c r="G466" s="35" t="s">
        <v>390</v>
      </c>
    </row>
    <row r="467" spans="1:7" ht="15.95">
      <c r="A467" s="32" t="s">
        <v>839</v>
      </c>
      <c r="B467" s="23">
        <v>1033</v>
      </c>
      <c r="C467" s="34">
        <v>37.700000000000003</v>
      </c>
      <c r="D467" s="34">
        <v>68</v>
      </c>
      <c r="E467" s="34">
        <v>20.8</v>
      </c>
      <c r="F467" s="34">
        <v>8</v>
      </c>
      <c r="G467" s="34">
        <v>18.899999999999999</v>
      </c>
    </row>
    <row r="468" spans="1:7" ht="15.95">
      <c r="A468" s="32" t="s">
        <v>840</v>
      </c>
      <c r="B468" s="23">
        <v>215</v>
      </c>
      <c r="C468" s="34">
        <v>60.1</v>
      </c>
      <c r="D468" s="34">
        <v>71.3</v>
      </c>
      <c r="E468" s="34">
        <v>15.6</v>
      </c>
      <c r="F468" s="34">
        <v>8.5</v>
      </c>
      <c r="G468" s="34">
        <v>31.5</v>
      </c>
    </row>
    <row r="469" spans="1:7" ht="15.95">
      <c r="A469" s="32" t="s">
        <v>841</v>
      </c>
      <c r="B469" s="23">
        <v>269</v>
      </c>
      <c r="C469" s="34">
        <v>24.3</v>
      </c>
      <c r="D469" s="34">
        <v>68.5</v>
      </c>
      <c r="E469" s="34">
        <v>19.8</v>
      </c>
      <c r="F469" s="34">
        <v>7.2</v>
      </c>
      <c r="G469" s="34">
        <v>35.299999999999997</v>
      </c>
    </row>
    <row r="470" spans="1:7" ht="15.95">
      <c r="A470" s="32" t="s">
        <v>842</v>
      </c>
      <c r="B470" s="23">
        <v>12</v>
      </c>
      <c r="C470" s="35" t="s">
        <v>390</v>
      </c>
      <c r="D470" s="35" t="s">
        <v>390</v>
      </c>
      <c r="E470" s="35" t="s">
        <v>390</v>
      </c>
      <c r="F470" s="35" t="s">
        <v>390</v>
      </c>
      <c r="G470" s="35" t="s">
        <v>390</v>
      </c>
    </row>
    <row r="471" spans="1:7" ht="15.95">
      <c r="A471" s="32" t="s">
        <v>843</v>
      </c>
      <c r="B471" s="23">
        <v>89</v>
      </c>
      <c r="C471" s="34">
        <v>58.1</v>
      </c>
      <c r="D471" s="34">
        <v>77.2</v>
      </c>
      <c r="E471" s="34">
        <v>12.4</v>
      </c>
      <c r="F471" s="34">
        <v>6.6</v>
      </c>
      <c r="G471" s="34">
        <v>26.2</v>
      </c>
    </row>
    <row r="472" spans="1:7" ht="15.95">
      <c r="A472" s="32" t="s">
        <v>844</v>
      </c>
      <c r="B472" s="23">
        <v>15</v>
      </c>
      <c r="C472" s="35" t="s">
        <v>390</v>
      </c>
      <c r="D472" s="35" t="s">
        <v>390</v>
      </c>
      <c r="E472" s="35" t="s">
        <v>390</v>
      </c>
      <c r="F472" s="35" t="s">
        <v>390</v>
      </c>
      <c r="G472" s="35" t="s">
        <v>390</v>
      </c>
    </row>
    <row r="473" spans="1:7" ht="15.95">
      <c r="A473" s="32" t="s">
        <v>845</v>
      </c>
      <c r="B473" s="23">
        <v>175</v>
      </c>
      <c r="C473" s="34">
        <v>32.5</v>
      </c>
      <c r="D473" s="34">
        <v>62.8</v>
      </c>
      <c r="E473" s="34">
        <v>24.1</v>
      </c>
      <c r="F473" s="34">
        <v>7</v>
      </c>
      <c r="G473" s="34">
        <v>37.299999999999997</v>
      </c>
    </row>
    <row r="474" spans="1:7" ht="15.95">
      <c r="A474" s="32" t="s">
        <v>846</v>
      </c>
      <c r="B474" s="23">
        <v>99</v>
      </c>
      <c r="C474" s="34">
        <v>9.8000000000000007</v>
      </c>
      <c r="D474" s="34">
        <v>82.8</v>
      </c>
      <c r="E474" s="34">
        <v>9.8000000000000007</v>
      </c>
      <c r="F474" s="34">
        <v>5.6</v>
      </c>
      <c r="G474" s="34">
        <v>10.7</v>
      </c>
    </row>
    <row r="475" spans="1:7" ht="15.95">
      <c r="A475" s="32" t="s">
        <v>847</v>
      </c>
      <c r="B475" s="23">
        <v>19</v>
      </c>
      <c r="C475" s="35" t="s">
        <v>390</v>
      </c>
      <c r="D475" s="35" t="s">
        <v>390</v>
      </c>
      <c r="E475" s="35" t="s">
        <v>390</v>
      </c>
      <c r="F475" s="35" t="s">
        <v>390</v>
      </c>
      <c r="G475" s="35" t="s">
        <v>390</v>
      </c>
    </row>
    <row r="476" spans="1:7" ht="15.95">
      <c r="A476" s="32" t="s">
        <v>848</v>
      </c>
      <c r="B476" s="23">
        <v>8</v>
      </c>
      <c r="C476" s="35" t="s">
        <v>390</v>
      </c>
      <c r="D476" s="35" t="s">
        <v>390</v>
      </c>
      <c r="E476" s="35" t="s">
        <v>390</v>
      </c>
      <c r="F476" s="35" t="s">
        <v>390</v>
      </c>
      <c r="G476" s="35" t="s">
        <v>390</v>
      </c>
    </row>
    <row r="477" spans="1:7" ht="15.95">
      <c r="A477" s="32" t="s">
        <v>849</v>
      </c>
      <c r="B477" s="23">
        <v>8</v>
      </c>
      <c r="C477" s="35" t="s">
        <v>390</v>
      </c>
      <c r="D477" s="35" t="s">
        <v>390</v>
      </c>
      <c r="E477" s="35" t="s">
        <v>390</v>
      </c>
      <c r="F477" s="35" t="s">
        <v>390</v>
      </c>
      <c r="G477" s="35" t="s">
        <v>390</v>
      </c>
    </row>
    <row r="478" spans="1:7" ht="32.1">
      <c r="A478" s="32" t="s">
        <v>850</v>
      </c>
      <c r="B478" s="23">
        <v>80</v>
      </c>
      <c r="C478" s="34">
        <v>11</v>
      </c>
      <c r="D478" s="34">
        <v>82.6</v>
      </c>
      <c r="E478" s="34">
        <v>10</v>
      </c>
      <c r="F478" s="34">
        <v>4.7</v>
      </c>
      <c r="G478" s="34">
        <v>12.5</v>
      </c>
    </row>
    <row r="479" spans="1:7" ht="15.95">
      <c r="A479" s="32" t="s">
        <v>851</v>
      </c>
      <c r="B479" s="23">
        <v>4</v>
      </c>
      <c r="C479" s="35" t="s">
        <v>390</v>
      </c>
      <c r="D479" s="35" t="s">
        <v>390</v>
      </c>
      <c r="E479" s="35" t="s">
        <v>390</v>
      </c>
      <c r="F479" s="35" t="s">
        <v>390</v>
      </c>
      <c r="G479" s="35" t="s">
        <v>390</v>
      </c>
    </row>
    <row r="480" spans="1:7" ht="32.1">
      <c r="A480" s="32" t="s">
        <v>852</v>
      </c>
      <c r="B480" s="23">
        <v>38</v>
      </c>
      <c r="C480" s="35" t="s">
        <v>390</v>
      </c>
      <c r="D480" s="35" t="s">
        <v>390</v>
      </c>
      <c r="E480" s="35" t="s">
        <v>390</v>
      </c>
      <c r="F480" s="35" t="s">
        <v>390</v>
      </c>
      <c r="G480" s="35" t="s">
        <v>390</v>
      </c>
    </row>
    <row r="481" spans="1:7" ht="15.95">
      <c r="A481" s="32" t="s">
        <v>853</v>
      </c>
      <c r="B481" s="23">
        <v>14</v>
      </c>
      <c r="C481" s="35" t="s">
        <v>390</v>
      </c>
      <c r="D481" s="35" t="s">
        <v>390</v>
      </c>
      <c r="E481" s="35" t="s">
        <v>390</v>
      </c>
      <c r="F481" s="35" t="s">
        <v>390</v>
      </c>
      <c r="G481" s="35" t="s">
        <v>390</v>
      </c>
    </row>
    <row r="482" spans="1:7" ht="15.95">
      <c r="A482" s="32" t="s">
        <v>854</v>
      </c>
      <c r="B482" s="23">
        <v>5</v>
      </c>
      <c r="C482" s="35" t="s">
        <v>390</v>
      </c>
      <c r="D482" s="35" t="s">
        <v>390</v>
      </c>
      <c r="E482" s="35" t="s">
        <v>390</v>
      </c>
      <c r="F482" s="35" t="s">
        <v>390</v>
      </c>
      <c r="G482" s="35" t="s">
        <v>390</v>
      </c>
    </row>
    <row r="483" spans="1:7" ht="15.95">
      <c r="A483" s="32" t="s">
        <v>855</v>
      </c>
      <c r="B483" s="23">
        <v>366</v>
      </c>
      <c r="C483" s="34">
        <v>5</v>
      </c>
      <c r="D483" s="34">
        <v>86.1</v>
      </c>
      <c r="E483" s="34">
        <v>4.4000000000000004</v>
      </c>
      <c r="F483" s="34">
        <v>6.3</v>
      </c>
      <c r="G483" s="34">
        <v>13.9</v>
      </c>
    </row>
    <row r="484" spans="1:7" ht="15.95">
      <c r="A484" s="32" t="s">
        <v>856</v>
      </c>
      <c r="B484" s="23">
        <v>19</v>
      </c>
      <c r="C484" s="35" t="s">
        <v>390</v>
      </c>
      <c r="D484" s="35" t="s">
        <v>390</v>
      </c>
      <c r="E484" s="35" t="s">
        <v>390</v>
      </c>
      <c r="F484" s="35" t="s">
        <v>390</v>
      </c>
      <c r="G484" s="35" t="s">
        <v>390</v>
      </c>
    </row>
    <row r="485" spans="1:7" ht="15.95">
      <c r="A485" s="32" t="s">
        <v>857</v>
      </c>
      <c r="B485" s="23">
        <v>5</v>
      </c>
      <c r="C485" s="35" t="s">
        <v>390</v>
      </c>
      <c r="D485" s="35" t="s">
        <v>390</v>
      </c>
      <c r="E485" s="35" t="s">
        <v>390</v>
      </c>
      <c r="F485" s="35" t="s">
        <v>390</v>
      </c>
      <c r="G485" s="35" t="s">
        <v>390</v>
      </c>
    </row>
    <row r="486" spans="1:7" ht="15.95">
      <c r="A486" s="32" t="s">
        <v>858</v>
      </c>
      <c r="B486" s="23">
        <v>45</v>
      </c>
      <c r="C486" s="35" t="s">
        <v>390</v>
      </c>
      <c r="D486" s="35" t="s">
        <v>390</v>
      </c>
      <c r="E486" s="35" t="s">
        <v>390</v>
      </c>
      <c r="F486" s="35" t="s">
        <v>390</v>
      </c>
      <c r="G486" s="35" t="s">
        <v>390</v>
      </c>
    </row>
    <row r="487" spans="1:7" ht="15.95">
      <c r="A487" s="32" t="s">
        <v>859</v>
      </c>
      <c r="B487" s="23">
        <v>5</v>
      </c>
      <c r="C487" s="35" t="s">
        <v>390</v>
      </c>
      <c r="D487" s="35" t="s">
        <v>390</v>
      </c>
      <c r="E487" s="35" t="s">
        <v>390</v>
      </c>
      <c r="F487" s="35" t="s">
        <v>390</v>
      </c>
      <c r="G487" s="35" t="s">
        <v>390</v>
      </c>
    </row>
    <row r="488" spans="1:7" ht="15.95">
      <c r="A488" s="32" t="s">
        <v>860</v>
      </c>
      <c r="B488" s="23">
        <v>62</v>
      </c>
      <c r="C488" s="34">
        <v>3.2</v>
      </c>
      <c r="D488" s="34">
        <v>97.6</v>
      </c>
      <c r="E488" s="34">
        <v>1.1000000000000001</v>
      </c>
      <c r="F488" s="34">
        <v>0.7</v>
      </c>
      <c r="G488" s="34">
        <v>6.9</v>
      </c>
    </row>
    <row r="489" spans="1:7" ht="15.95">
      <c r="A489" s="32" t="s">
        <v>861</v>
      </c>
      <c r="B489" s="23">
        <v>600</v>
      </c>
      <c r="C489" s="34">
        <v>4.5</v>
      </c>
      <c r="D489" s="34">
        <v>87.4</v>
      </c>
      <c r="E489" s="34">
        <v>7.5</v>
      </c>
      <c r="F489" s="34">
        <v>1.1000000000000001</v>
      </c>
      <c r="G489" s="34">
        <v>24.3</v>
      </c>
    </row>
    <row r="490" spans="1:7" ht="14.25" customHeight="1">
      <c r="A490" s="32" t="s">
        <v>862</v>
      </c>
      <c r="B490" s="23">
        <v>3</v>
      </c>
      <c r="C490" s="35" t="s">
        <v>390</v>
      </c>
      <c r="D490" s="35" t="s">
        <v>390</v>
      </c>
      <c r="E490" s="35" t="s">
        <v>390</v>
      </c>
      <c r="F490" s="35" t="s">
        <v>390</v>
      </c>
      <c r="G490" s="35" t="s">
        <v>390</v>
      </c>
    </row>
    <row r="491" spans="1:7" ht="15.95">
      <c r="A491" s="32" t="s">
        <v>863</v>
      </c>
      <c r="B491" s="23">
        <v>12</v>
      </c>
      <c r="C491" s="35" t="s">
        <v>390</v>
      </c>
      <c r="D491" s="35" t="s">
        <v>390</v>
      </c>
      <c r="E491" s="35" t="s">
        <v>390</v>
      </c>
      <c r="F491" s="35" t="s">
        <v>390</v>
      </c>
      <c r="G491" s="35" t="s">
        <v>390</v>
      </c>
    </row>
    <row r="492" spans="1:7" ht="15.95">
      <c r="A492" s="32" t="s">
        <v>864</v>
      </c>
      <c r="B492" s="23">
        <v>17</v>
      </c>
      <c r="C492" s="35" t="s">
        <v>390</v>
      </c>
      <c r="D492" s="35" t="s">
        <v>390</v>
      </c>
      <c r="E492" s="35" t="s">
        <v>390</v>
      </c>
      <c r="F492" s="35" t="s">
        <v>390</v>
      </c>
      <c r="G492" s="35" t="s">
        <v>390</v>
      </c>
    </row>
    <row r="493" spans="1:7" ht="15.95">
      <c r="A493" s="32" t="s">
        <v>865</v>
      </c>
      <c r="B493" s="23">
        <v>6</v>
      </c>
      <c r="C493" s="35" t="s">
        <v>390</v>
      </c>
      <c r="D493" s="35" t="s">
        <v>390</v>
      </c>
      <c r="E493" s="35" t="s">
        <v>390</v>
      </c>
      <c r="F493" s="35" t="s">
        <v>390</v>
      </c>
      <c r="G493" s="35" t="s">
        <v>390</v>
      </c>
    </row>
    <row r="494" spans="1:7" ht="15.95">
      <c r="A494" s="32" t="s">
        <v>866</v>
      </c>
      <c r="B494" s="23">
        <v>388</v>
      </c>
      <c r="C494" s="34">
        <v>20.5</v>
      </c>
      <c r="D494" s="34">
        <v>71.099999999999994</v>
      </c>
      <c r="E494" s="34">
        <v>14.9</v>
      </c>
      <c r="F494" s="34">
        <v>9.5</v>
      </c>
      <c r="G494" s="34">
        <v>23.1</v>
      </c>
    </row>
    <row r="495" spans="1:7" ht="15.95">
      <c r="A495" s="32" t="s">
        <v>867</v>
      </c>
      <c r="B495" s="23">
        <v>24</v>
      </c>
      <c r="C495" s="35" t="s">
        <v>390</v>
      </c>
      <c r="D495" s="35" t="s">
        <v>390</v>
      </c>
      <c r="E495" s="35" t="s">
        <v>390</v>
      </c>
      <c r="F495" s="35" t="s">
        <v>390</v>
      </c>
      <c r="G495" s="35" t="s">
        <v>390</v>
      </c>
    </row>
    <row r="496" spans="1:7" ht="15.95">
      <c r="A496" s="32" t="s">
        <v>868</v>
      </c>
      <c r="B496" s="23">
        <v>173</v>
      </c>
      <c r="C496" s="34">
        <v>17.7</v>
      </c>
      <c r="D496" s="34">
        <v>85</v>
      </c>
      <c r="E496" s="34">
        <v>6.6</v>
      </c>
      <c r="F496" s="34">
        <v>5.8</v>
      </c>
      <c r="G496" s="34">
        <v>22.2</v>
      </c>
    </row>
    <row r="497" spans="1:7" ht="15.95">
      <c r="A497" s="32" t="s">
        <v>869</v>
      </c>
      <c r="B497" s="23">
        <v>11</v>
      </c>
      <c r="C497" s="35" t="s">
        <v>390</v>
      </c>
      <c r="D497" s="35" t="s">
        <v>390</v>
      </c>
      <c r="E497" s="35" t="s">
        <v>390</v>
      </c>
      <c r="F497" s="35" t="s">
        <v>390</v>
      </c>
      <c r="G497" s="35" t="s">
        <v>390</v>
      </c>
    </row>
    <row r="498" spans="1:7" ht="15.95">
      <c r="A498" s="32" t="s">
        <v>870</v>
      </c>
      <c r="B498" s="23">
        <v>151</v>
      </c>
      <c r="C498" s="34">
        <v>68</v>
      </c>
      <c r="D498" s="34">
        <v>66.099999999999994</v>
      </c>
      <c r="E498" s="34">
        <v>18.5</v>
      </c>
      <c r="F498" s="34">
        <v>8</v>
      </c>
      <c r="G498" s="34">
        <v>38.700000000000003</v>
      </c>
    </row>
    <row r="499" spans="1:7" ht="15.95">
      <c r="A499" s="32" t="s">
        <v>871</v>
      </c>
      <c r="B499" s="23">
        <v>30</v>
      </c>
      <c r="C499" s="35" t="s">
        <v>390</v>
      </c>
      <c r="D499" s="35" t="s">
        <v>390</v>
      </c>
      <c r="E499" s="35" t="s">
        <v>390</v>
      </c>
      <c r="F499" s="35" t="s">
        <v>390</v>
      </c>
      <c r="G499" s="35" t="s">
        <v>390</v>
      </c>
    </row>
    <row r="500" spans="1:7" ht="15.95">
      <c r="A500" s="32" t="s">
        <v>872</v>
      </c>
      <c r="B500" s="23">
        <v>197</v>
      </c>
      <c r="C500" s="34">
        <v>73.2</v>
      </c>
      <c r="D500" s="34">
        <v>72</v>
      </c>
      <c r="E500" s="34">
        <v>8</v>
      </c>
      <c r="F500" s="34">
        <v>16</v>
      </c>
      <c r="G500" s="34">
        <v>42.2</v>
      </c>
    </row>
    <row r="501" spans="1:7" ht="15.95">
      <c r="A501" s="32" t="s">
        <v>873</v>
      </c>
      <c r="B501" s="23">
        <v>5</v>
      </c>
      <c r="C501" s="35" t="s">
        <v>390</v>
      </c>
      <c r="D501" s="35" t="s">
        <v>390</v>
      </c>
      <c r="E501" s="35" t="s">
        <v>390</v>
      </c>
      <c r="F501" s="35" t="s">
        <v>390</v>
      </c>
      <c r="G501" s="35" t="s">
        <v>390</v>
      </c>
    </row>
    <row r="502" spans="1:7" ht="15.95">
      <c r="A502" s="32" t="s">
        <v>874</v>
      </c>
      <c r="B502" s="23">
        <v>5</v>
      </c>
      <c r="C502" s="35" t="s">
        <v>390</v>
      </c>
      <c r="D502" s="35" t="s">
        <v>390</v>
      </c>
      <c r="E502" s="35" t="s">
        <v>390</v>
      </c>
      <c r="F502" s="35" t="s">
        <v>390</v>
      </c>
      <c r="G502" s="35" t="s">
        <v>390</v>
      </c>
    </row>
    <row r="503" spans="1:7" ht="15.95">
      <c r="A503" s="32" t="s">
        <v>875</v>
      </c>
      <c r="B503" s="23">
        <v>77</v>
      </c>
      <c r="C503" s="34">
        <v>75.900000000000006</v>
      </c>
      <c r="D503" s="34">
        <v>79.099999999999994</v>
      </c>
      <c r="E503" s="34">
        <v>9.5</v>
      </c>
      <c r="F503" s="34">
        <v>8.9</v>
      </c>
      <c r="G503" s="34">
        <v>29.6</v>
      </c>
    </row>
    <row r="504" spans="1:7" ht="15.95">
      <c r="A504" s="32" t="s">
        <v>876</v>
      </c>
      <c r="B504" s="23">
        <v>1</v>
      </c>
      <c r="C504" s="35" t="s">
        <v>390</v>
      </c>
      <c r="D504" s="35" t="s">
        <v>390</v>
      </c>
      <c r="E504" s="35" t="s">
        <v>390</v>
      </c>
      <c r="F504" s="35" t="s">
        <v>390</v>
      </c>
      <c r="G504" s="35" t="s">
        <v>390</v>
      </c>
    </row>
    <row r="505" spans="1:7" ht="15.95">
      <c r="A505" s="32" t="s">
        <v>877</v>
      </c>
      <c r="B505" s="23">
        <v>8</v>
      </c>
      <c r="C505" s="35" t="s">
        <v>390</v>
      </c>
      <c r="D505" s="35" t="s">
        <v>390</v>
      </c>
      <c r="E505" s="35" t="s">
        <v>390</v>
      </c>
      <c r="F505" s="35" t="s">
        <v>390</v>
      </c>
      <c r="G505" s="35" t="s">
        <v>390</v>
      </c>
    </row>
    <row r="506" spans="1:7" ht="15.95">
      <c r="A506" s="32" t="s">
        <v>878</v>
      </c>
      <c r="B506" s="23">
        <v>19</v>
      </c>
      <c r="C506" s="35" t="s">
        <v>390</v>
      </c>
      <c r="D506" s="35" t="s">
        <v>390</v>
      </c>
      <c r="E506" s="35" t="s">
        <v>390</v>
      </c>
      <c r="F506" s="35" t="s">
        <v>390</v>
      </c>
      <c r="G506" s="35" t="s">
        <v>390</v>
      </c>
    </row>
    <row r="507" spans="1:7" ht="15.95">
      <c r="A507" s="32" t="s">
        <v>879</v>
      </c>
      <c r="B507" s="23">
        <v>16</v>
      </c>
      <c r="C507" s="35" t="s">
        <v>390</v>
      </c>
      <c r="D507" s="35" t="s">
        <v>390</v>
      </c>
      <c r="E507" s="35" t="s">
        <v>390</v>
      </c>
      <c r="F507" s="35" t="s">
        <v>390</v>
      </c>
      <c r="G507" s="35" t="s">
        <v>390</v>
      </c>
    </row>
    <row r="508" spans="1:7" ht="32.1">
      <c r="A508" s="32" t="s">
        <v>880</v>
      </c>
      <c r="B508" s="23">
        <v>0</v>
      </c>
      <c r="C508" s="35" t="s">
        <v>390</v>
      </c>
      <c r="D508" s="35" t="s">
        <v>390</v>
      </c>
      <c r="E508" s="35" t="s">
        <v>390</v>
      </c>
      <c r="F508" s="35" t="s">
        <v>390</v>
      </c>
      <c r="G508" s="35" t="s">
        <v>390</v>
      </c>
    </row>
    <row r="509" spans="1:7" ht="15.95">
      <c r="A509" s="32" t="s">
        <v>881</v>
      </c>
      <c r="B509" s="23">
        <v>3</v>
      </c>
      <c r="C509" s="35" t="s">
        <v>390</v>
      </c>
      <c r="D509" s="35" t="s">
        <v>390</v>
      </c>
      <c r="E509" s="35" t="s">
        <v>390</v>
      </c>
      <c r="F509" s="35" t="s">
        <v>390</v>
      </c>
      <c r="G509" s="35" t="s">
        <v>390</v>
      </c>
    </row>
    <row r="510" spans="1:7" ht="15.95">
      <c r="A510" s="32" t="s">
        <v>882</v>
      </c>
      <c r="B510" s="23">
        <v>31</v>
      </c>
      <c r="C510" s="35" t="s">
        <v>390</v>
      </c>
      <c r="D510" s="35" t="s">
        <v>390</v>
      </c>
      <c r="E510" s="35" t="s">
        <v>390</v>
      </c>
      <c r="F510" s="35" t="s">
        <v>390</v>
      </c>
      <c r="G510" s="35" t="s">
        <v>390</v>
      </c>
    </row>
    <row r="511" spans="1:7" ht="15.95">
      <c r="A511" s="32" t="s">
        <v>883</v>
      </c>
      <c r="B511" s="23">
        <v>18</v>
      </c>
      <c r="C511" s="35" t="s">
        <v>390</v>
      </c>
      <c r="D511" s="35" t="s">
        <v>390</v>
      </c>
      <c r="E511" s="35" t="s">
        <v>390</v>
      </c>
      <c r="F511" s="35" t="s">
        <v>390</v>
      </c>
      <c r="G511" s="35" t="s">
        <v>390</v>
      </c>
    </row>
    <row r="512" spans="1:7" ht="15.95">
      <c r="A512" s="32" t="s">
        <v>884</v>
      </c>
      <c r="B512" s="23">
        <v>49</v>
      </c>
      <c r="C512" s="35" t="s">
        <v>390</v>
      </c>
      <c r="D512" s="35" t="s">
        <v>390</v>
      </c>
      <c r="E512" s="35" t="s">
        <v>390</v>
      </c>
      <c r="F512" s="35" t="s">
        <v>390</v>
      </c>
      <c r="G512" s="35" t="s">
        <v>390</v>
      </c>
    </row>
    <row r="513" spans="1:7" ht="15.95">
      <c r="A513" s="32" t="s">
        <v>885</v>
      </c>
      <c r="B513" s="23">
        <v>15</v>
      </c>
      <c r="C513" s="35" t="s">
        <v>390</v>
      </c>
      <c r="D513" s="35" t="s">
        <v>390</v>
      </c>
      <c r="E513" s="35" t="s">
        <v>390</v>
      </c>
      <c r="F513" s="35" t="s">
        <v>390</v>
      </c>
      <c r="G513" s="35" t="s">
        <v>390</v>
      </c>
    </row>
    <row r="514" spans="1:7" ht="15.95">
      <c r="A514" s="32" t="s">
        <v>886</v>
      </c>
      <c r="B514" s="23">
        <v>1</v>
      </c>
      <c r="C514" s="35" t="s">
        <v>390</v>
      </c>
      <c r="D514" s="35" t="s">
        <v>390</v>
      </c>
      <c r="E514" s="35" t="s">
        <v>390</v>
      </c>
      <c r="F514" s="35" t="s">
        <v>390</v>
      </c>
      <c r="G514" s="35" t="s">
        <v>390</v>
      </c>
    </row>
    <row r="515" spans="1:7" ht="15.95">
      <c r="A515" s="32" t="s">
        <v>887</v>
      </c>
      <c r="B515" s="23">
        <v>27</v>
      </c>
      <c r="C515" s="35" t="s">
        <v>390</v>
      </c>
      <c r="D515" s="35" t="s">
        <v>390</v>
      </c>
      <c r="E515" s="35" t="s">
        <v>390</v>
      </c>
      <c r="F515" s="35" t="s">
        <v>390</v>
      </c>
      <c r="G515" s="35" t="s">
        <v>390</v>
      </c>
    </row>
    <row r="516" spans="1:7" ht="15.95">
      <c r="A516" s="32" t="s">
        <v>888</v>
      </c>
      <c r="B516" s="23">
        <v>19</v>
      </c>
      <c r="C516" s="35" t="s">
        <v>390</v>
      </c>
      <c r="D516" s="35" t="s">
        <v>390</v>
      </c>
      <c r="E516" s="35" t="s">
        <v>390</v>
      </c>
      <c r="F516" s="35" t="s">
        <v>390</v>
      </c>
      <c r="G516" s="35" t="s">
        <v>390</v>
      </c>
    </row>
    <row r="517" spans="1:7" ht="15.95">
      <c r="A517" s="32" t="s">
        <v>889</v>
      </c>
      <c r="B517" s="23">
        <v>28</v>
      </c>
      <c r="C517" s="35" t="s">
        <v>390</v>
      </c>
      <c r="D517" s="35" t="s">
        <v>390</v>
      </c>
      <c r="E517" s="35" t="s">
        <v>390</v>
      </c>
      <c r="F517" s="35" t="s">
        <v>390</v>
      </c>
      <c r="G517" s="35" t="s">
        <v>390</v>
      </c>
    </row>
    <row r="518" spans="1:7" ht="15.95">
      <c r="A518" s="32" t="s">
        <v>890</v>
      </c>
      <c r="B518" s="23">
        <v>38</v>
      </c>
      <c r="C518" s="35" t="s">
        <v>390</v>
      </c>
      <c r="D518" s="35" t="s">
        <v>390</v>
      </c>
      <c r="E518" s="35" t="s">
        <v>390</v>
      </c>
      <c r="F518" s="35" t="s">
        <v>390</v>
      </c>
      <c r="G518" s="35" t="s">
        <v>390</v>
      </c>
    </row>
    <row r="519" spans="1:7" ht="15.95">
      <c r="A519" s="32" t="s">
        <v>891</v>
      </c>
      <c r="B519" s="23">
        <v>76</v>
      </c>
      <c r="C519" s="34">
        <v>3.3</v>
      </c>
      <c r="D519" s="34">
        <v>84.8</v>
      </c>
      <c r="E519" s="34">
        <v>8.1999999999999993</v>
      </c>
      <c r="F519" s="34">
        <v>5.5</v>
      </c>
      <c r="G519" s="34">
        <v>13</v>
      </c>
    </row>
    <row r="520" spans="1:7" ht="15.95">
      <c r="A520" s="32" t="s">
        <v>892</v>
      </c>
      <c r="B520" s="23">
        <v>107</v>
      </c>
      <c r="C520" s="34">
        <v>3.8</v>
      </c>
      <c r="D520" s="34">
        <v>90.2</v>
      </c>
      <c r="E520" s="34">
        <v>6.3</v>
      </c>
      <c r="F520" s="34">
        <v>1</v>
      </c>
      <c r="G520" s="34">
        <v>11.5</v>
      </c>
    </row>
    <row r="521" spans="1:7" ht="15.95">
      <c r="A521" s="32" t="s">
        <v>893</v>
      </c>
      <c r="B521" s="23">
        <v>42</v>
      </c>
      <c r="C521" s="35" t="s">
        <v>390</v>
      </c>
      <c r="D521" s="35" t="s">
        <v>390</v>
      </c>
      <c r="E521" s="35" t="s">
        <v>390</v>
      </c>
      <c r="F521" s="35" t="s">
        <v>390</v>
      </c>
      <c r="G521" s="35" t="s">
        <v>390</v>
      </c>
    </row>
    <row r="522" spans="1:7" ht="15.95">
      <c r="A522" s="32" t="s">
        <v>894</v>
      </c>
      <c r="B522" s="23">
        <v>55</v>
      </c>
      <c r="C522" s="34">
        <v>5.7</v>
      </c>
      <c r="D522" s="34">
        <v>79.3</v>
      </c>
      <c r="E522" s="34">
        <v>15.7</v>
      </c>
      <c r="F522" s="34">
        <v>3</v>
      </c>
      <c r="G522" s="34">
        <v>15.8</v>
      </c>
    </row>
    <row r="523" spans="1:7" ht="15.95">
      <c r="A523" s="32" t="s">
        <v>895</v>
      </c>
      <c r="B523" s="23">
        <v>72</v>
      </c>
      <c r="C523" s="34">
        <v>14</v>
      </c>
      <c r="D523" s="34">
        <v>75.400000000000006</v>
      </c>
      <c r="E523" s="34">
        <v>15.3</v>
      </c>
      <c r="F523" s="34">
        <v>2.2000000000000002</v>
      </c>
      <c r="G523" s="34">
        <v>15</v>
      </c>
    </row>
    <row r="524" spans="1:7" ht="15.95">
      <c r="A524" s="32" t="s">
        <v>896</v>
      </c>
      <c r="B524" s="23">
        <v>62</v>
      </c>
      <c r="C524" s="34">
        <v>25.3</v>
      </c>
      <c r="D524" s="34">
        <v>78.7</v>
      </c>
      <c r="E524" s="34">
        <v>12.4</v>
      </c>
      <c r="F524" s="34">
        <v>5.2</v>
      </c>
      <c r="G524" s="34">
        <v>30.1</v>
      </c>
    </row>
    <row r="525" spans="1:7" ht="32.1">
      <c r="A525" s="32" t="s">
        <v>897</v>
      </c>
      <c r="B525" s="23">
        <v>21</v>
      </c>
      <c r="C525" s="35" t="s">
        <v>390</v>
      </c>
      <c r="D525" s="35" t="s">
        <v>390</v>
      </c>
      <c r="E525" s="35" t="s">
        <v>390</v>
      </c>
      <c r="F525" s="35" t="s">
        <v>390</v>
      </c>
      <c r="G525" s="35" t="s">
        <v>390</v>
      </c>
    </row>
    <row r="526" spans="1:7" ht="15.95">
      <c r="A526" s="32" t="s">
        <v>898</v>
      </c>
      <c r="B526" s="23">
        <v>10</v>
      </c>
      <c r="C526" s="35" t="s">
        <v>390</v>
      </c>
      <c r="D526" s="35" t="s">
        <v>390</v>
      </c>
      <c r="E526" s="35" t="s">
        <v>390</v>
      </c>
      <c r="F526" s="35" t="s">
        <v>390</v>
      </c>
      <c r="G526" s="35" t="s">
        <v>390</v>
      </c>
    </row>
    <row r="527" spans="1:7" ht="15.95">
      <c r="A527" s="32" t="s">
        <v>899</v>
      </c>
      <c r="B527" s="23">
        <v>793</v>
      </c>
      <c r="C527" s="34">
        <v>37.9</v>
      </c>
      <c r="D527" s="34">
        <v>74.7</v>
      </c>
      <c r="E527" s="34">
        <v>13.6</v>
      </c>
      <c r="F527" s="34">
        <v>8.8000000000000007</v>
      </c>
      <c r="G527" s="34">
        <v>18.899999999999999</v>
      </c>
    </row>
    <row r="528" spans="1:7" ht="15.95">
      <c r="A528" s="32" t="s">
        <v>900</v>
      </c>
      <c r="B528" s="23">
        <v>43</v>
      </c>
      <c r="C528" s="35" t="s">
        <v>390</v>
      </c>
      <c r="D528" s="35" t="s">
        <v>390</v>
      </c>
      <c r="E528" s="35" t="s">
        <v>390</v>
      </c>
      <c r="F528" s="35" t="s">
        <v>390</v>
      </c>
      <c r="G528" s="35" t="s">
        <v>390</v>
      </c>
    </row>
    <row r="529" spans="1:7" ht="15.95">
      <c r="A529" s="32" t="s">
        <v>901</v>
      </c>
      <c r="B529" s="23">
        <v>70</v>
      </c>
      <c r="C529" s="34">
        <v>63.1</v>
      </c>
      <c r="D529" s="34">
        <v>73.3</v>
      </c>
      <c r="E529" s="34">
        <v>14.6</v>
      </c>
      <c r="F529" s="34">
        <v>9.6999999999999993</v>
      </c>
      <c r="G529" s="34">
        <v>14.4</v>
      </c>
    </row>
    <row r="530" spans="1:7" ht="15.95">
      <c r="A530" s="32" t="s">
        <v>902</v>
      </c>
      <c r="B530" s="23">
        <v>292</v>
      </c>
      <c r="C530" s="34">
        <v>52.8</v>
      </c>
      <c r="D530" s="34">
        <v>68.5</v>
      </c>
      <c r="E530" s="34">
        <v>17.600000000000001</v>
      </c>
      <c r="F530" s="34">
        <v>9.1999999999999993</v>
      </c>
      <c r="G530" s="34">
        <v>41.8</v>
      </c>
    </row>
    <row r="531" spans="1:7" ht="15.95">
      <c r="A531" s="32" t="s">
        <v>903</v>
      </c>
      <c r="B531" s="23">
        <v>157</v>
      </c>
      <c r="C531" s="34">
        <v>12.6</v>
      </c>
      <c r="D531" s="34">
        <v>82.1</v>
      </c>
      <c r="E531" s="34">
        <v>9.6</v>
      </c>
      <c r="F531" s="34">
        <v>2.5</v>
      </c>
      <c r="G531" s="34">
        <v>32.9</v>
      </c>
    </row>
    <row r="532" spans="1:7" ht="15.95">
      <c r="A532" s="32" t="s">
        <v>904</v>
      </c>
      <c r="B532" s="23">
        <v>31</v>
      </c>
      <c r="C532" s="35" t="s">
        <v>390</v>
      </c>
      <c r="D532" s="35" t="s">
        <v>390</v>
      </c>
      <c r="E532" s="35" t="s">
        <v>390</v>
      </c>
      <c r="F532" s="35" t="s">
        <v>390</v>
      </c>
      <c r="G532" s="35" t="s">
        <v>390</v>
      </c>
    </row>
    <row r="533" spans="1:7" ht="15.95">
      <c r="A533" s="32" t="s">
        <v>905</v>
      </c>
      <c r="B533" s="23">
        <v>3</v>
      </c>
      <c r="C533" s="35" t="s">
        <v>390</v>
      </c>
      <c r="D533" s="35" t="s">
        <v>390</v>
      </c>
      <c r="E533" s="35" t="s">
        <v>390</v>
      </c>
      <c r="F533" s="35" t="s">
        <v>390</v>
      </c>
      <c r="G533" s="35" t="s">
        <v>390</v>
      </c>
    </row>
    <row r="534" spans="1:7" ht="15.95">
      <c r="A534" s="32" t="s">
        <v>906</v>
      </c>
      <c r="B534" s="23">
        <v>6</v>
      </c>
      <c r="C534" s="35" t="s">
        <v>390</v>
      </c>
      <c r="D534" s="35" t="s">
        <v>390</v>
      </c>
      <c r="E534" s="35" t="s">
        <v>390</v>
      </c>
      <c r="F534" s="35" t="s">
        <v>390</v>
      </c>
      <c r="G534" s="35" t="s">
        <v>390</v>
      </c>
    </row>
    <row r="535" spans="1:7" ht="15.95">
      <c r="A535" s="32" t="s">
        <v>907</v>
      </c>
      <c r="B535" s="23">
        <v>11</v>
      </c>
      <c r="C535" s="35" t="s">
        <v>390</v>
      </c>
      <c r="D535" s="35" t="s">
        <v>390</v>
      </c>
      <c r="E535" s="35" t="s">
        <v>390</v>
      </c>
      <c r="F535" s="35" t="s">
        <v>390</v>
      </c>
      <c r="G535" s="35" t="s">
        <v>390</v>
      </c>
    </row>
    <row r="536" spans="1:7" ht="15.95">
      <c r="A536" s="32" t="s">
        <v>908</v>
      </c>
      <c r="B536" s="23">
        <v>3</v>
      </c>
      <c r="C536" s="35" t="s">
        <v>390</v>
      </c>
      <c r="D536" s="35" t="s">
        <v>390</v>
      </c>
      <c r="E536" s="35" t="s">
        <v>390</v>
      </c>
      <c r="F536" s="35" t="s">
        <v>390</v>
      </c>
      <c r="G536" s="35" t="s">
        <v>390</v>
      </c>
    </row>
    <row r="537" spans="1:7" ht="15.95">
      <c r="A537" s="32" t="s">
        <v>909</v>
      </c>
      <c r="B537" s="23">
        <v>11</v>
      </c>
      <c r="C537" s="35" t="s">
        <v>390</v>
      </c>
      <c r="D537" s="35" t="s">
        <v>390</v>
      </c>
      <c r="E537" s="35" t="s">
        <v>390</v>
      </c>
      <c r="F537" s="35" t="s">
        <v>390</v>
      </c>
      <c r="G537" s="35" t="s">
        <v>390</v>
      </c>
    </row>
    <row r="538" spans="1:7" ht="15.95">
      <c r="A538" s="32" t="s">
        <v>910</v>
      </c>
      <c r="B538" s="23">
        <v>35</v>
      </c>
      <c r="C538" s="35" t="s">
        <v>390</v>
      </c>
      <c r="D538" s="35" t="s">
        <v>390</v>
      </c>
      <c r="E538" s="35" t="s">
        <v>390</v>
      </c>
      <c r="F538" s="35" t="s">
        <v>390</v>
      </c>
      <c r="G538" s="35" t="s">
        <v>390</v>
      </c>
    </row>
    <row r="539" spans="1:7" ht="15.95">
      <c r="A539" s="32" t="s">
        <v>911</v>
      </c>
      <c r="B539" s="23">
        <v>29</v>
      </c>
      <c r="C539" s="35" t="s">
        <v>390</v>
      </c>
      <c r="D539" s="35" t="s">
        <v>390</v>
      </c>
      <c r="E539" s="35" t="s">
        <v>390</v>
      </c>
      <c r="F539" s="35" t="s">
        <v>390</v>
      </c>
      <c r="G539" s="35" t="s">
        <v>390</v>
      </c>
    </row>
    <row r="540" spans="1:7" ht="15.95">
      <c r="A540" s="32" t="s">
        <v>912</v>
      </c>
      <c r="B540" s="23">
        <v>10</v>
      </c>
      <c r="C540" s="35" t="s">
        <v>390</v>
      </c>
      <c r="D540" s="35" t="s">
        <v>390</v>
      </c>
      <c r="E540" s="35" t="s">
        <v>390</v>
      </c>
      <c r="F540" s="35" t="s">
        <v>390</v>
      </c>
      <c r="G540" s="35" t="s">
        <v>390</v>
      </c>
    </row>
    <row r="541" spans="1:7" ht="15.95">
      <c r="A541" s="32" t="s">
        <v>913</v>
      </c>
      <c r="B541" s="23">
        <v>50</v>
      </c>
      <c r="C541" s="34">
        <v>37.1</v>
      </c>
      <c r="D541" s="34">
        <v>73.5</v>
      </c>
      <c r="E541" s="34">
        <v>8.8000000000000007</v>
      </c>
      <c r="F541" s="34">
        <v>11.9</v>
      </c>
      <c r="G541" s="34">
        <v>31.2</v>
      </c>
    </row>
    <row r="542" spans="1:7" ht="15.95">
      <c r="A542" s="32" t="s">
        <v>914</v>
      </c>
      <c r="B542" s="23">
        <v>995</v>
      </c>
      <c r="C542" s="34">
        <v>29.5</v>
      </c>
      <c r="D542" s="34">
        <v>76.5</v>
      </c>
      <c r="E542" s="34">
        <v>15.7</v>
      </c>
      <c r="F542" s="34">
        <v>4.4000000000000004</v>
      </c>
      <c r="G542" s="34">
        <v>25.4</v>
      </c>
    </row>
    <row r="543" spans="1:7" ht="21" customHeight="1">
      <c r="A543" s="24" t="s">
        <v>915</v>
      </c>
      <c r="B543" s="23">
        <v>9445</v>
      </c>
      <c r="C543" s="34">
        <v>17.3</v>
      </c>
      <c r="D543" s="34">
        <v>71.900000000000006</v>
      </c>
      <c r="E543" s="34">
        <v>19.5</v>
      </c>
      <c r="F543" s="34">
        <v>4.5</v>
      </c>
      <c r="G543" s="34">
        <v>21.7</v>
      </c>
    </row>
    <row r="544" spans="1:7" ht="15.95">
      <c r="A544" s="32" t="s">
        <v>916</v>
      </c>
      <c r="B544" s="23">
        <v>205</v>
      </c>
      <c r="C544" s="34">
        <v>19.5</v>
      </c>
      <c r="D544" s="34">
        <v>74</v>
      </c>
      <c r="E544" s="34">
        <v>18.399999999999999</v>
      </c>
      <c r="F544" s="34">
        <v>4</v>
      </c>
      <c r="G544" s="34">
        <v>17.399999999999999</v>
      </c>
    </row>
    <row r="545" spans="1:7" ht="15.95">
      <c r="A545" s="32" t="s">
        <v>917</v>
      </c>
      <c r="B545" s="23">
        <v>120</v>
      </c>
      <c r="C545" s="34">
        <v>6.2</v>
      </c>
      <c r="D545" s="34">
        <v>94.9</v>
      </c>
      <c r="E545" s="34">
        <v>1.8</v>
      </c>
      <c r="F545" s="34">
        <v>1.5</v>
      </c>
      <c r="G545" s="34">
        <v>8</v>
      </c>
    </row>
    <row r="546" spans="1:7" ht="15.95">
      <c r="A546" s="32" t="s">
        <v>918</v>
      </c>
      <c r="B546" s="23">
        <v>17</v>
      </c>
      <c r="C546" s="35" t="s">
        <v>390</v>
      </c>
      <c r="D546" s="35" t="s">
        <v>390</v>
      </c>
      <c r="E546" s="35" t="s">
        <v>390</v>
      </c>
      <c r="F546" s="35" t="s">
        <v>390</v>
      </c>
      <c r="G546" s="35" t="s">
        <v>390</v>
      </c>
    </row>
    <row r="547" spans="1:7" ht="15.95">
      <c r="A547" s="32" t="s">
        <v>919</v>
      </c>
      <c r="B547" s="23">
        <v>98</v>
      </c>
      <c r="C547" s="34">
        <v>72.900000000000006</v>
      </c>
      <c r="D547" s="34">
        <v>71.599999999999994</v>
      </c>
      <c r="E547" s="34">
        <v>15.1</v>
      </c>
      <c r="F547" s="34">
        <v>10.1</v>
      </c>
      <c r="G547" s="34">
        <v>18.399999999999999</v>
      </c>
    </row>
    <row r="548" spans="1:7" ht="15" customHeight="1">
      <c r="A548" s="32" t="s">
        <v>920</v>
      </c>
      <c r="B548" s="23">
        <v>11</v>
      </c>
      <c r="C548" s="35" t="s">
        <v>390</v>
      </c>
      <c r="D548" s="35" t="s">
        <v>390</v>
      </c>
      <c r="E548" s="35" t="s">
        <v>390</v>
      </c>
      <c r="F548" s="35" t="s">
        <v>390</v>
      </c>
      <c r="G548" s="35" t="s">
        <v>390</v>
      </c>
    </row>
    <row r="549" spans="1:7" ht="15.95">
      <c r="A549" s="32" t="s">
        <v>921</v>
      </c>
      <c r="B549" s="23">
        <v>578</v>
      </c>
      <c r="C549" s="34">
        <v>47.8</v>
      </c>
      <c r="D549" s="34">
        <v>65.900000000000006</v>
      </c>
      <c r="E549" s="34">
        <v>26.7</v>
      </c>
      <c r="F549" s="34">
        <v>4.8</v>
      </c>
      <c r="G549" s="34">
        <v>12.6</v>
      </c>
    </row>
    <row r="550" spans="1:7" ht="15.95">
      <c r="A550" s="32" t="s">
        <v>922</v>
      </c>
      <c r="B550" s="23">
        <v>3506</v>
      </c>
      <c r="C550" s="34">
        <v>6.2</v>
      </c>
      <c r="D550" s="34">
        <v>76.3</v>
      </c>
      <c r="E550" s="34">
        <v>16.600000000000001</v>
      </c>
      <c r="F550" s="34">
        <v>3.2</v>
      </c>
      <c r="G550" s="34">
        <v>20.8</v>
      </c>
    </row>
    <row r="551" spans="1:7" ht="15.95">
      <c r="A551" s="32" t="s">
        <v>923</v>
      </c>
      <c r="B551" s="23">
        <v>674</v>
      </c>
      <c r="C551" s="34">
        <v>18.899999999999999</v>
      </c>
      <c r="D551" s="34">
        <v>55</v>
      </c>
      <c r="E551" s="34">
        <v>28.4</v>
      </c>
      <c r="F551" s="34">
        <v>12.8</v>
      </c>
      <c r="G551" s="34">
        <v>17</v>
      </c>
    </row>
    <row r="552" spans="1:7" ht="15.95">
      <c r="A552" s="32" t="s">
        <v>924</v>
      </c>
      <c r="B552" s="23">
        <v>76</v>
      </c>
      <c r="C552" s="34">
        <v>17.5</v>
      </c>
      <c r="D552" s="34">
        <v>72.599999999999994</v>
      </c>
      <c r="E552" s="34">
        <v>19.399999999999999</v>
      </c>
      <c r="F552" s="34">
        <v>4.8</v>
      </c>
      <c r="G552" s="34">
        <v>14.7</v>
      </c>
    </row>
    <row r="553" spans="1:7" ht="15.95">
      <c r="A553" s="32" t="s">
        <v>925</v>
      </c>
      <c r="B553" s="23">
        <v>42</v>
      </c>
      <c r="C553" s="35" t="s">
        <v>390</v>
      </c>
      <c r="D553" s="35" t="s">
        <v>390</v>
      </c>
      <c r="E553" s="35" t="s">
        <v>390</v>
      </c>
      <c r="F553" s="35" t="s">
        <v>390</v>
      </c>
      <c r="G553" s="35" t="s">
        <v>390</v>
      </c>
    </row>
    <row r="554" spans="1:7" ht="15.95">
      <c r="A554" s="32" t="s">
        <v>926</v>
      </c>
      <c r="B554" s="23">
        <v>4</v>
      </c>
      <c r="C554" s="35" t="s">
        <v>390</v>
      </c>
      <c r="D554" s="35" t="s">
        <v>390</v>
      </c>
      <c r="E554" s="35" t="s">
        <v>390</v>
      </c>
      <c r="F554" s="35" t="s">
        <v>390</v>
      </c>
      <c r="G554" s="35" t="s">
        <v>390</v>
      </c>
    </row>
    <row r="555" spans="1:7" ht="15.95">
      <c r="A555" s="32" t="s">
        <v>927</v>
      </c>
      <c r="B555" s="23">
        <v>50</v>
      </c>
      <c r="C555" s="34">
        <v>5.2</v>
      </c>
      <c r="D555" s="34">
        <v>73.8</v>
      </c>
      <c r="E555" s="34">
        <v>17.600000000000001</v>
      </c>
      <c r="F555" s="34">
        <v>5.3</v>
      </c>
      <c r="G555" s="34">
        <v>8.4</v>
      </c>
    </row>
    <row r="556" spans="1:7" ht="15.95">
      <c r="A556" s="32" t="s">
        <v>928</v>
      </c>
      <c r="B556" s="23">
        <v>15</v>
      </c>
      <c r="C556" s="35" t="s">
        <v>390</v>
      </c>
      <c r="D556" s="35" t="s">
        <v>390</v>
      </c>
      <c r="E556" s="35" t="s">
        <v>390</v>
      </c>
      <c r="F556" s="35" t="s">
        <v>390</v>
      </c>
      <c r="G556" s="35" t="s">
        <v>390</v>
      </c>
    </row>
    <row r="557" spans="1:7" ht="15.95">
      <c r="A557" s="32" t="s">
        <v>929</v>
      </c>
      <c r="B557" s="23">
        <v>19</v>
      </c>
      <c r="C557" s="35" t="s">
        <v>390</v>
      </c>
      <c r="D557" s="35" t="s">
        <v>390</v>
      </c>
      <c r="E557" s="35" t="s">
        <v>390</v>
      </c>
      <c r="F557" s="35" t="s">
        <v>390</v>
      </c>
      <c r="G557" s="35" t="s">
        <v>390</v>
      </c>
    </row>
    <row r="558" spans="1:7" ht="15.95">
      <c r="A558" s="32" t="s">
        <v>930</v>
      </c>
      <c r="B558" s="23">
        <v>35</v>
      </c>
      <c r="C558" s="35" t="s">
        <v>390</v>
      </c>
      <c r="D558" s="35" t="s">
        <v>390</v>
      </c>
      <c r="E558" s="35" t="s">
        <v>390</v>
      </c>
      <c r="F558" s="35" t="s">
        <v>390</v>
      </c>
      <c r="G558" s="35" t="s">
        <v>390</v>
      </c>
    </row>
    <row r="559" spans="1:7" ht="15.95">
      <c r="A559" s="32" t="s">
        <v>931</v>
      </c>
      <c r="B559" s="23">
        <v>2</v>
      </c>
      <c r="C559" s="35" t="s">
        <v>390</v>
      </c>
      <c r="D559" s="35" t="s">
        <v>390</v>
      </c>
      <c r="E559" s="35" t="s">
        <v>390</v>
      </c>
      <c r="F559" s="35" t="s">
        <v>390</v>
      </c>
      <c r="G559" s="35" t="s">
        <v>390</v>
      </c>
    </row>
    <row r="560" spans="1:7" ht="15.95">
      <c r="A560" s="32" t="s">
        <v>932</v>
      </c>
      <c r="B560" s="23">
        <v>5</v>
      </c>
      <c r="C560" s="35" t="s">
        <v>390</v>
      </c>
      <c r="D560" s="35" t="s">
        <v>390</v>
      </c>
      <c r="E560" s="35" t="s">
        <v>390</v>
      </c>
      <c r="F560" s="35" t="s">
        <v>390</v>
      </c>
      <c r="G560" s="35" t="s">
        <v>390</v>
      </c>
    </row>
    <row r="561" spans="1:7" ht="15.95">
      <c r="A561" s="32" t="s">
        <v>933</v>
      </c>
      <c r="B561" s="23">
        <v>95</v>
      </c>
      <c r="C561" s="34">
        <v>16.7</v>
      </c>
      <c r="D561" s="34">
        <v>67.400000000000006</v>
      </c>
      <c r="E561" s="34">
        <v>23.3</v>
      </c>
      <c r="F561" s="34">
        <v>6.7</v>
      </c>
      <c r="G561" s="34">
        <v>38.4</v>
      </c>
    </row>
    <row r="562" spans="1:7" ht="15.95">
      <c r="A562" s="32" t="s">
        <v>934</v>
      </c>
      <c r="B562" s="23">
        <v>94</v>
      </c>
      <c r="C562" s="34">
        <v>8.8000000000000007</v>
      </c>
      <c r="D562" s="34">
        <v>73.599999999999994</v>
      </c>
      <c r="E562" s="34">
        <v>9.6</v>
      </c>
      <c r="F562" s="34">
        <v>8.9</v>
      </c>
      <c r="G562" s="34">
        <v>21.1</v>
      </c>
    </row>
    <row r="563" spans="1:7" ht="15.95">
      <c r="A563" s="32" t="s">
        <v>935</v>
      </c>
      <c r="B563" s="23">
        <v>41</v>
      </c>
      <c r="C563" s="35" t="s">
        <v>390</v>
      </c>
      <c r="D563" s="35" t="s">
        <v>390</v>
      </c>
      <c r="E563" s="35" t="s">
        <v>390</v>
      </c>
      <c r="F563" s="35" t="s">
        <v>390</v>
      </c>
      <c r="G563" s="35" t="s">
        <v>390</v>
      </c>
    </row>
    <row r="564" spans="1:7" ht="15.95">
      <c r="A564" s="32" t="s">
        <v>936</v>
      </c>
      <c r="B564" s="23">
        <v>35</v>
      </c>
      <c r="C564" s="35" t="s">
        <v>390</v>
      </c>
      <c r="D564" s="35" t="s">
        <v>390</v>
      </c>
      <c r="E564" s="35" t="s">
        <v>390</v>
      </c>
      <c r="F564" s="35" t="s">
        <v>390</v>
      </c>
      <c r="G564" s="35" t="s">
        <v>390</v>
      </c>
    </row>
    <row r="565" spans="1:7" ht="15.95">
      <c r="A565" s="32" t="s">
        <v>937</v>
      </c>
      <c r="B565" s="23">
        <v>24</v>
      </c>
      <c r="C565" s="35" t="s">
        <v>390</v>
      </c>
      <c r="D565" s="35" t="s">
        <v>390</v>
      </c>
      <c r="E565" s="35" t="s">
        <v>390</v>
      </c>
      <c r="F565" s="35" t="s">
        <v>390</v>
      </c>
      <c r="G565" s="35" t="s">
        <v>390</v>
      </c>
    </row>
    <row r="566" spans="1:7" ht="15.95">
      <c r="A566" s="32" t="s">
        <v>938</v>
      </c>
      <c r="B566" s="23">
        <v>1</v>
      </c>
      <c r="C566" s="35" t="s">
        <v>390</v>
      </c>
      <c r="D566" s="35" t="s">
        <v>390</v>
      </c>
      <c r="E566" s="35" t="s">
        <v>390</v>
      </c>
      <c r="F566" s="35" t="s">
        <v>390</v>
      </c>
      <c r="G566" s="35" t="s">
        <v>390</v>
      </c>
    </row>
    <row r="567" spans="1:7" ht="15.95">
      <c r="A567" s="32" t="s">
        <v>939</v>
      </c>
      <c r="B567" s="23">
        <v>53</v>
      </c>
      <c r="C567" s="34">
        <v>4.0999999999999996</v>
      </c>
      <c r="D567" s="34">
        <v>76.8</v>
      </c>
      <c r="E567" s="34">
        <v>20.9</v>
      </c>
      <c r="F567" s="34">
        <v>0.1</v>
      </c>
      <c r="G567" s="34">
        <v>10.5</v>
      </c>
    </row>
    <row r="568" spans="1:7" ht="15.95">
      <c r="A568" s="32" t="s">
        <v>940</v>
      </c>
      <c r="B568" s="23">
        <v>30</v>
      </c>
      <c r="C568" s="35" t="s">
        <v>390</v>
      </c>
      <c r="D568" s="35" t="s">
        <v>390</v>
      </c>
      <c r="E568" s="35" t="s">
        <v>390</v>
      </c>
      <c r="F568" s="35" t="s">
        <v>390</v>
      </c>
      <c r="G568" s="35" t="s">
        <v>390</v>
      </c>
    </row>
    <row r="569" spans="1:7" ht="15.95">
      <c r="A569" s="32" t="s">
        <v>941</v>
      </c>
      <c r="B569" s="23">
        <v>7</v>
      </c>
      <c r="C569" s="35" t="s">
        <v>390</v>
      </c>
      <c r="D569" s="35" t="s">
        <v>390</v>
      </c>
      <c r="E569" s="35" t="s">
        <v>390</v>
      </c>
      <c r="F569" s="35" t="s">
        <v>390</v>
      </c>
      <c r="G569" s="35" t="s">
        <v>390</v>
      </c>
    </row>
    <row r="570" spans="1:7" ht="15.95">
      <c r="A570" s="32" t="s">
        <v>942</v>
      </c>
      <c r="B570" s="23">
        <v>611</v>
      </c>
      <c r="C570" s="34">
        <v>8.1999999999999993</v>
      </c>
      <c r="D570" s="34">
        <v>69.400000000000006</v>
      </c>
      <c r="E570" s="34">
        <v>25</v>
      </c>
      <c r="F570" s="34">
        <v>1.8</v>
      </c>
      <c r="G570" s="34">
        <v>25.7</v>
      </c>
    </row>
    <row r="571" spans="1:7" ht="15.95">
      <c r="A571" s="32" t="s">
        <v>943</v>
      </c>
      <c r="B571" s="23">
        <v>331</v>
      </c>
      <c r="C571" s="34">
        <v>14</v>
      </c>
      <c r="D571" s="34">
        <v>69.7</v>
      </c>
      <c r="E571" s="34">
        <v>20.7</v>
      </c>
      <c r="F571" s="34">
        <v>3</v>
      </c>
      <c r="G571" s="34">
        <v>33.299999999999997</v>
      </c>
    </row>
    <row r="572" spans="1:7" ht="15.95">
      <c r="A572" s="32" t="s">
        <v>944</v>
      </c>
      <c r="B572" s="23">
        <v>1930</v>
      </c>
      <c r="C572" s="34">
        <v>19.899999999999999</v>
      </c>
      <c r="D572" s="34">
        <v>70.2</v>
      </c>
      <c r="E572" s="34">
        <v>20.2</v>
      </c>
      <c r="F572" s="34">
        <v>3.8</v>
      </c>
      <c r="G572" s="34">
        <v>22.2</v>
      </c>
    </row>
    <row r="573" spans="1:7" ht="15.95">
      <c r="A573" s="32" t="s">
        <v>945</v>
      </c>
      <c r="B573" s="23">
        <v>31</v>
      </c>
      <c r="C573" s="35" t="s">
        <v>390</v>
      </c>
      <c r="D573" s="35" t="s">
        <v>390</v>
      </c>
      <c r="E573" s="35" t="s">
        <v>390</v>
      </c>
      <c r="F573" s="35" t="s">
        <v>390</v>
      </c>
      <c r="G573" s="35" t="s">
        <v>390</v>
      </c>
    </row>
    <row r="574" spans="1:7" ht="15.95">
      <c r="A574" s="32" t="s">
        <v>946</v>
      </c>
      <c r="B574" s="23">
        <v>539</v>
      </c>
      <c r="C574" s="34">
        <v>52.7</v>
      </c>
      <c r="D574" s="34">
        <v>69.900000000000006</v>
      </c>
      <c r="E574" s="34">
        <v>18.899999999999999</v>
      </c>
      <c r="F574" s="34">
        <v>8.4</v>
      </c>
      <c r="G574" s="34">
        <v>41.8</v>
      </c>
    </row>
    <row r="575" spans="1:7" ht="15.95">
      <c r="A575" s="32" t="s">
        <v>947</v>
      </c>
      <c r="B575" s="23">
        <v>21</v>
      </c>
      <c r="C575" s="35" t="s">
        <v>390</v>
      </c>
      <c r="D575" s="35" t="s">
        <v>390</v>
      </c>
      <c r="E575" s="35" t="s">
        <v>390</v>
      </c>
      <c r="F575" s="35" t="s">
        <v>390</v>
      </c>
      <c r="G575" s="35" t="s">
        <v>390</v>
      </c>
    </row>
    <row r="576" spans="1:7" ht="15.95">
      <c r="A576" s="32" t="s">
        <v>948</v>
      </c>
      <c r="B576" s="23">
        <v>94</v>
      </c>
      <c r="C576" s="34">
        <v>11.7</v>
      </c>
      <c r="D576" s="34">
        <v>70.2</v>
      </c>
      <c r="E576" s="34">
        <v>26.8</v>
      </c>
      <c r="F576" s="34">
        <v>2.1</v>
      </c>
      <c r="G576" s="34">
        <v>24.2</v>
      </c>
    </row>
    <row r="577" spans="1:7" ht="15.95">
      <c r="A577" s="32" t="s">
        <v>949</v>
      </c>
      <c r="B577" s="23">
        <v>0</v>
      </c>
      <c r="C577" s="35" t="s">
        <v>390</v>
      </c>
      <c r="D577" s="35" t="s">
        <v>390</v>
      </c>
      <c r="E577" s="35" t="s">
        <v>390</v>
      </c>
      <c r="F577" s="35" t="s">
        <v>390</v>
      </c>
      <c r="G577" s="35" t="s">
        <v>390</v>
      </c>
    </row>
    <row r="578" spans="1:7" ht="15.95">
      <c r="A578" s="32" t="s">
        <v>950</v>
      </c>
      <c r="B578" s="23">
        <v>6</v>
      </c>
      <c r="C578" s="35" t="s">
        <v>390</v>
      </c>
      <c r="D578" s="35" t="s">
        <v>390</v>
      </c>
      <c r="E578" s="35" t="s">
        <v>390</v>
      </c>
      <c r="F578" s="35" t="s">
        <v>390</v>
      </c>
      <c r="G578" s="35" t="s">
        <v>390</v>
      </c>
    </row>
    <row r="579" spans="1:7" ht="15.95">
      <c r="A579" s="32" t="s">
        <v>951</v>
      </c>
      <c r="B579" s="23">
        <v>40</v>
      </c>
      <c r="C579" s="35" t="s">
        <v>390</v>
      </c>
      <c r="D579" s="35" t="s">
        <v>390</v>
      </c>
      <c r="E579" s="35" t="s">
        <v>390</v>
      </c>
      <c r="F579" s="35" t="s">
        <v>390</v>
      </c>
      <c r="G579" s="35" t="s">
        <v>390</v>
      </c>
    </row>
    <row r="580" spans="1:7">
      <c r="A580" s="21" t="s">
        <v>373</v>
      </c>
    </row>
    <row r="581" spans="1:7" ht="45" customHeight="1">
      <c r="A581" s="91" t="s">
        <v>952</v>
      </c>
      <c r="B581" s="93"/>
      <c r="C581" s="93"/>
      <c r="D581" s="93"/>
      <c r="E581" s="93"/>
      <c r="F581" s="93"/>
      <c r="G581" s="93"/>
    </row>
  </sheetData>
  <sheetProtection algorithmName="SHA-512" hashValue="0P0NF5/magmRKrYXexXqQJ7HJ7TbdU8gxq6jAwN+U+qgxwIk1R7BIbloG4ueSnIzLiyoUIzcQCzIcA8fz4nJBQ==" saltValue="x7pIljTpSIEl3vK6ji3Kng==" spinCount="100000" sheet="1" objects="1" scenarios="1"/>
  <mergeCells count="8">
    <mergeCell ref="A581:G581"/>
    <mergeCell ref="A1:G1"/>
    <mergeCell ref="A2:G2"/>
    <mergeCell ref="A3:G3"/>
    <mergeCell ref="A4:A6"/>
    <mergeCell ref="B4:G4"/>
    <mergeCell ref="B5:B6"/>
    <mergeCell ref="C5:G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4"/>
  </sheetPr>
  <dimension ref="A1:I45"/>
  <sheetViews>
    <sheetView workbookViewId="0">
      <selection sqref="A1:XFD1048576"/>
    </sheetView>
  </sheetViews>
  <sheetFormatPr defaultColWidth="8.875" defaultRowHeight="15"/>
  <cols>
    <col min="1" max="1" width="48.625" style="19" customWidth="1"/>
    <col min="2" max="7" width="12.625" style="19" customWidth="1"/>
    <col min="8" max="16384" width="8.875" style="19"/>
  </cols>
  <sheetData>
    <row r="1" spans="1:9" ht="47.25" customHeight="1">
      <c r="A1" s="91" t="s">
        <v>953</v>
      </c>
      <c r="B1" s="93"/>
      <c r="C1" s="93"/>
      <c r="D1" s="93"/>
      <c r="E1" s="93"/>
      <c r="F1" s="93"/>
      <c r="G1" s="93"/>
    </row>
    <row r="2" spans="1:9" ht="15.75" customHeight="1">
      <c r="A2" s="91" t="s">
        <v>954</v>
      </c>
      <c r="B2" s="93"/>
      <c r="C2" s="93"/>
      <c r="D2" s="93"/>
      <c r="E2" s="93"/>
      <c r="F2" s="93"/>
      <c r="G2" s="93"/>
    </row>
    <row r="3" spans="1:9">
      <c r="A3" s="91" t="s">
        <v>373</v>
      </c>
      <c r="B3" s="93"/>
      <c r="C3" s="93"/>
      <c r="D3" s="93"/>
      <c r="E3" s="93"/>
      <c r="F3" s="93"/>
      <c r="G3" s="93"/>
    </row>
    <row r="4" spans="1:9" ht="21" customHeight="1">
      <c r="A4" s="92" t="s">
        <v>955</v>
      </c>
      <c r="B4" s="92" t="s">
        <v>375</v>
      </c>
      <c r="C4" s="93"/>
      <c r="D4" s="93"/>
      <c r="E4" s="93"/>
      <c r="F4" s="93"/>
      <c r="G4" s="93"/>
    </row>
    <row r="5" spans="1:9" ht="21" customHeight="1">
      <c r="A5" s="93"/>
      <c r="B5" s="92" t="s">
        <v>376</v>
      </c>
      <c r="C5" s="92" t="s">
        <v>956</v>
      </c>
      <c r="D5" s="93"/>
      <c r="E5" s="93"/>
      <c r="F5" s="92" t="s">
        <v>957</v>
      </c>
      <c r="G5" s="92" t="s">
        <v>958</v>
      </c>
    </row>
    <row r="6" spans="1:9" ht="60" customHeight="1">
      <c r="A6" s="93"/>
      <c r="B6" s="93"/>
      <c r="C6" s="20" t="s">
        <v>959</v>
      </c>
      <c r="D6" s="20" t="s">
        <v>960</v>
      </c>
      <c r="E6" s="20" t="s">
        <v>961</v>
      </c>
      <c r="F6" s="93"/>
      <c r="G6" s="93"/>
    </row>
    <row r="7" spans="1:9">
      <c r="A7" s="21" t="s">
        <v>373</v>
      </c>
    </row>
    <row r="8" spans="1:9" ht="15.95">
      <c r="A8" s="22" t="s">
        <v>70</v>
      </c>
    </row>
    <row r="9" spans="1:9" ht="15.95">
      <c r="A9" s="22" t="s">
        <v>962</v>
      </c>
      <c r="B9" s="23">
        <v>150883</v>
      </c>
      <c r="C9" s="23">
        <v>142096</v>
      </c>
      <c r="D9" s="23">
        <v>121260</v>
      </c>
      <c r="E9" s="23">
        <v>20835</v>
      </c>
      <c r="F9" s="23">
        <v>8736</v>
      </c>
      <c r="G9" s="23">
        <v>52</v>
      </c>
      <c r="I9" s="28">
        <f>F9/B9</f>
        <v>5.7899166904157529E-2</v>
      </c>
    </row>
    <row r="10" spans="1:9" ht="15.95">
      <c r="A10" s="24" t="s">
        <v>963</v>
      </c>
      <c r="B10" s="23">
        <v>748</v>
      </c>
      <c r="C10" s="23">
        <v>737</v>
      </c>
      <c r="D10" s="23">
        <v>735</v>
      </c>
      <c r="E10" s="23">
        <v>2</v>
      </c>
      <c r="F10" s="23">
        <v>11</v>
      </c>
      <c r="G10" s="23">
        <v>0</v>
      </c>
      <c r="I10" s="28"/>
    </row>
    <row r="11" spans="1:9" ht="15.95">
      <c r="A11" s="24" t="s">
        <v>964</v>
      </c>
      <c r="B11" s="23">
        <v>10692</v>
      </c>
      <c r="C11" s="23">
        <v>9119</v>
      </c>
      <c r="D11" s="23">
        <v>8767</v>
      </c>
      <c r="E11" s="23">
        <v>352</v>
      </c>
      <c r="F11" s="23">
        <v>1567</v>
      </c>
      <c r="G11" s="23">
        <v>6</v>
      </c>
      <c r="I11" s="28"/>
    </row>
    <row r="12" spans="1:9" ht="15.95">
      <c r="A12" s="24" t="s">
        <v>965</v>
      </c>
      <c r="B12" s="23">
        <v>15408</v>
      </c>
      <c r="C12" s="23">
        <v>15121</v>
      </c>
      <c r="D12" s="23">
        <v>15014</v>
      </c>
      <c r="E12" s="23">
        <v>106</v>
      </c>
      <c r="F12" s="23">
        <v>280</v>
      </c>
      <c r="G12" s="23">
        <v>7</v>
      </c>
      <c r="I12" s="28"/>
    </row>
    <row r="13" spans="1:9" ht="15.95">
      <c r="A13" s="32" t="s">
        <v>966</v>
      </c>
      <c r="B13" s="23">
        <v>9698</v>
      </c>
      <c r="C13" s="23">
        <v>9525</v>
      </c>
      <c r="D13" s="23">
        <v>9436</v>
      </c>
      <c r="E13" s="23">
        <v>89</v>
      </c>
      <c r="F13" s="23">
        <v>167</v>
      </c>
      <c r="G13" s="23">
        <v>6</v>
      </c>
      <c r="I13" s="28"/>
    </row>
    <row r="14" spans="1:9" ht="15.95">
      <c r="A14" s="32" t="s">
        <v>967</v>
      </c>
      <c r="B14" s="23">
        <v>5710</v>
      </c>
      <c r="C14" s="23">
        <v>5595</v>
      </c>
      <c r="D14" s="23">
        <v>5578</v>
      </c>
      <c r="E14" s="23">
        <v>17</v>
      </c>
      <c r="F14" s="23">
        <v>113</v>
      </c>
      <c r="G14" s="23">
        <v>1</v>
      </c>
      <c r="I14" s="28"/>
    </row>
    <row r="15" spans="1:9" ht="15.95">
      <c r="A15" s="24" t="s">
        <v>968</v>
      </c>
      <c r="B15" s="23">
        <v>20314</v>
      </c>
      <c r="C15" s="23">
        <v>19462</v>
      </c>
      <c r="D15" s="23">
        <v>19368</v>
      </c>
      <c r="E15" s="23">
        <v>93</v>
      </c>
      <c r="F15" s="23">
        <v>842</v>
      </c>
      <c r="G15" s="23">
        <v>9</v>
      </c>
      <c r="I15" s="28"/>
    </row>
    <row r="16" spans="1:9" ht="15.95">
      <c r="A16" s="32" t="s">
        <v>969</v>
      </c>
      <c r="B16" s="23">
        <v>3594</v>
      </c>
      <c r="C16" s="23">
        <v>3467</v>
      </c>
      <c r="D16" s="23">
        <v>3455</v>
      </c>
      <c r="E16" s="23">
        <v>12</v>
      </c>
      <c r="F16" s="23">
        <v>126</v>
      </c>
      <c r="G16" s="23">
        <v>1</v>
      </c>
      <c r="I16" s="28"/>
    </row>
    <row r="17" spans="1:9" ht="15.95">
      <c r="A17" s="32" t="s">
        <v>970</v>
      </c>
      <c r="B17" s="23">
        <v>16720</v>
      </c>
      <c r="C17" s="23">
        <v>15995</v>
      </c>
      <c r="D17" s="23">
        <v>15914</v>
      </c>
      <c r="E17" s="23">
        <v>81</v>
      </c>
      <c r="F17" s="23">
        <v>716</v>
      </c>
      <c r="G17" s="23">
        <v>8</v>
      </c>
      <c r="I17" s="28"/>
    </row>
    <row r="18" spans="1:9" ht="15.95">
      <c r="A18" s="24" t="s">
        <v>971</v>
      </c>
      <c r="B18" s="23">
        <v>8159</v>
      </c>
      <c r="C18" s="23">
        <v>7704</v>
      </c>
      <c r="D18" s="23">
        <v>6393</v>
      </c>
      <c r="E18" s="23">
        <v>1310</v>
      </c>
      <c r="F18" s="23">
        <v>453</v>
      </c>
      <c r="G18" s="23">
        <v>3</v>
      </c>
      <c r="I18" s="28"/>
    </row>
    <row r="19" spans="1:9" ht="15.95">
      <c r="A19" s="32" t="s">
        <v>972</v>
      </c>
      <c r="B19" s="23">
        <v>6810</v>
      </c>
      <c r="C19" s="23">
        <v>6354</v>
      </c>
      <c r="D19" s="23">
        <v>5361</v>
      </c>
      <c r="E19" s="23">
        <v>994</v>
      </c>
      <c r="F19" s="23">
        <v>453</v>
      </c>
      <c r="G19" s="23">
        <v>3</v>
      </c>
      <c r="I19" s="28"/>
    </row>
    <row r="20" spans="1:9" ht="15.95">
      <c r="A20" s="32" t="s">
        <v>973</v>
      </c>
      <c r="B20" s="23">
        <v>1349</v>
      </c>
      <c r="C20" s="23">
        <v>1349</v>
      </c>
      <c r="D20" s="23">
        <v>1033</v>
      </c>
      <c r="E20" s="23">
        <v>317</v>
      </c>
      <c r="F20" s="23" t="s">
        <v>390</v>
      </c>
      <c r="G20" s="23" t="s">
        <v>390</v>
      </c>
      <c r="I20" s="28"/>
    </row>
    <row r="21" spans="1:9" ht="15.95">
      <c r="A21" s="24" t="s">
        <v>974</v>
      </c>
      <c r="B21" s="23">
        <v>2903</v>
      </c>
      <c r="C21" s="23">
        <v>2759</v>
      </c>
      <c r="D21" s="23">
        <v>2559</v>
      </c>
      <c r="E21" s="23">
        <v>200</v>
      </c>
      <c r="F21" s="23">
        <v>143</v>
      </c>
      <c r="G21" s="23">
        <v>1</v>
      </c>
      <c r="I21" s="28"/>
    </row>
    <row r="22" spans="1:9" ht="15.95">
      <c r="A22" s="24" t="s">
        <v>975</v>
      </c>
      <c r="B22" s="23">
        <v>10482</v>
      </c>
      <c r="C22" s="23">
        <v>9815</v>
      </c>
      <c r="D22" s="23">
        <v>9615</v>
      </c>
      <c r="E22" s="23">
        <v>200</v>
      </c>
      <c r="F22" s="23">
        <v>666</v>
      </c>
      <c r="G22" s="23">
        <v>1</v>
      </c>
      <c r="I22" s="28"/>
    </row>
    <row r="23" spans="1:9" ht="15.95">
      <c r="A23" s="32" t="s">
        <v>976</v>
      </c>
      <c r="B23" s="23">
        <v>7288</v>
      </c>
      <c r="C23" s="23">
        <v>7060</v>
      </c>
      <c r="D23" s="23">
        <v>6942</v>
      </c>
      <c r="E23" s="23">
        <v>119</v>
      </c>
      <c r="F23" s="23">
        <v>226</v>
      </c>
      <c r="G23" s="23">
        <v>1</v>
      </c>
      <c r="I23" s="28"/>
    </row>
    <row r="24" spans="1:9" ht="15.95">
      <c r="A24" s="32" t="s">
        <v>977</v>
      </c>
      <c r="B24" s="23">
        <v>3194</v>
      </c>
      <c r="C24" s="23">
        <v>2754</v>
      </c>
      <c r="D24" s="23">
        <v>2673</v>
      </c>
      <c r="E24" s="23">
        <v>81</v>
      </c>
      <c r="F24" s="23">
        <v>440</v>
      </c>
      <c r="G24" s="23">
        <v>0</v>
      </c>
      <c r="I24" s="28"/>
    </row>
    <row r="25" spans="1:9" ht="15.95">
      <c r="A25" s="24" t="s">
        <v>978</v>
      </c>
      <c r="B25" s="23">
        <v>18835</v>
      </c>
      <c r="C25" s="23">
        <v>16728</v>
      </c>
      <c r="D25" s="23">
        <v>16269</v>
      </c>
      <c r="E25" s="23">
        <v>458</v>
      </c>
      <c r="F25" s="23">
        <v>2102</v>
      </c>
      <c r="G25" s="23">
        <v>6</v>
      </c>
      <c r="I25" s="28"/>
    </row>
    <row r="26" spans="1:9" ht="15.95">
      <c r="A26" s="32" t="s">
        <v>979</v>
      </c>
      <c r="B26" s="23">
        <v>11764</v>
      </c>
      <c r="C26" s="23">
        <v>10650</v>
      </c>
      <c r="D26" s="23">
        <v>10397</v>
      </c>
      <c r="E26" s="23">
        <v>254</v>
      </c>
      <c r="F26" s="23">
        <v>1112</v>
      </c>
      <c r="G26" s="23">
        <v>1</v>
      </c>
      <c r="I26" s="28"/>
    </row>
    <row r="27" spans="1:9" ht="15.95">
      <c r="A27" s="32" t="s">
        <v>980</v>
      </c>
      <c r="B27" s="23">
        <v>7072</v>
      </c>
      <c r="C27" s="23">
        <v>6077</v>
      </c>
      <c r="D27" s="23">
        <v>5872</v>
      </c>
      <c r="E27" s="23">
        <v>205</v>
      </c>
      <c r="F27" s="23">
        <v>990</v>
      </c>
      <c r="G27" s="23">
        <v>4</v>
      </c>
      <c r="I27" s="28"/>
    </row>
    <row r="28" spans="1:9" ht="15.95">
      <c r="A28" s="24" t="s">
        <v>981</v>
      </c>
      <c r="B28" s="23">
        <v>34483</v>
      </c>
      <c r="C28" s="23">
        <v>33490</v>
      </c>
      <c r="D28" s="23">
        <v>22889</v>
      </c>
      <c r="E28" s="23">
        <v>10602</v>
      </c>
      <c r="F28" s="23">
        <v>985</v>
      </c>
      <c r="G28" s="23">
        <v>8</v>
      </c>
      <c r="I28" s="28"/>
    </row>
    <row r="29" spans="1:9" ht="15.95">
      <c r="A29" s="32" t="s">
        <v>982</v>
      </c>
      <c r="B29" s="23">
        <v>13763</v>
      </c>
      <c r="C29" s="23">
        <v>13560</v>
      </c>
      <c r="D29" s="23">
        <v>4716</v>
      </c>
      <c r="E29" s="23">
        <v>8844</v>
      </c>
      <c r="F29" s="23">
        <v>203</v>
      </c>
      <c r="G29" s="23">
        <v>1</v>
      </c>
      <c r="I29" s="28"/>
    </row>
    <row r="30" spans="1:9" ht="15.95">
      <c r="A30" s="32" t="s">
        <v>983</v>
      </c>
      <c r="B30" s="23">
        <v>20720</v>
      </c>
      <c r="C30" s="23">
        <v>19930</v>
      </c>
      <c r="D30" s="23">
        <v>18173</v>
      </c>
      <c r="E30" s="23">
        <v>1757</v>
      </c>
      <c r="F30" s="23">
        <v>782</v>
      </c>
      <c r="G30" s="23">
        <v>8</v>
      </c>
      <c r="I30" s="28"/>
    </row>
    <row r="31" spans="1:9" ht="15.95">
      <c r="A31" s="33" t="s">
        <v>984</v>
      </c>
      <c r="B31" s="23">
        <v>7042</v>
      </c>
      <c r="C31" s="23">
        <v>7027</v>
      </c>
      <c r="D31" s="23">
        <v>6277</v>
      </c>
      <c r="E31" s="23">
        <v>750</v>
      </c>
      <c r="F31" s="23">
        <v>15</v>
      </c>
      <c r="G31" s="23">
        <v>0</v>
      </c>
      <c r="I31" s="28"/>
    </row>
    <row r="32" spans="1:9" ht="15.95">
      <c r="A32" s="33" t="s">
        <v>985</v>
      </c>
      <c r="B32" s="23">
        <v>10359</v>
      </c>
      <c r="C32" s="23">
        <v>9968</v>
      </c>
      <c r="D32" s="23">
        <v>9478</v>
      </c>
      <c r="E32" s="23">
        <v>491</v>
      </c>
      <c r="F32" s="23">
        <v>387</v>
      </c>
      <c r="G32" s="23">
        <v>4</v>
      </c>
      <c r="I32" s="28"/>
    </row>
    <row r="33" spans="1:9" ht="15.95">
      <c r="A33" s="33" t="s">
        <v>986</v>
      </c>
      <c r="B33" s="23">
        <v>3319</v>
      </c>
      <c r="C33" s="23">
        <v>2936</v>
      </c>
      <c r="D33" s="23">
        <v>2419</v>
      </c>
      <c r="E33" s="23">
        <v>517</v>
      </c>
      <c r="F33" s="23">
        <v>380</v>
      </c>
      <c r="G33" s="23">
        <v>3</v>
      </c>
      <c r="I33" s="28"/>
    </row>
    <row r="34" spans="1:9" ht="15.95">
      <c r="A34" s="24" t="s">
        <v>987</v>
      </c>
      <c r="B34" s="23">
        <v>14291</v>
      </c>
      <c r="C34" s="23">
        <v>13601</v>
      </c>
      <c r="D34" s="23">
        <v>13216</v>
      </c>
      <c r="E34" s="23">
        <v>385</v>
      </c>
      <c r="F34" s="23">
        <v>682</v>
      </c>
      <c r="G34" s="23">
        <v>7</v>
      </c>
      <c r="I34" s="28"/>
    </row>
    <row r="35" spans="1:9" ht="15.95">
      <c r="A35" s="32" t="s">
        <v>988</v>
      </c>
      <c r="B35" s="23">
        <v>3399</v>
      </c>
      <c r="C35" s="23">
        <v>2947</v>
      </c>
      <c r="D35" s="23">
        <v>2632</v>
      </c>
      <c r="E35" s="23">
        <v>316</v>
      </c>
      <c r="F35" s="23">
        <v>451</v>
      </c>
      <c r="G35" s="23">
        <v>1</v>
      </c>
      <c r="I35" s="28"/>
    </row>
    <row r="36" spans="1:9" ht="15.95">
      <c r="A36" s="32" t="s">
        <v>989</v>
      </c>
      <c r="B36" s="23">
        <v>10891</v>
      </c>
      <c r="C36" s="23">
        <v>10653</v>
      </c>
      <c r="D36" s="23">
        <v>10584</v>
      </c>
      <c r="E36" s="23">
        <v>69</v>
      </c>
      <c r="F36" s="23">
        <v>232</v>
      </c>
      <c r="G36" s="23">
        <v>6</v>
      </c>
      <c r="I36" s="28"/>
    </row>
    <row r="37" spans="1:9" ht="15.95">
      <c r="A37" s="24" t="s">
        <v>990</v>
      </c>
      <c r="B37" s="23">
        <v>7485</v>
      </c>
      <c r="C37" s="23">
        <v>6477</v>
      </c>
      <c r="D37" s="23">
        <v>6435</v>
      </c>
      <c r="E37" s="23">
        <v>42</v>
      </c>
      <c r="F37" s="23">
        <v>1005</v>
      </c>
      <c r="G37" s="23">
        <v>3</v>
      </c>
      <c r="I37" s="28"/>
    </row>
    <row r="38" spans="1:9" ht="15.95">
      <c r="A38" s="32" t="s">
        <v>991</v>
      </c>
      <c r="B38" s="23">
        <v>6828</v>
      </c>
      <c r="C38" s="23">
        <v>5820</v>
      </c>
      <c r="D38" s="23">
        <v>5778</v>
      </c>
      <c r="E38" s="23">
        <v>42</v>
      </c>
      <c r="F38" s="23">
        <v>1005</v>
      </c>
      <c r="G38" s="23">
        <v>3</v>
      </c>
      <c r="I38" s="28"/>
    </row>
    <row r="39" spans="1:9" ht="15.95">
      <c r="A39" s="32" t="s">
        <v>992</v>
      </c>
      <c r="B39" s="23">
        <v>657</v>
      </c>
      <c r="C39" s="23">
        <v>657</v>
      </c>
      <c r="D39" s="23">
        <v>657</v>
      </c>
      <c r="E39" s="23" t="s">
        <v>390</v>
      </c>
      <c r="F39" s="23" t="s">
        <v>390</v>
      </c>
      <c r="G39" s="23" t="s">
        <v>390</v>
      </c>
      <c r="I39" s="28"/>
    </row>
    <row r="40" spans="1:9" ht="15.95">
      <c r="A40" s="24" t="s">
        <v>993</v>
      </c>
      <c r="B40" s="23">
        <v>7083</v>
      </c>
      <c r="C40" s="23">
        <v>7083</v>
      </c>
      <c r="D40" s="23" t="s">
        <v>390</v>
      </c>
      <c r="E40" s="23">
        <v>7083</v>
      </c>
      <c r="F40" s="23" t="s">
        <v>390</v>
      </c>
      <c r="G40" s="23" t="s">
        <v>390</v>
      </c>
      <c r="I40" s="28"/>
    </row>
    <row r="41" spans="1:9">
      <c r="B41" s="25"/>
      <c r="C41" s="25"/>
      <c r="D41" s="25"/>
      <c r="E41" s="25"/>
      <c r="F41" s="25"/>
      <c r="G41" s="25"/>
    </row>
    <row r="42" spans="1:9">
      <c r="A42" s="21" t="s">
        <v>373</v>
      </c>
    </row>
    <row r="43" spans="1:9" ht="15.75" customHeight="1">
      <c r="A43" s="91" t="s">
        <v>994</v>
      </c>
      <c r="B43" s="93"/>
      <c r="C43" s="93"/>
      <c r="D43" s="93"/>
      <c r="E43" s="93"/>
      <c r="F43" s="93"/>
      <c r="G43" s="93"/>
    </row>
    <row r="44" spans="1:9" ht="18" customHeight="1">
      <c r="A44" s="91" t="s">
        <v>995</v>
      </c>
      <c r="B44" s="93"/>
      <c r="C44" s="93"/>
      <c r="D44" s="93"/>
      <c r="E44" s="93"/>
      <c r="F44" s="93"/>
      <c r="G44" s="93"/>
    </row>
    <row r="45" spans="1:9" ht="33" customHeight="1">
      <c r="A45" s="91" t="s">
        <v>996</v>
      </c>
      <c r="B45" s="93"/>
      <c r="C45" s="93"/>
      <c r="D45" s="93"/>
      <c r="E45" s="93"/>
      <c r="F45" s="93"/>
      <c r="G45" s="93"/>
    </row>
  </sheetData>
  <sheetProtection algorithmName="SHA-512" hashValue="Buod9nyQ+o0uWWM2NbLjz75To6ftbo1CuRlwH38lefX5uzNr0LVvKgfCkrIHn44Nl0JKgpqb9jPk6bodbJJVaQ==" saltValue="jEMSdnd7+r7yP02rH8PdBg==" spinCount="100000" sheet="1" objects="1" scenarios="1"/>
  <mergeCells count="12">
    <mergeCell ref="A43:G43"/>
    <mergeCell ref="A44:G44"/>
    <mergeCell ref="A45:G45"/>
    <mergeCell ref="A1:G1"/>
    <mergeCell ref="A2:G2"/>
    <mergeCell ref="A3:G3"/>
    <mergeCell ref="A4:A6"/>
    <mergeCell ref="B4:G4"/>
    <mergeCell ref="B5:B6"/>
    <mergeCell ref="C5:E5"/>
    <mergeCell ref="F5:F6"/>
    <mergeCell ref="G5:G6"/>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4"/>
  </sheetPr>
  <dimension ref="A2:M40"/>
  <sheetViews>
    <sheetView workbookViewId="0">
      <selection sqref="A1:XFD1048576"/>
    </sheetView>
  </sheetViews>
  <sheetFormatPr defaultColWidth="8.875" defaultRowHeight="15" outlineLevelRow="1"/>
  <cols>
    <col min="1" max="1" width="48.625" style="19" customWidth="1"/>
    <col min="2" max="2" width="23.375" style="19" customWidth="1"/>
    <col min="3" max="13" width="28.875" style="19" customWidth="1"/>
    <col min="14" max="16384" width="8.875" style="19"/>
  </cols>
  <sheetData>
    <row r="2" spans="1:13" ht="47.25" customHeight="1">
      <c r="A2" s="91" t="s">
        <v>997</v>
      </c>
      <c r="B2" s="93"/>
      <c r="C2" s="93"/>
      <c r="D2" s="93"/>
      <c r="E2" s="93"/>
      <c r="F2" s="93"/>
      <c r="G2" s="93"/>
      <c r="H2" s="93"/>
      <c r="I2" s="93"/>
      <c r="J2" s="93"/>
      <c r="K2" s="93"/>
      <c r="L2" s="93"/>
      <c r="M2" s="93"/>
    </row>
    <row r="3" spans="1:13" ht="15.75" customHeight="1">
      <c r="A3" s="91" t="s">
        <v>954</v>
      </c>
      <c r="B3" s="93"/>
      <c r="C3" s="93"/>
      <c r="D3" s="93"/>
      <c r="E3" s="93"/>
      <c r="F3" s="93"/>
      <c r="G3" s="93"/>
      <c r="H3" s="93"/>
      <c r="I3" s="93"/>
      <c r="J3" s="93"/>
      <c r="K3" s="93"/>
      <c r="L3" s="93"/>
      <c r="M3" s="93"/>
    </row>
    <row r="4" spans="1:13">
      <c r="A4" s="91" t="s">
        <v>373</v>
      </c>
      <c r="B4" s="93"/>
      <c r="C4" s="93"/>
      <c r="D4" s="93"/>
      <c r="E4" s="93"/>
      <c r="F4" s="93"/>
      <c r="G4" s="93"/>
      <c r="H4" s="93"/>
      <c r="I4" s="93"/>
      <c r="J4" s="93"/>
      <c r="K4" s="93"/>
      <c r="L4" s="93"/>
      <c r="M4" s="93"/>
    </row>
    <row r="5" spans="1:13" ht="21" customHeight="1">
      <c r="A5" s="92" t="s">
        <v>998</v>
      </c>
      <c r="B5" s="92" t="s">
        <v>375</v>
      </c>
      <c r="C5" s="93"/>
      <c r="D5" s="93"/>
      <c r="E5" s="93"/>
      <c r="F5" s="93"/>
      <c r="G5" s="93"/>
      <c r="H5" s="93"/>
      <c r="I5" s="93"/>
      <c r="J5" s="93"/>
      <c r="K5" s="93"/>
      <c r="L5" s="93"/>
      <c r="M5" s="93"/>
    </row>
    <row r="6" spans="1:13" ht="60" customHeight="1">
      <c r="A6" s="93"/>
      <c r="B6" s="92" t="s">
        <v>999</v>
      </c>
      <c r="C6" s="92" t="s">
        <v>1000</v>
      </c>
      <c r="D6" s="93"/>
      <c r="E6" s="92" t="s">
        <v>1001</v>
      </c>
      <c r="F6" s="93"/>
      <c r="G6" s="92" t="s">
        <v>1002</v>
      </c>
      <c r="H6" s="93"/>
      <c r="I6" s="92" t="s">
        <v>1003</v>
      </c>
      <c r="J6" s="93"/>
      <c r="K6" s="93"/>
      <c r="L6" s="92" t="s">
        <v>1004</v>
      </c>
      <c r="M6" s="93"/>
    </row>
    <row r="7" spans="1:13" ht="105" customHeight="1">
      <c r="A7" s="93"/>
      <c r="B7" s="93"/>
      <c r="C7" s="20" t="s">
        <v>1005</v>
      </c>
      <c r="D7" s="20" t="s">
        <v>1006</v>
      </c>
      <c r="E7" s="20" t="s">
        <v>1007</v>
      </c>
      <c r="F7" s="20" t="s">
        <v>1008</v>
      </c>
      <c r="G7" s="20" t="s">
        <v>1009</v>
      </c>
      <c r="H7" s="20" t="s">
        <v>1010</v>
      </c>
      <c r="I7" s="20" t="s">
        <v>1011</v>
      </c>
      <c r="J7" s="20" t="s">
        <v>1012</v>
      </c>
      <c r="K7" s="20" t="s">
        <v>1013</v>
      </c>
      <c r="L7" s="20" t="s">
        <v>1014</v>
      </c>
      <c r="M7" s="20" t="s">
        <v>1015</v>
      </c>
    </row>
    <row r="8" spans="1:13">
      <c r="A8" s="21" t="s">
        <v>373</v>
      </c>
    </row>
    <row r="9" spans="1:13" ht="15.95">
      <c r="A9" s="22" t="s">
        <v>70</v>
      </c>
    </row>
    <row r="10" spans="1:13" ht="15.95">
      <c r="A10" s="22" t="s">
        <v>1016</v>
      </c>
      <c r="B10" s="23">
        <v>2454</v>
      </c>
      <c r="C10" s="23">
        <v>1056</v>
      </c>
      <c r="D10" s="23">
        <v>52</v>
      </c>
      <c r="E10" s="23">
        <v>14</v>
      </c>
      <c r="F10" s="23">
        <v>77</v>
      </c>
      <c r="G10" s="23">
        <v>18</v>
      </c>
      <c r="H10" s="23">
        <v>80</v>
      </c>
      <c r="I10" s="23">
        <v>1001</v>
      </c>
      <c r="J10" s="23">
        <v>11</v>
      </c>
      <c r="K10" s="23">
        <v>30</v>
      </c>
      <c r="L10" s="23">
        <v>24</v>
      </c>
      <c r="M10" s="23">
        <v>90</v>
      </c>
    </row>
    <row r="11" spans="1:13" ht="32.1">
      <c r="A11" s="22" t="s">
        <v>1017</v>
      </c>
      <c r="B11" s="23">
        <v>748</v>
      </c>
      <c r="C11" s="23">
        <v>146</v>
      </c>
      <c r="D11" s="23">
        <v>111</v>
      </c>
      <c r="E11" s="23">
        <v>4</v>
      </c>
      <c r="F11" s="23">
        <v>5</v>
      </c>
      <c r="G11" s="23">
        <v>11</v>
      </c>
      <c r="H11" s="23">
        <v>52</v>
      </c>
      <c r="I11" s="23">
        <v>1</v>
      </c>
      <c r="J11" s="23">
        <v>235</v>
      </c>
      <c r="K11" s="23">
        <v>55</v>
      </c>
      <c r="L11" s="23">
        <v>47</v>
      </c>
      <c r="M11" s="23">
        <v>81</v>
      </c>
    </row>
    <row r="12" spans="1:13" ht="15.95">
      <c r="A12" s="22" t="s">
        <v>964</v>
      </c>
      <c r="B12" s="23">
        <v>10692</v>
      </c>
      <c r="C12" s="23">
        <v>1984</v>
      </c>
      <c r="D12" s="23">
        <v>265</v>
      </c>
      <c r="E12" s="23">
        <v>15</v>
      </c>
      <c r="F12" s="23">
        <v>47</v>
      </c>
      <c r="G12" s="23">
        <v>111</v>
      </c>
      <c r="H12" s="23">
        <v>492</v>
      </c>
      <c r="I12" s="23">
        <v>5</v>
      </c>
      <c r="J12" s="23">
        <v>6769</v>
      </c>
      <c r="K12" s="23">
        <v>612</v>
      </c>
      <c r="L12" s="23">
        <v>161</v>
      </c>
      <c r="M12" s="23">
        <v>232</v>
      </c>
    </row>
    <row r="13" spans="1:13" ht="15.95">
      <c r="A13" s="22" t="s">
        <v>965</v>
      </c>
      <c r="B13" s="23">
        <v>15408</v>
      </c>
      <c r="C13" s="23">
        <v>2645</v>
      </c>
      <c r="D13" s="23">
        <v>2255</v>
      </c>
      <c r="E13" s="23">
        <v>36</v>
      </c>
      <c r="F13" s="23">
        <v>215</v>
      </c>
      <c r="G13" s="23">
        <v>608</v>
      </c>
      <c r="H13" s="23">
        <v>1292</v>
      </c>
      <c r="I13" s="23">
        <v>61</v>
      </c>
      <c r="J13" s="23">
        <v>304</v>
      </c>
      <c r="K13" s="23">
        <v>675</v>
      </c>
      <c r="L13" s="23">
        <v>6078</v>
      </c>
      <c r="M13" s="23">
        <v>1239</v>
      </c>
    </row>
    <row r="14" spans="1:13" ht="15.95" outlineLevel="1">
      <c r="A14" s="24" t="s">
        <v>966</v>
      </c>
      <c r="B14" s="23">
        <v>9698</v>
      </c>
      <c r="C14" s="23">
        <v>1692</v>
      </c>
      <c r="D14" s="23">
        <v>1624</v>
      </c>
      <c r="E14" s="23">
        <v>25</v>
      </c>
      <c r="F14" s="23">
        <v>89</v>
      </c>
      <c r="G14" s="23">
        <v>296</v>
      </c>
      <c r="H14" s="23">
        <v>823</v>
      </c>
      <c r="I14" s="23">
        <v>5</v>
      </c>
      <c r="J14" s="23">
        <v>234</v>
      </c>
      <c r="K14" s="23">
        <v>434</v>
      </c>
      <c r="L14" s="23">
        <v>3823</v>
      </c>
      <c r="M14" s="23">
        <v>654</v>
      </c>
    </row>
    <row r="15" spans="1:13" ht="15.95" outlineLevel="1">
      <c r="A15" s="24" t="s">
        <v>967</v>
      </c>
      <c r="B15" s="23">
        <v>5710</v>
      </c>
      <c r="C15" s="23">
        <v>952</v>
      </c>
      <c r="D15" s="23">
        <v>630</v>
      </c>
      <c r="E15" s="23">
        <v>12</v>
      </c>
      <c r="F15" s="23">
        <v>126</v>
      </c>
      <c r="G15" s="23">
        <v>312</v>
      </c>
      <c r="H15" s="23">
        <v>469</v>
      </c>
      <c r="I15" s="23">
        <v>56</v>
      </c>
      <c r="J15" s="23">
        <v>71</v>
      </c>
      <c r="K15" s="23">
        <v>241</v>
      </c>
      <c r="L15" s="23">
        <v>2255</v>
      </c>
      <c r="M15" s="23">
        <v>585</v>
      </c>
    </row>
    <row r="16" spans="1:13" ht="15.95">
      <c r="A16" s="22" t="s">
        <v>968</v>
      </c>
      <c r="B16" s="23">
        <v>20314</v>
      </c>
      <c r="C16" s="23">
        <v>1497</v>
      </c>
      <c r="D16" s="23">
        <v>1209</v>
      </c>
      <c r="E16" s="23">
        <v>69</v>
      </c>
      <c r="F16" s="23">
        <v>669</v>
      </c>
      <c r="G16" s="23">
        <v>10129</v>
      </c>
      <c r="H16" s="23">
        <v>3318</v>
      </c>
      <c r="I16" s="23">
        <v>62</v>
      </c>
      <c r="J16" s="23">
        <v>96</v>
      </c>
      <c r="K16" s="23">
        <v>709</v>
      </c>
      <c r="L16" s="23">
        <v>579</v>
      </c>
      <c r="M16" s="23">
        <v>1977</v>
      </c>
    </row>
    <row r="17" spans="1:13" ht="15.95" outlineLevel="1">
      <c r="A17" s="24" t="s">
        <v>969</v>
      </c>
      <c r="B17" s="23">
        <v>3594</v>
      </c>
      <c r="C17" s="23">
        <v>513</v>
      </c>
      <c r="D17" s="23">
        <v>173</v>
      </c>
      <c r="E17" s="23">
        <v>3</v>
      </c>
      <c r="F17" s="23">
        <v>34</v>
      </c>
      <c r="G17" s="23">
        <v>1304</v>
      </c>
      <c r="H17" s="23">
        <v>542</v>
      </c>
      <c r="I17" s="23">
        <v>52</v>
      </c>
      <c r="J17" s="23">
        <v>22</v>
      </c>
      <c r="K17" s="23">
        <v>126</v>
      </c>
      <c r="L17" s="23">
        <v>122</v>
      </c>
      <c r="M17" s="23">
        <v>701</v>
      </c>
    </row>
    <row r="18" spans="1:13" ht="15.95" outlineLevel="1">
      <c r="A18" s="24" t="s">
        <v>970</v>
      </c>
      <c r="B18" s="23">
        <v>16720</v>
      </c>
      <c r="C18" s="23">
        <v>984</v>
      </c>
      <c r="D18" s="23">
        <v>1036</v>
      </c>
      <c r="E18" s="23">
        <v>66</v>
      </c>
      <c r="F18" s="23">
        <v>636</v>
      </c>
      <c r="G18" s="23">
        <v>8824</v>
      </c>
      <c r="H18" s="23">
        <v>2776</v>
      </c>
      <c r="I18" s="23">
        <v>10</v>
      </c>
      <c r="J18" s="23">
        <v>73</v>
      </c>
      <c r="K18" s="23">
        <v>582</v>
      </c>
      <c r="L18" s="23">
        <v>456</v>
      </c>
      <c r="M18" s="23">
        <v>1276</v>
      </c>
    </row>
    <row r="19" spans="1:13" ht="15.95">
      <c r="A19" s="22" t="s">
        <v>971</v>
      </c>
      <c r="B19" s="23">
        <v>8159</v>
      </c>
      <c r="C19" s="23">
        <v>876</v>
      </c>
      <c r="D19" s="23">
        <v>379</v>
      </c>
      <c r="E19" s="23">
        <v>34</v>
      </c>
      <c r="F19" s="23">
        <v>152</v>
      </c>
      <c r="G19" s="23">
        <v>123</v>
      </c>
      <c r="H19" s="23">
        <v>1653</v>
      </c>
      <c r="I19" s="23">
        <v>4</v>
      </c>
      <c r="J19" s="23">
        <v>176</v>
      </c>
      <c r="K19" s="23">
        <v>543</v>
      </c>
      <c r="L19" s="23">
        <v>373</v>
      </c>
      <c r="M19" s="23">
        <v>3847</v>
      </c>
    </row>
    <row r="20" spans="1:13" ht="15.95">
      <c r="A20" s="22" t="s">
        <v>974</v>
      </c>
      <c r="B20" s="23">
        <v>2903</v>
      </c>
      <c r="C20" s="23">
        <v>564</v>
      </c>
      <c r="D20" s="23">
        <v>1134</v>
      </c>
      <c r="E20" s="23">
        <v>6</v>
      </c>
      <c r="F20" s="23">
        <v>72</v>
      </c>
      <c r="G20" s="23">
        <v>330</v>
      </c>
      <c r="H20" s="23">
        <v>428</v>
      </c>
      <c r="I20" s="23">
        <v>0</v>
      </c>
      <c r="J20" s="23">
        <v>13</v>
      </c>
      <c r="K20" s="23">
        <v>279</v>
      </c>
      <c r="L20" s="23">
        <v>40</v>
      </c>
      <c r="M20" s="23">
        <v>37</v>
      </c>
    </row>
    <row r="21" spans="1:13" ht="15.95">
      <c r="A21" s="22" t="s">
        <v>975</v>
      </c>
      <c r="B21" s="23">
        <v>10482</v>
      </c>
      <c r="C21" s="23">
        <v>4398</v>
      </c>
      <c r="D21" s="23">
        <v>907</v>
      </c>
      <c r="E21" s="23">
        <v>62</v>
      </c>
      <c r="F21" s="23">
        <v>326</v>
      </c>
      <c r="G21" s="23">
        <v>2284</v>
      </c>
      <c r="H21" s="23">
        <v>2112</v>
      </c>
      <c r="I21" s="23">
        <v>0</v>
      </c>
      <c r="J21" s="23">
        <v>49</v>
      </c>
      <c r="K21" s="23">
        <v>186</v>
      </c>
      <c r="L21" s="23">
        <v>41</v>
      </c>
      <c r="M21" s="23">
        <v>116</v>
      </c>
    </row>
    <row r="22" spans="1:13" ht="15.95">
      <c r="A22" s="22" t="s">
        <v>978</v>
      </c>
      <c r="B22" s="23">
        <v>18835</v>
      </c>
      <c r="C22" s="23">
        <v>4841</v>
      </c>
      <c r="D22" s="23">
        <v>6129</v>
      </c>
      <c r="E22" s="23">
        <v>557</v>
      </c>
      <c r="F22" s="23">
        <v>3040</v>
      </c>
      <c r="G22" s="23">
        <v>644</v>
      </c>
      <c r="H22" s="23">
        <v>2279</v>
      </c>
      <c r="I22" s="23">
        <v>18</v>
      </c>
      <c r="J22" s="23">
        <v>131</v>
      </c>
      <c r="K22" s="23">
        <v>303</v>
      </c>
      <c r="L22" s="23">
        <v>311</v>
      </c>
      <c r="M22" s="23">
        <v>585</v>
      </c>
    </row>
    <row r="23" spans="1:13" ht="15.95">
      <c r="A23" s="22" t="s">
        <v>981</v>
      </c>
      <c r="B23" s="23">
        <v>34483</v>
      </c>
      <c r="C23" s="23">
        <v>3308</v>
      </c>
      <c r="D23" s="23">
        <v>19295</v>
      </c>
      <c r="E23" s="23">
        <v>182</v>
      </c>
      <c r="F23" s="23">
        <v>7172</v>
      </c>
      <c r="G23" s="23">
        <v>100</v>
      </c>
      <c r="H23" s="23">
        <v>3539</v>
      </c>
      <c r="I23" s="23">
        <v>4</v>
      </c>
      <c r="J23" s="23">
        <v>83</v>
      </c>
      <c r="K23" s="23">
        <v>201</v>
      </c>
      <c r="L23" s="23">
        <v>168</v>
      </c>
      <c r="M23" s="23">
        <v>432</v>
      </c>
    </row>
    <row r="24" spans="1:13" ht="15.95">
      <c r="A24" s="22" t="s">
        <v>987</v>
      </c>
      <c r="B24" s="23">
        <v>14291</v>
      </c>
      <c r="C24" s="23">
        <v>2018</v>
      </c>
      <c r="D24" s="23">
        <v>998</v>
      </c>
      <c r="E24" s="23">
        <v>201</v>
      </c>
      <c r="F24" s="23">
        <v>8666</v>
      </c>
      <c r="G24" s="23">
        <v>1042</v>
      </c>
      <c r="H24" s="23">
        <v>708</v>
      </c>
      <c r="I24" s="23">
        <v>5</v>
      </c>
      <c r="J24" s="23">
        <v>37</v>
      </c>
      <c r="K24" s="23">
        <v>110</v>
      </c>
      <c r="L24" s="23">
        <v>139</v>
      </c>
      <c r="M24" s="23">
        <v>367</v>
      </c>
    </row>
    <row r="25" spans="1:13" ht="15.95">
      <c r="A25" s="22" t="s">
        <v>990</v>
      </c>
      <c r="B25" s="23">
        <v>7485</v>
      </c>
      <c r="C25" s="23">
        <v>695</v>
      </c>
      <c r="D25" s="23">
        <v>976</v>
      </c>
      <c r="E25" s="23">
        <v>27</v>
      </c>
      <c r="F25" s="23">
        <v>2871</v>
      </c>
      <c r="G25" s="23">
        <v>385</v>
      </c>
      <c r="H25" s="23">
        <v>603</v>
      </c>
      <c r="I25" s="23">
        <v>2</v>
      </c>
      <c r="J25" s="23">
        <v>24</v>
      </c>
      <c r="K25" s="23">
        <v>1110</v>
      </c>
      <c r="L25" s="23">
        <v>442</v>
      </c>
      <c r="M25" s="23">
        <v>349</v>
      </c>
    </row>
    <row r="26" spans="1:13" ht="15.95" outlineLevel="1">
      <c r="A26" s="24" t="s">
        <v>991</v>
      </c>
      <c r="B26" s="23">
        <v>6828</v>
      </c>
      <c r="C26" s="23">
        <v>688</v>
      </c>
      <c r="D26" s="23">
        <v>970</v>
      </c>
      <c r="E26" s="23">
        <v>27</v>
      </c>
      <c r="F26" s="23">
        <v>2241</v>
      </c>
      <c r="G26" s="23">
        <v>385</v>
      </c>
      <c r="H26" s="23">
        <v>599</v>
      </c>
      <c r="I26" s="23">
        <v>2</v>
      </c>
      <c r="J26" s="23">
        <v>23</v>
      </c>
      <c r="K26" s="23">
        <v>1110</v>
      </c>
      <c r="L26" s="23">
        <v>442</v>
      </c>
      <c r="M26" s="23">
        <v>340</v>
      </c>
    </row>
    <row r="27" spans="1:13" ht="15.95" outlineLevel="1">
      <c r="A27" s="24" t="s">
        <v>992</v>
      </c>
      <c r="B27" s="23">
        <v>657</v>
      </c>
      <c r="C27" s="23">
        <v>7</v>
      </c>
      <c r="D27" s="23">
        <v>6</v>
      </c>
      <c r="E27" s="23">
        <v>0</v>
      </c>
      <c r="F27" s="23">
        <v>630</v>
      </c>
      <c r="G27" s="23">
        <v>0</v>
      </c>
      <c r="H27" s="23">
        <v>4</v>
      </c>
      <c r="I27" s="23">
        <v>0</v>
      </c>
      <c r="J27" s="23">
        <v>1</v>
      </c>
      <c r="K27" s="23">
        <v>0</v>
      </c>
      <c r="L27" s="23">
        <v>0</v>
      </c>
      <c r="M27" s="23">
        <v>8</v>
      </c>
    </row>
    <row r="28" spans="1:13" ht="15.95">
      <c r="A28" s="22" t="s">
        <v>993</v>
      </c>
      <c r="B28" s="23">
        <v>7083</v>
      </c>
      <c r="C28" s="23">
        <v>1351</v>
      </c>
      <c r="D28" s="23">
        <v>1812</v>
      </c>
      <c r="E28" s="23">
        <v>1905</v>
      </c>
      <c r="F28" s="23">
        <v>325</v>
      </c>
      <c r="G28" s="23">
        <v>31</v>
      </c>
      <c r="H28" s="23">
        <v>1195</v>
      </c>
      <c r="I28" s="23">
        <v>21</v>
      </c>
      <c r="J28" s="23">
        <v>105</v>
      </c>
      <c r="K28" s="23">
        <v>165</v>
      </c>
      <c r="L28" s="23">
        <v>80</v>
      </c>
      <c r="M28" s="23">
        <v>94</v>
      </c>
    </row>
    <row r="29" spans="1:13">
      <c r="B29" s="25"/>
      <c r="C29" s="25"/>
      <c r="D29" s="25"/>
      <c r="E29" s="25"/>
      <c r="F29" s="25"/>
      <c r="G29" s="25"/>
      <c r="H29" s="25"/>
      <c r="I29" s="25"/>
      <c r="J29" s="25"/>
      <c r="K29" s="25"/>
      <c r="L29" s="25"/>
      <c r="M29" s="25"/>
    </row>
    <row r="30" spans="1:13" ht="15.95">
      <c r="A30" s="26" t="s">
        <v>1018</v>
      </c>
      <c r="B30" s="25">
        <f>SUM(B11:B13)+B16+SUM(B19:B25)+B28</f>
        <v>150883</v>
      </c>
      <c r="C30" s="25">
        <f t="shared" ref="C30:M30" si="0">SUM(C11:C13)+C16+SUM(C19:C25)+C28</f>
        <v>24323</v>
      </c>
      <c r="D30" s="25">
        <f t="shared" si="0"/>
        <v>35470</v>
      </c>
      <c r="E30" s="25">
        <f t="shared" si="0"/>
        <v>3098</v>
      </c>
      <c r="F30" s="25">
        <f t="shared" si="0"/>
        <v>23560</v>
      </c>
      <c r="G30" s="25">
        <f t="shared" si="0"/>
        <v>15798</v>
      </c>
      <c r="H30" s="25">
        <f t="shared" si="0"/>
        <v>17671</v>
      </c>
      <c r="I30" s="25">
        <f t="shared" si="0"/>
        <v>183</v>
      </c>
      <c r="J30" s="25">
        <f t="shared" si="0"/>
        <v>8022</v>
      </c>
      <c r="K30" s="25">
        <f t="shared" si="0"/>
        <v>4948</v>
      </c>
      <c r="L30" s="25">
        <f t="shared" si="0"/>
        <v>8459</v>
      </c>
      <c r="M30" s="25">
        <f t="shared" si="0"/>
        <v>9356</v>
      </c>
    </row>
    <row r="31" spans="1:13" ht="18" customHeight="1">
      <c r="A31" s="26"/>
    </row>
    <row r="32" spans="1:13">
      <c r="A32" s="19" t="s">
        <v>1019</v>
      </c>
      <c r="B32" s="27">
        <f>B30/$B$30</f>
        <v>1</v>
      </c>
      <c r="C32" s="28">
        <f t="shared" ref="C32:M32" si="1">C30/$B$30</f>
        <v>0.16120437690130762</v>
      </c>
      <c r="D32" s="28">
        <f>D30/$B$30</f>
        <v>0.2350828125103557</v>
      </c>
      <c r="E32" s="27">
        <f t="shared" si="1"/>
        <v>2.0532465552779305E-2</v>
      </c>
      <c r="F32" s="27">
        <f t="shared" si="1"/>
        <v>0.15614747850983876</v>
      </c>
      <c r="G32" s="28">
        <f t="shared" si="1"/>
        <v>0.10470364454577388</v>
      </c>
      <c r="H32" s="28">
        <f t="shared" si="1"/>
        <v>0.11711723653426827</v>
      </c>
      <c r="I32" s="27">
        <f t="shared" si="1"/>
        <v>1.2128602957258274E-3</v>
      </c>
      <c r="J32" s="27">
        <f t="shared" si="1"/>
        <v>5.3167023455260039E-2</v>
      </c>
      <c r="K32" s="27">
        <f t="shared" si="1"/>
        <v>3.2793621547821825E-2</v>
      </c>
      <c r="L32" s="27">
        <f t="shared" si="1"/>
        <v>5.6063307330845753E-2</v>
      </c>
      <c r="M32" s="27">
        <f t="shared" si="1"/>
        <v>6.2008311075469072E-2</v>
      </c>
    </row>
    <row r="34" spans="1:13">
      <c r="A34" s="19" t="s">
        <v>1020</v>
      </c>
      <c r="C34" s="29">
        <v>1</v>
      </c>
      <c r="D34" s="29">
        <f>'BLS_Detailed Job Type'!I217</f>
        <v>0.30299532683970498</v>
      </c>
      <c r="G34" s="29">
        <f>'BLS_Detailed Job Type'!I314</f>
        <v>0.24754979449889347</v>
      </c>
      <c r="H34" s="29">
        <f>'BLS_Detailed Job Type'!I368</f>
        <v>0.55499959110824737</v>
      </c>
    </row>
    <row r="36" spans="1:13">
      <c r="A36" s="19" t="s">
        <v>1021</v>
      </c>
      <c r="C36" s="30">
        <f>C32*C34</f>
        <v>0.16120437690130762</v>
      </c>
      <c r="D36" s="30">
        <f t="shared" ref="D36:M36" si="2">D32*D34</f>
        <v>7.1228993610972319E-2</v>
      </c>
      <c r="E36" s="30">
        <f t="shared" si="2"/>
        <v>0</v>
      </c>
      <c r="F36" s="30">
        <f t="shared" si="2"/>
        <v>0</v>
      </c>
      <c r="G36" s="30">
        <f t="shared" si="2"/>
        <v>2.5919365690591514E-2</v>
      </c>
      <c r="H36" s="30">
        <f t="shared" si="2"/>
        <v>6.5000018388246775E-2</v>
      </c>
      <c r="I36" s="30">
        <f t="shared" si="2"/>
        <v>0</v>
      </c>
      <c r="J36" s="30">
        <f t="shared" si="2"/>
        <v>0</v>
      </c>
      <c r="K36" s="30">
        <f t="shared" si="2"/>
        <v>0</v>
      </c>
      <c r="L36" s="30">
        <f t="shared" si="2"/>
        <v>0</v>
      </c>
      <c r="M36" s="30">
        <f t="shared" si="2"/>
        <v>0</v>
      </c>
    </row>
    <row r="38" spans="1:13">
      <c r="A38" s="19" t="s">
        <v>1022</v>
      </c>
      <c r="B38" s="31">
        <f>SUM(C36:M36)</f>
        <v>0.32335275459111823</v>
      </c>
    </row>
    <row r="40" spans="1:13">
      <c r="A40" s="19" t="s">
        <v>1023</v>
      </c>
      <c r="B40" s="27">
        <f>B10/B30</f>
        <v>1.6264257736126667E-2</v>
      </c>
    </row>
  </sheetData>
  <sheetProtection algorithmName="SHA-512" hashValue="HfGte3CebEhm5zh5wRXi/LeluZ93LBBkYRBGX6ixCmyEayp9ERQHKMWFeG6IMzqV4HapZv7vF8/hRTdmW6jtVQ==" saltValue="8JNX/w3Q8aCJXq0bBH125g==" spinCount="100000" sheet="1" objects="1" scenarios="1"/>
  <mergeCells count="11">
    <mergeCell ref="L6:M6"/>
    <mergeCell ref="A2:M2"/>
    <mergeCell ref="A3:M3"/>
    <mergeCell ref="A4:M4"/>
    <mergeCell ref="A5:A7"/>
    <mergeCell ref="B5:M5"/>
    <mergeCell ref="B6:B7"/>
    <mergeCell ref="C6:D6"/>
    <mergeCell ref="E6:F6"/>
    <mergeCell ref="G6:H6"/>
    <mergeCell ref="I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A7D62-B62F-3C4E-9D89-1114E82B045A}">
  <sheetPr>
    <tabColor theme="4"/>
  </sheetPr>
  <dimension ref="A1:G60"/>
  <sheetViews>
    <sheetView workbookViewId="0">
      <selection sqref="A1:XFD1048576"/>
    </sheetView>
  </sheetViews>
  <sheetFormatPr defaultColWidth="11" defaultRowHeight="12.95"/>
  <cols>
    <col min="1" max="1" width="28.375" style="10" customWidth="1"/>
    <col min="2" max="2" width="8.875" style="10" customWidth="1"/>
    <col min="3" max="3" width="10.5" style="10" bestFit="1" customWidth="1"/>
    <col min="4" max="4" width="17.125" style="10" customWidth="1"/>
    <col min="5" max="12" width="13" style="10" customWidth="1"/>
    <col min="13" max="258" width="8.875" style="10" customWidth="1"/>
    <col min="259" max="259" width="10.5" style="10" bestFit="1" customWidth="1"/>
    <col min="260" max="260" width="17.125" style="10" customWidth="1"/>
    <col min="261" max="268" width="13" style="10" customWidth="1"/>
    <col min="269" max="514" width="8.875" style="10" customWidth="1"/>
    <col min="515" max="515" width="10.5" style="10" bestFit="1" customWidth="1"/>
    <col min="516" max="516" width="17.125" style="10" customWidth="1"/>
    <col min="517" max="524" width="13" style="10" customWidth="1"/>
    <col min="525" max="770" width="8.875" style="10" customWidth="1"/>
    <col min="771" max="771" width="10.5" style="10" bestFit="1" customWidth="1"/>
    <col min="772" max="772" width="17.125" style="10" customWidth="1"/>
    <col min="773" max="780" width="13" style="10" customWidth="1"/>
    <col min="781" max="1026" width="8.875" style="10" customWidth="1"/>
    <col min="1027" max="1027" width="10.5" style="10" bestFit="1" customWidth="1"/>
    <col min="1028" max="1028" width="17.125" style="10" customWidth="1"/>
    <col min="1029" max="1036" width="13" style="10" customWidth="1"/>
    <col min="1037" max="1282" width="8.875" style="10" customWidth="1"/>
    <col min="1283" max="1283" width="10.5" style="10" bestFit="1" customWidth="1"/>
    <col min="1284" max="1284" width="17.125" style="10" customWidth="1"/>
    <col min="1285" max="1292" width="13" style="10" customWidth="1"/>
    <col min="1293" max="1538" width="8.875" style="10" customWidth="1"/>
    <col min="1539" max="1539" width="10.5" style="10" bestFit="1" customWidth="1"/>
    <col min="1540" max="1540" width="17.125" style="10" customWidth="1"/>
    <col min="1541" max="1548" width="13" style="10" customWidth="1"/>
    <col min="1549" max="1794" width="8.875" style="10" customWidth="1"/>
    <col min="1795" max="1795" width="10.5" style="10" bestFit="1" customWidth="1"/>
    <col min="1796" max="1796" width="17.125" style="10" customWidth="1"/>
    <col min="1797" max="1804" width="13" style="10" customWidth="1"/>
    <col min="1805" max="2050" width="8.875" style="10" customWidth="1"/>
    <col min="2051" max="2051" width="10.5" style="10" bestFit="1" customWidth="1"/>
    <col min="2052" max="2052" width="17.125" style="10" customWidth="1"/>
    <col min="2053" max="2060" width="13" style="10" customWidth="1"/>
    <col min="2061" max="2306" width="8.875" style="10" customWidth="1"/>
    <col min="2307" max="2307" width="10.5" style="10" bestFit="1" customWidth="1"/>
    <col min="2308" max="2308" width="17.125" style="10" customWidth="1"/>
    <col min="2309" max="2316" width="13" style="10" customWidth="1"/>
    <col min="2317" max="2562" width="8.875" style="10" customWidth="1"/>
    <col min="2563" max="2563" width="10.5" style="10" bestFit="1" customWidth="1"/>
    <col min="2564" max="2564" width="17.125" style="10" customWidth="1"/>
    <col min="2565" max="2572" width="13" style="10" customWidth="1"/>
    <col min="2573" max="2818" width="8.875" style="10" customWidth="1"/>
    <col min="2819" max="2819" width="10.5" style="10" bestFit="1" customWidth="1"/>
    <col min="2820" max="2820" width="17.125" style="10" customWidth="1"/>
    <col min="2821" max="2828" width="13" style="10" customWidth="1"/>
    <col min="2829" max="3074" width="8.875" style="10" customWidth="1"/>
    <col min="3075" max="3075" width="10.5" style="10" bestFit="1" customWidth="1"/>
    <col min="3076" max="3076" width="17.125" style="10" customWidth="1"/>
    <col min="3077" max="3084" width="13" style="10" customWidth="1"/>
    <col min="3085" max="3330" width="8.875" style="10" customWidth="1"/>
    <col min="3331" max="3331" width="10.5" style="10" bestFit="1" customWidth="1"/>
    <col min="3332" max="3332" width="17.125" style="10" customWidth="1"/>
    <col min="3333" max="3340" width="13" style="10" customWidth="1"/>
    <col min="3341" max="3586" width="8.875" style="10" customWidth="1"/>
    <col min="3587" max="3587" width="10.5" style="10" bestFit="1" customWidth="1"/>
    <col min="3588" max="3588" width="17.125" style="10" customWidth="1"/>
    <col min="3589" max="3596" width="13" style="10" customWidth="1"/>
    <col min="3597" max="3842" width="8.875" style="10" customWidth="1"/>
    <col min="3843" max="3843" width="10.5" style="10" bestFit="1" customWidth="1"/>
    <col min="3844" max="3844" width="17.125" style="10" customWidth="1"/>
    <col min="3845" max="3852" width="13" style="10" customWidth="1"/>
    <col min="3853" max="4098" width="8.875" style="10" customWidth="1"/>
    <col min="4099" max="4099" width="10.5" style="10" bestFit="1" customWidth="1"/>
    <col min="4100" max="4100" width="17.125" style="10" customWidth="1"/>
    <col min="4101" max="4108" width="13" style="10" customWidth="1"/>
    <col min="4109" max="4354" width="8.875" style="10" customWidth="1"/>
    <col min="4355" max="4355" width="10.5" style="10" bestFit="1" customWidth="1"/>
    <col min="4356" max="4356" width="17.125" style="10" customWidth="1"/>
    <col min="4357" max="4364" width="13" style="10" customWidth="1"/>
    <col min="4365" max="4610" width="8.875" style="10" customWidth="1"/>
    <col min="4611" max="4611" width="10.5" style="10" bestFit="1" customWidth="1"/>
    <col min="4612" max="4612" width="17.125" style="10" customWidth="1"/>
    <col min="4613" max="4620" width="13" style="10" customWidth="1"/>
    <col min="4621" max="4866" width="8.875" style="10" customWidth="1"/>
    <col min="4867" max="4867" width="10.5" style="10" bestFit="1" customWidth="1"/>
    <col min="4868" max="4868" width="17.125" style="10" customWidth="1"/>
    <col min="4869" max="4876" width="13" style="10" customWidth="1"/>
    <col min="4877" max="5122" width="8.875" style="10" customWidth="1"/>
    <col min="5123" max="5123" width="10.5" style="10" bestFit="1" customWidth="1"/>
    <col min="5124" max="5124" width="17.125" style="10" customWidth="1"/>
    <col min="5125" max="5132" width="13" style="10" customWidth="1"/>
    <col min="5133" max="5378" width="8.875" style="10" customWidth="1"/>
    <col min="5379" max="5379" width="10.5" style="10" bestFit="1" customWidth="1"/>
    <col min="5380" max="5380" width="17.125" style="10" customWidth="1"/>
    <col min="5381" max="5388" width="13" style="10" customWidth="1"/>
    <col min="5389" max="5634" width="8.875" style="10" customWidth="1"/>
    <col min="5635" max="5635" width="10.5" style="10" bestFit="1" customWidth="1"/>
    <col min="5636" max="5636" width="17.125" style="10" customWidth="1"/>
    <col min="5637" max="5644" width="13" style="10" customWidth="1"/>
    <col min="5645" max="5890" width="8.875" style="10" customWidth="1"/>
    <col min="5891" max="5891" width="10.5" style="10" bestFit="1" customWidth="1"/>
    <col min="5892" max="5892" width="17.125" style="10" customWidth="1"/>
    <col min="5893" max="5900" width="13" style="10" customWidth="1"/>
    <col min="5901" max="6146" width="8.875" style="10" customWidth="1"/>
    <col min="6147" max="6147" width="10.5" style="10" bestFit="1" customWidth="1"/>
    <col min="6148" max="6148" width="17.125" style="10" customWidth="1"/>
    <col min="6149" max="6156" width="13" style="10" customWidth="1"/>
    <col min="6157" max="6402" width="8.875" style="10" customWidth="1"/>
    <col min="6403" max="6403" width="10.5" style="10" bestFit="1" customWidth="1"/>
    <col min="6404" max="6404" width="17.125" style="10" customWidth="1"/>
    <col min="6405" max="6412" width="13" style="10" customWidth="1"/>
    <col min="6413" max="6658" width="8.875" style="10" customWidth="1"/>
    <col min="6659" max="6659" width="10.5" style="10" bestFit="1" customWidth="1"/>
    <col min="6660" max="6660" width="17.125" style="10" customWidth="1"/>
    <col min="6661" max="6668" width="13" style="10" customWidth="1"/>
    <col min="6669" max="6914" width="8.875" style="10" customWidth="1"/>
    <col min="6915" max="6915" width="10.5" style="10" bestFit="1" customWidth="1"/>
    <col min="6916" max="6916" width="17.125" style="10" customWidth="1"/>
    <col min="6917" max="6924" width="13" style="10" customWidth="1"/>
    <col min="6925" max="7170" width="8.875" style="10" customWidth="1"/>
    <col min="7171" max="7171" width="10.5" style="10" bestFit="1" customWidth="1"/>
    <col min="7172" max="7172" width="17.125" style="10" customWidth="1"/>
    <col min="7173" max="7180" width="13" style="10" customWidth="1"/>
    <col min="7181" max="7426" width="8.875" style="10" customWidth="1"/>
    <col min="7427" max="7427" width="10.5" style="10" bestFit="1" customWidth="1"/>
    <col min="7428" max="7428" width="17.125" style="10" customWidth="1"/>
    <col min="7429" max="7436" width="13" style="10" customWidth="1"/>
    <col min="7437" max="7682" width="8.875" style="10" customWidth="1"/>
    <col min="7683" max="7683" width="10.5" style="10" bestFit="1" customWidth="1"/>
    <col min="7684" max="7684" width="17.125" style="10" customWidth="1"/>
    <col min="7685" max="7692" width="13" style="10" customWidth="1"/>
    <col min="7693" max="7938" width="8.875" style="10" customWidth="1"/>
    <col min="7939" max="7939" width="10.5" style="10" bestFit="1" customWidth="1"/>
    <col min="7940" max="7940" width="17.125" style="10" customWidth="1"/>
    <col min="7941" max="7948" width="13" style="10" customWidth="1"/>
    <col min="7949" max="8194" width="8.875" style="10" customWidth="1"/>
    <col min="8195" max="8195" width="10.5" style="10" bestFit="1" customWidth="1"/>
    <col min="8196" max="8196" width="17.125" style="10" customWidth="1"/>
    <col min="8197" max="8204" width="13" style="10" customWidth="1"/>
    <col min="8205" max="8450" width="8.875" style="10" customWidth="1"/>
    <col min="8451" max="8451" width="10.5" style="10" bestFit="1" customWidth="1"/>
    <col min="8452" max="8452" width="17.125" style="10" customWidth="1"/>
    <col min="8453" max="8460" width="13" style="10" customWidth="1"/>
    <col min="8461" max="8706" width="8.875" style="10" customWidth="1"/>
    <col min="8707" max="8707" width="10.5" style="10" bestFit="1" customWidth="1"/>
    <col min="8708" max="8708" width="17.125" style="10" customWidth="1"/>
    <col min="8709" max="8716" width="13" style="10" customWidth="1"/>
    <col min="8717" max="8962" width="8.875" style="10" customWidth="1"/>
    <col min="8963" max="8963" width="10.5" style="10" bestFit="1" customWidth="1"/>
    <col min="8964" max="8964" width="17.125" style="10" customWidth="1"/>
    <col min="8965" max="8972" width="13" style="10" customWidth="1"/>
    <col min="8973" max="9218" width="8.875" style="10" customWidth="1"/>
    <col min="9219" max="9219" width="10.5" style="10" bestFit="1" customWidth="1"/>
    <col min="9220" max="9220" width="17.125" style="10" customWidth="1"/>
    <col min="9221" max="9228" width="13" style="10" customWidth="1"/>
    <col min="9229" max="9474" width="8.875" style="10" customWidth="1"/>
    <col min="9475" max="9475" width="10.5" style="10" bestFit="1" customWidth="1"/>
    <col min="9476" max="9476" width="17.125" style="10" customWidth="1"/>
    <col min="9477" max="9484" width="13" style="10" customWidth="1"/>
    <col min="9485" max="9730" width="8.875" style="10" customWidth="1"/>
    <col min="9731" max="9731" width="10.5" style="10" bestFit="1" customWidth="1"/>
    <col min="9732" max="9732" width="17.125" style="10" customWidth="1"/>
    <col min="9733" max="9740" width="13" style="10" customWidth="1"/>
    <col min="9741" max="9986" width="8.875" style="10" customWidth="1"/>
    <col min="9987" max="9987" width="10.5" style="10" bestFit="1" customWidth="1"/>
    <col min="9988" max="9988" width="17.125" style="10" customWidth="1"/>
    <col min="9989" max="9996" width="13" style="10" customWidth="1"/>
    <col min="9997" max="10242" width="8.875" style="10" customWidth="1"/>
    <col min="10243" max="10243" width="10.5" style="10" bestFit="1" customWidth="1"/>
    <col min="10244" max="10244" width="17.125" style="10" customWidth="1"/>
    <col min="10245" max="10252" width="13" style="10" customWidth="1"/>
    <col min="10253" max="10498" width="8.875" style="10" customWidth="1"/>
    <col min="10499" max="10499" width="10.5" style="10" bestFit="1" customWidth="1"/>
    <col min="10500" max="10500" width="17.125" style="10" customWidth="1"/>
    <col min="10501" max="10508" width="13" style="10" customWidth="1"/>
    <col min="10509" max="10754" width="8.875" style="10" customWidth="1"/>
    <col min="10755" max="10755" width="10.5" style="10" bestFit="1" customWidth="1"/>
    <col min="10756" max="10756" width="17.125" style="10" customWidth="1"/>
    <col min="10757" max="10764" width="13" style="10" customWidth="1"/>
    <col min="10765" max="11010" width="8.875" style="10" customWidth="1"/>
    <col min="11011" max="11011" width="10.5" style="10" bestFit="1" customWidth="1"/>
    <col min="11012" max="11012" width="17.125" style="10" customWidth="1"/>
    <col min="11013" max="11020" width="13" style="10" customWidth="1"/>
    <col min="11021" max="11266" width="8.875" style="10" customWidth="1"/>
    <col min="11267" max="11267" width="10.5" style="10" bestFit="1" customWidth="1"/>
    <col min="11268" max="11268" width="17.125" style="10" customWidth="1"/>
    <col min="11269" max="11276" width="13" style="10" customWidth="1"/>
    <col min="11277" max="11522" width="8.875" style="10" customWidth="1"/>
    <col min="11523" max="11523" width="10.5" style="10" bestFit="1" customWidth="1"/>
    <col min="11524" max="11524" width="17.125" style="10" customWidth="1"/>
    <col min="11525" max="11532" width="13" style="10" customWidth="1"/>
    <col min="11533" max="11778" width="8.875" style="10" customWidth="1"/>
    <col min="11779" max="11779" width="10.5" style="10" bestFit="1" customWidth="1"/>
    <col min="11780" max="11780" width="17.125" style="10" customWidth="1"/>
    <col min="11781" max="11788" width="13" style="10" customWidth="1"/>
    <col min="11789" max="12034" width="8.875" style="10" customWidth="1"/>
    <col min="12035" max="12035" width="10.5" style="10" bestFit="1" customWidth="1"/>
    <col min="12036" max="12036" width="17.125" style="10" customWidth="1"/>
    <col min="12037" max="12044" width="13" style="10" customWidth="1"/>
    <col min="12045" max="12290" width="8.875" style="10" customWidth="1"/>
    <col min="12291" max="12291" width="10.5" style="10" bestFit="1" customWidth="1"/>
    <col min="12292" max="12292" width="17.125" style="10" customWidth="1"/>
    <col min="12293" max="12300" width="13" style="10" customWidth="1"/>
    <col min="12301" max="12546" width="8.875" style="10" customWidth="1"/>
    <col min="12547" max="12547" width="10.5" style="10" bestFit="1" customWidth="1"/>
    <col min="12548" max="12548" width="17.125" style="10" customWidth="1"/>
    <col min="12549" max="12556" width="13" style="10" customWidth="1"/>
    <col min="12557" max="12802" width="8.875" style="10" customWidth="1"/>
    <col min="12803" max="12803" width="10.5" style="10" bestFit="1" customWidth="1"/>
    <col min="12804" max="12804" width="17.125" style="10" customWidth="1"/>
    <col min="12805" max="12812" width="13" style="10" customWidth="1"/>
    <col min="12813" max="13058" width="8.875" style="10" customWidth="1"/>
    <col min="13059" max="13059" width="10.5" style="10" bestFit="1" customWidth="1"/>
    <col min="13060" max="13060" width="17.125" style="10" customWidth="1"/>
    <col min="13061" max="13068" width="13" style="10" customWidth="1"/>
    <col min="13069" max="13314" width="8.875" style="10" customWidth="1"/>
    <col min="13315" max="13315" width="10.5" style="10" bestFit="1" customWidth="1"/>
    <col min="13316" max="13316" width="17.125" style="10" customWidth="1"/>
    <col min="13317" max="13324" width="13" style="10" customWidth="1"/>
    <col min="13325" max="13570" width="8.875" style="10" customWidth="1"/>
    <col min="13571" max="13571" width="10.5" style="10" bestFit="1" customWidth="1"/>
    <col min="13572" max="13572" width="17.125" style="10" customWidth="1"/>
    <col min="13573" max="13580" width="13" style="10" customWidth="1"/>
    <col min="13581" max="13826" width="8.875" style="10" customWidth="1"/>
    <col min="13827" max="13827" width="10.5" style="10" bestFit="1" customWidth="1"/>
    <col min="13828" max="13828" width="17.125" style="10" customWidth="1"/>
    <col min="13829" max="13836" width="13" style="10" customWidth="1"/>
    <col min="13837" max="14082" width="8.875" style="10" customWidth="1"/>
    <col min="14083" max="14083" width="10.5" style="10" bestFit="1" customWidth="1"/>
    <col min="14084" max="14084" width="17.125" style="10" customWidth="1"/>
    <col min="14085" max="14092" width="13" style="10" customWidth="1"/>
    <col min="14093" max="14338" width="8.875" style="10" customWidth="1"/>
    <col min="14339" max="14339" width="10.5" style="10" bestFit="1" customWidth="1"/>
    <col min="14340" max="14340" width="17.125" style="10" customWidth="1"/>
    <col min="14341" max="14348" width="13" style="10" customWidth="1"/>
    <col min="14349" max="14594" width="8.875" style="10" customWidth="1"/>
    <col min="14595" max="14595" width="10.5" style="10" bestFit="1" customWidth="1"/>
    <col min="14596" max="14596" width="17.125" style="10" customWidth="1"/>
    <col min="14597" max="14604" width="13" style="10" customWidth="1"/>
    <col min="14605" max="14850" width="8.875" style="10" customWidth="1"/>
    <col min="14851" max="14851" width="10.5" style="10" bestFit="1" customWidth="1"/>
    <col min="14852" max="14852" width="17.125" style="10" customWidth="1"/>
    <col min="14853" max="14860" width="13" style="10" customWidth="1"/>
    <col min="14861" max="15106" width="8.875" style="10" customWidth="1"/>
    <col min="15107" max="15107" width="10.5" style="10" bestFit="1" customWidth="1"/>
    <col min="15108" max="15108" width="17.125" style="10" customWidth="1"/>
    <col min="15109" max="15116" width="13" style="10" customWidth="1"/>
    <col min="15117" max="15362" width="8.875" style="10" customWidth="1"/>
    <col min="15363" max="15363" width="10.5" style="10" bestFit="1" customWidth="1"/>
    <col min="15364" max="15364" width="17.125" style="10" customWidth="1"/>
    <col min="15365" max="15372" width="13" style="10" customWidth="1"/>
    <col min="15373" max="15618" width="8.875" style="10" customWidth="1"/>
    <col min="15619" max="15619" width="10.5" style="10" bestFit="1" customWidth="1"/>
    <col min="15620" max="15620" width="17.125" style="10" customWidth="1"/>
    <col min="15621" max="15628" width="13" style="10" customWidth="1"/>
    <col min="15629" max="15874" width="8.875" style="10" customWidth="1"/>
    <col min="15875" max="15875" width="10.5" style="10" bestFit="1" customWidth="1"/>
    <col min="15876" max="15876" width="17.125" style="10" customWidth="1"/>
    <col min="15877" max="15884" width="13" style="10" customWidth="1"/>
    <col min="15885" max="16130" width="8.875" style="10" customWidth="1"/>
    <col min="16131" max="16131" width="10.5" style="10" bestFit="1" customWidth="1"/>
    <col min="16132" max="16132" width="17.125" style="10" customWidth="1"/>
    <col min="16133" max="16140" width="13" style="10" customWidth="1"/>
    <col min="16141" max="16384" width="8.875" style="10" customWidth="1"/>
  </cols>
  <sheetData>
    <row r="1" spans="1:7">
      <c r="A1" s="9" t="s">
        <v>1024</v>
      </c>
      <c r="B1" s="9" t="s">
        <v>1025</v>
      </c>
      <c r="C1" s="9" t="s">
        <v>1026</v>
      </c>
      <c r="D1" s="9" t="s">
        <v>1027</v>
      </c>
      <c r="E1" s="10" t="s">
        <v>1028</v>
      </c>
    </row>
    <row r="2" spans="1:7" ht="15.95">
      <c r="A2" s="10" t="s">
        <v>66</v>
      </c>
      <c r="B2" s="10">
        <v>75</v>
      </c>
      <c r="C2" s="11">
        <v>18.9375</v>
      </c>
      <c r="D2" s="11">
        <v>3.9603960396039604</v>
      </c>
      <c r="E2" s="12">
        <f>D2/$D$44</f>
        <v>0.75007500750075007</v>
      </c>
    </row>
    <row r="3" spans="1:7" ht="15.95">
      <c r="A3" s="10" t="s">
        <v>68</v>
      </c>
      <c r="B3" s="10">
        <v>5.9</v>
      </c>
      <c r="C3" s="11">
        <v>1.2536826929104243</v>
      </c>
      <c r="D3" s="11">
        <v>4.7061350000000006</v>
      </c>
      <c r="E3" s="12">
        <f t="shared" ref="E3:E58" si="0">D3/$D$44</f>
        <v>0.89131344696969705</v>
      </c>
    </row>
    <row r="4" spans="1:7" ht="15.95">
      <c r="A4" s="10" t="s">
        <v>58</v>
      </c>
      <c r="B4" s="10">
        <v>16.5</v>
      </c>
      <c r="C4" s="11">
        <v>3.2279</v>
      </c>
      <c r="D4" s="11">
        <v>5.1116825180457885</v>
      </c>
      <c r="E4" s="12">
        <f t="shared" si="0"/>
        <v>0.96812168902382356</v>
      </c>
      <c r="F4" s="13"/>
    </row>
    <row r="5" spans="1:7" ht="15.95">
      <c r="A5" s="10" t="s">
        <v>91</v>
      </c>
      <c r="B5" s="10">
        <v>3.19</v>
      </c>
      <c r="C5" s="11">
        <v>0.72285672979615445</v>
      </c>
      <c r="D5" s="11">
        <v>4.4130459999999996</v>
      </c>
      <c r="E5" s="12">
        <f t="shared" si="0"/>
        <v>0.83580416666666657</v>
      </c>
      <c r="F5" s="14"/>
      <c r="G5" s="11"/>
    </row>
    <row r="6" spans="1:7" ht="15.95">
      <c r="A6" s="10" t="s">
        <v>65</v>
      </c>
      <c r="B6" s="10">
        <v>6.55</v>
      </c>
      <c r="C6" s="11">
        <v>1.2459</v>
      </c>
      <c r="D6" s="11">
        <v>5.2572437595312627</v>
      </c>
      <c r="E6" s="12">
        <f t="shared" si="0"/>
        <v>0.99569010597183005</v>
      </c>
      <c r="F6" s="15"/>
      <c r="G6" s="11"/>
    </row>
    <row r="7" spans="1:7" ht="15.95">
      <c r="A7" s="10" t="s">
        <v>193</v>
      </c>
      <c r="B7" s="10">
        <v>2600</v>
      </c>
      <c r="C7" s="11">
        <v>605.93499999999995</v>
      </c>
      <c r="D7" s="11">
        <v>4.2908892868046911</v>
      </c>
      <c r="E7" s="12">
        <f t="shared" si="0"/>
        <v>0.81266842553119145</v>
      </c>
      <c r="F7" s="15"/>
      <c r="G7" s="11"/>
    </row>
    <row r="8" spans="1:7" ht="15.95">
      <c r="A8" s="10" t="s">
        <v>53</v>
      </c>
      <c r="B8" s="10">
        <v>20.399999999999999</v>
      </c>
      <c r="C8" s="11">
        <v>6.4320000000000004</v>
      </c>
      <c r="D8" s="11">
        <v>3.1716417910447756</v>
      </c>
      <c r="E8" s="12">
        <f t="shared" si="0"/>
        <v>0.60068973315241958</v>
      </c>
      <c r="F8" s="15"/>
      <c r="G8" s="11"/>
    </row>
    <row r="9" spans="1:7" ht="15.95">
      <c r="A9" s="10" t="s">
        <v>64</v>
      </c>
      <c r="B9" s="10">
        <v>10900</v>
      </c>
      <c r="C9" s="11">
        <v>2844.12</v>
      </c>
      <c r="D9" s="11">
        <v>3.8324683909258401</v>
      </c>
      <c r="E9" s="12">
        <f t="shared" si="0"/>
        <v>0.72584628616019697</v>
      </c>
      <c r="F9" s="15"/>
      <c r="G9" s="11"/>
    </row>
    <row r="10" spans="1:7" ht="15.95">
      <c r="A10" s="10" t="s">
        <v>202</v>
      </c>
      <c r="B10" s="10">
        <v>2290</v>
      </c>
      <c r="C10" s="11">
        <v>568.53</v>
      </c>
      <c r="D10" s="11">
        <v>4.0279316834643728</v>
      </c>
      <c r="E10" s="12">
        <f t="shared" si="0"/>
        <v>0.76286584914097966</v>
      </c>
      <c r="F10" s="15"/>
      <c r="G10" s="11"/>
    </row>
    <row r="11" spans="1:7" ht="15.95">
      <c r="A11" s="10" t="s">
        <v>300</v>
      </c>
      <c r="B11" s="10">
        <v>79</v>
      </c>
      <c r="C11" s="11">
        <v>20.747</v>
      </c>
      <c r="D11" s="11">
        <v>3.807779437991035</v>
      </c>
      <c r="E11" s="12">
        <f t="shared" si="0"/>
        <v>0.72117034810436265</v>
      </c>
      <c r="F11" s="15"/>
      <c r="G11" s="11"/>
    </row>
    <row r="12" spans="1:7" ht="15.95">
      <c r="A12" s="10" t="s">
        <v>176</v>
      </c>
      <c r="B12" s="10">
        <v>30</v>
      </c>
      <c r="C12" s="11">
        <v>6.0827</v>
      </c>
      <c r="D12" s="11">
        <v>4.9320203199237183</v>
      </c>
      <c r="E12" s="12">
        <f t="shared" si="0"/>
        <v>0.93409475756131022</v>
      </c>
      <c r="F12" s="15"/>
      <c r="G12" s="11"/>
    </row>
    <row r="13" spans="1:7" ht="15.95">
      <c r="A13" s="10" t="s">
        <v>95</v>
      </c>
      <c r="B13" s="10">
        <v>34.21</v>
      </c>
      <c r="C13" s="11">
        <v>17.7</v>
      </c>
      <c r="D13" s="11">
        <v>1.9327683615819211</v>
      </c>
      <c r="E13" s="12">
        <f t="shared" si="0"/>
        <v>0.36605461393596989</v>
      </c>
      <c r="F13" s="15"/>
      <c r="G13" s="11"/>
    </row>
    <row r="14" spans="1:7" ht="15.95">
      <c r="A14" s="16" t="s">
        <v>55</v>
      </c>
      <c r="B14" s="10">
        <v>3.95</v>
      </c>
      <c r="C14" s="11">
        <v>0.81682662854809063</v>
      </c>
      <c r="D14" s="11">
        <v>4.8357875000000003</v>
      </c>
      <c r="E14" s="12">
        <f t="shared" si="0"/>
        <v>0.91586884469696972</v>
      </c>
      <c r="F14" s="11"/>
    </row>
    <row r="15" spans="1:7" ht="15.95">
      <c r="A15" s="10" t="s">
        <v>137</v>
      </c>
      <c r="B15" s="10">
        <v>20.5</v>
      </c>
      <c r="C15" s="11">
        <v>7.819</v>
      </c>
      <c r="D15" s="11">
        <v>2.6218186468857909</v>
      </c>
      <c r="E15" s="12">
        <f t="shared" si="0"/>
        <v>0.49655656191018765</v>
      </c>
      <c r="F15" s="11"/>
    </row>
    <row r="16" spans="1:7" ht="15.95">
      <c r="A16" s="10" t="s">
        <v>165</v>
      </c>
      <c r="B16" s="10">
        <v>864</v>
      </c>
      <c r="C16" s="11">
        <v>252.14214999999999</v>
      </c>
      <c r="D16" s="11">
        <v>3.4266385053034569</v>
      </c>
      <c r="E16" s="12">
        <f t="shared" si="0"/>
        <v>0.64898456539838201</v>
      </c>
    </row>
    <row r="17" spans="1:5" ht="15.95">
      <c r="A17" s="10" t="s">
        <v>54</v>
      </c>
      <c r="B17" s="10">
        <v>180</v>
      </c>
      <c r="C17" s="11">
        <v>63.861249999999998</v>
      </c>
      <c r="D17" s="11">
        <v>2.8186106598289262</v>
      </c>
      <c r="E17" s="12">
        <f t="shared" si="0"/>
        <v>0.53382777648275115</v>
      </c>
    </row>
    <row r="18" spans="1:5" ht="15.95">
      <c r="A18" s="10" t="s">
        <v>57</v>
      </c>
      <c r="B18" s="10">
        <v>35750</v>
      </c>
      <c r="C18" s="11">
        <v>13359</v>
      </c>
      <c r="D18" s="11">
        <v>2.6760985103675425</v>
      </c>
      <c r="E18" s="12">
        <f t="shared" si="0"/>
        <v>0.50683683908476185</v>
      </c>
    </row>
    <row r="19" spans="1:5" ht="15.95">
      <c r="A19" s="10" t="s">
        <v>160</v>
      </c>
      <c r="B19" s="10">
        <v>16.5</v>
      </c>
      <c r="C19" s="11">
        <v>3.43635</v>
      </c>
      <c r="D19" s="11">
        <v>4.801606355580776</v>
      </c>
      <c r="E19" s="12">
        <f t="shared" si="0"/>
        <v>0.90939514310241965</v>
      </c>
    </row>
    <row r="20" spans="1:5" ht="15.95">
      <c r="A20" s="10" t="s">
        <v>60</v>
      </c>
      <c r="B20" s="10">
        <v>380</v>
      </c>
      <c r="C20" s="11">
        <v>110.72499999999999</v>
      </c>
      <c r="D20" s="11">
        <v>3.4319259426507114</v>
      </c>
      <c r="E20" s="12">
        <f t="shared" si="0"/>
        <v>0.64998597398687707</v>
      </c>
    </row>
    <row r="21" spans="1:5" ht="15.95">
      <c r="A21" s="10" t="s">
        <v>212</v>
      </c>
      <c r="B21" s="10">
        <v>2.7</v>
      </c>
      <c r="C21" s="11">
        <v>0.81682662854809063</v>
      </c>
      <c r="D21" s="11">
        <v>3.3054750000000004</v>
      </c>
      <c r="E21" s="12">
        <f t="shared" si="0"/>
        <v>0.62603693181818187</v>
      </c>
    </row>
    <row r="22" spans="1:5" ht="15.95">
      <c r="A22" s="10" t="s">
        <v>192</v>
      </c>
      <c r="B22" s="10">
        <v>2.8</v>
      </c>
      <c r="C22" s="11">
        <v>0.81682662854809063</v>
      </c>
      <c r="D22" s="11">
        <v>3.4279000000000002</v>
      </c>
      <c r="E22" s="12">
        <f t="shared" si="0"/>
        <v>0.6492234848484848</v>
      </c>
    </row>
    <row r="23" spans="1:5" ht="15.95">
      <c r="A23" s="10" t="s">
        <v>107</v>
      </c>
      <c r="B23" s="10">
        <v>9</v>
      </c>
      <c r="C23" s="11">
        <v>3.9540000000000002</v>
      </c>
      <c r="D23" s="11">
        <v>2.2761760242792106</v>
      </c>
      <c r="E23" s="12">
        <f t="shared" si="0"/>
        <v>0.43109394399227474</v>
      </c>
    </row>
    <row r="24" spans="1:5" ht="15.95">
      <c r="A24" s="10" t="s">
        <v>61</v>
      </c>
      <c r="B24" s="10">
        <v>48</v>
      </c>
      <c r="C24" s="11">
        <v>18.663499999999999</v>
      </c>
      <c r="D24" s="11">
        <v>2.5718648699332922</v>
      </c>
      <c r="E24" s="12">
        <f t="shared" si="0"/>
        <v>0.48709561930554773</v>
      </c>
    </row>
    <row r="25" spans="1:5" ht="15.95">
      <c r="A25" s="10" t="s">
        <v>167</v>
      </c>
      <c r="B25" s="10">
        <v>6.2</v>
      </c>
      <c r="C25" s="11">
        <v>1.3746649254244276</v>
      </c>
      <c r="D25" s="11">
        <v>4.5101900000000006</v>
      </c>
      <c r="E25" s="12">
        <f t="shared" si="0"/>
        <v>0.85420265151515162</v>
      </c>
    </row>
    <row r="26" spans="1:5" ht="15.95">
      <c r="A26" s="10" t="s">
        <v>156</v>
      </c>
      <c r="B26" s="10">
        <v>49</v>
      </c>
      <c r="C26" s="11">
        <v>7.8501000000000003</v>
      </c>
      <c r="D26" s="11">
        <v>6.2419587011630426</v>
      </c>
      <c r="E26" s="12">
        <f t="shared" si="0"/>
        <v>1.1821891479475459</v>
      </c>
    </row>
    <row r="27" spans="1:5" ht="15.95">
      <c r="A27" s="10" t="s">
        <v>84</v>
      </c>
      <c r="B27" s="10">
        <v>375</v>
      </c>
      <c r="C27" s="11">
        <v>110.505</v>
      </c>
      <c r="D27" s="11">
        <v>3.3935116058096919</v>
      </c>
      <c r="E27" s="12">
        <f t="shared" si="0"/>
        <v>0.64271053140335066</v>
      </c>
    </row>
    <row r="28" spans="1:5" ht="15.95">
      <c r="A28" s="10" t="s">
        <v>105</v>
      </c>
      <c r="B28" s="10">
        <v>10.5</v>
      </c>
      <c r="C28" s="11">
        <v>3.2120000000000002</v>
      </c>
      <c r="D28" s="11">
        <v>3.2689912826899126</v>
      </c>
      <c r="E28" s="12">
        <f t="shared" si="0"/>
        <v>0.61912713687308951</v>
      </c>
    </row>
    <row r="29" spans="1:5" ht="15.95">
      <c r="A29" s="10" t="s">
        <v>89</v>
      </c>
      <c r="B29" s="10">
        <v>134</v>
      </c>
      <c r="C29" s="11">
        <v>50.725000000000001</v>
      </c>
      <c r="D29" s="11">
        <v>2.6416954164613111</v>
      </c>
      <c r="E29" s="12">
        <f t="shared" si="0"/>
        <v>0.50032110160252097</v>
      </c>
    </row>
    <row r="30" spans="1:5" ht="15.95">
      <c r="A30" s="10" t="s">
        <v>104</v>
      </c>
      <c r="B30" s="10">
        <v>10.1</v>
      </c>
      <c r="C30" s="11">
        <v>3.4057499999999998</v>
      </c>
      <c r="D30" s="11">
        <v>2.9655729281362402</v>
      </c>
      <c r="E30" s="12">
        <f t="shared" si="0"/>
        <v>0.56166153941974239</v>
      </c>
    </row>
    <row r="31" spans="1:5" ht="15.95">
      <c r="A31" s="16" t="s">
        <v>59</v>
      </c>
      <c r="B31" s="10">
        <v>130</v>
      </c>
      <c r="C31" s="11">
        <v>56.744999999999997</v>
      </c>
      <c r="D31" s="11">
        <v>2.2909507445589923</v>
      </c>
      <c r="E31" s="12">
        <f t="shared" si="0"/>
        <v>0.43389218646950611</v>
      </c>
    </row>
    <row r="32" spans="1:5" ht="15.95">
      <c r="A32" s="17" t="s">
        <v>69</v>
      </c>
      <c r="B32" s="10">
        <v>12</v>
      </c>
      <c r="C32" s="11">
        <v>3.7503000000000002</v>
      </c>
      <c r="D32" s="11">
        <v>3.1997440204783616</v>
      </c>
      <c r="E32" s="12">
        <f t="shared" si="0"/>
        <v>0.60601212509059876</v>
      </c>
    </row>
    <row r="33" spans="1:5" ht="15.95">
      <c r="A33" s="10" t="s">
        <v>132</v>
      </c>
      <c r="B33" s="10">
        <v>5.8</v>
      </c>
      <c r="C33" s="11">
        <v>1.3225499999999999</v>
      </c>
      <c r="D33" s="11">
        <v>4.3854674681486525</v>
      </c>
      <c r="E33" s="12">
        <f t="shared" si="0"/>
        <v>0.83058095987663871</v>
      </c>
    </row>
    <row r="34" spans="1:5" ht="15.95">
      <c r="A34" s="10" t="s">
        <v>67</v>
      </c>
      <c r="B34" s="10">
        <v>30</v>
      </c>
      <c r="C34" s="11">
        <v>12.258150000000001</v>
      </c>
      <c r="D34" s="11">
        <v>2.4473513539971363</v>
      </c>
      <c r="E34" s="12">
        <f t="shared" si="0"/>
        <v>0.46351351401460911</v>
      </c>
    </row>
    <row r="35" spans="1:5" ht="15.95">
      <c r="A35" s="16" t="s">
        <v>63</v>
      </c>
      <c r="B35" s="10">
        <v>4400</v>
      </c>
      <c r="C35" s="11">
        <v>1069.25</v>
      </c>
      <c r="D35" s="11">
        <v>4.1150339022679452</v>
      </c>
      <c r="E35" s="12">
        <f t="shared" si="0"/>
        <v>0.77936248149014109</v>
      </c>
    </row>
    <row r="36" spans="1:5" ht="15.95">
      <c r="A36" s="10" t="s">
        <v>155</v>
      </c>
      <c r="B36" s="10">
        <v>580</v>
      </c>
      <c r="C36" s="11">
        <v>153.80000000000001</v>
      </c>
      <c r="D36" s="11">
        <v>3.7711313394018204</v>
      </c>
      <c r="E36" s="12">
        <f t="shared" si="0"/>
        <v>0.71422942034125381</v>
      </c>
    </row>
    <row r="37" spans="1:5" ht="15.95">
      <c r="A37" s="10" t="s">
        <v>186</v>
      </c>
      <c r="B37" s="10">
        <v>49.1</v>
      </c>
      <c r="C37" s="11">
        <v>8.0188000000000006</v>
      </c>
      <c r="D37" s="11">
        <v>6.1231106898787848</v>
      </c>
      <c r="E37" s="12">
        <f t="shared" si="0"/>
        <v>1.1596800549012849</v>
      </c>
    </row>
    <row r="38" spans="1:5" ht="15.95">
      <c r="A38" s="10" t="s">
        <v>147</v>
      </c>
      <c r="B38" s="10">
        <v>6.5</v>
      </c>
      <c r="C38" s="11">
        <v>0.96084999999999998</v>
      </c>
      <c r="D38" s="11">
        <v>6.7648436280376751</v>
      </c>
      <c r="E38" s="12">
        <f t="shared" si="0"/>
        <v>1.2812203840980445</v>
      </c>
    </row>
    <row r="39" spans="1:5" ht="15.95">
      <c r="A39" s="10" t="s">
        <v>152</v>
      </c>
      <c r="B39" s="10">
        <v>69</v>
      </c>
      <c r="C39" s="11">
        <v>29.553000000000001</v>
      </c>
      <c r="D39" s="11">
        <v>2.3347883463607757</v>
      </c>
      <c r="E39" s="12">
        <f t="shared" si="0"/>
        <v>0.44219476256832874</v>
      </c>
    </row>
    <row r="40" spans="1:5" ht="15.95">
      <c r="A40" s="10" t="s">
        <v>90</v>
      </c>
      <c r="B40" s="10">
        <v>119</v>
      </c>
      <c r="C40" s="11">
        <v>31.95</v>
      </c>
      <c r="D40" s="11">
        <v>3.7245696400625978</v>
      </c>
      <c r="E40" s="12">
        <f t="shared" si="0"/>
        <v>0.70541091667852229</v>
      </c>
    </row>
    <row r="41" spans="1:5" ht="15.95">
      <c r="A41" s="10" t="s">
        <v>62</v>
      </c>
      <c r="B41" s="10">
        <v>10.75</v>
      </c>
      <c r="C41" s="11">
        <v>3.8026</v>
      </c>
      <c r="D41" s="11">
        <v>2.8270130963025299</v>
      </c>
      <c r="E41" s="12">
        <f t="shared" si="0"/>
        <v>0.53541914702699434</v>
      </c>
    </row>
    <row r="42" spans="1:5" ht="15.95">
      <c r="A42" s="10" t="s">
        <v>1029</v>
      </c>
      <c r="B42" s="10">
        <v>14</v>
      </c>
      <c r="C42" s="11">
        <v>3.673</v>
      </c>
      <c r="D42" s="11">
        <v>3.8115981486523278</v>
      </c>
      <c r="E42" s="12">
        <f t="shared" si="0"/>
        <v>0.7218935887599105</v>
      </c>
    </row>
    <row r="43" spans="1:5" ht="15.95">
      <c r="A43" s="10" t="s">
        <v>103</v>
      </c>
      <c r="B43" s="10">
        <v>47</v>
      </c>
      <c r="C43" s="11">
        <v>28.715</v>
      </c>
      <c r="D43" s="11">
        <v>1.6367752045969006</v>
      </c>
      <c r="E43" s="12">
        <f t="shared" si="0"/>
        <v>0.30999530390092811</v>
      </c>
    </row>
    <row r="44" spans="1:5" ht="15.95">
      <c r="A44" s="10" t="s">
        <v>56</v>
      </c>
      <c r="B44" s="10">
        <v>5.28</v>
      </c>
      <c r="C44" s="11">
        <v>1</v>
      </c>
      <c r="D44" s="11">
        <v>5.28</v>
      </c>
      <c r="E44" s="12">
        <f t="shared" si="0"/>
        <v>1</v>
      </c>
    </row>
    <row r="45" spans="1:5" ht="15.95">
      <c r="A45" s="10" t="s">
        <v>195</v>
      </c>
      <c r="B45" s="10">
        <v>140</v>
      </c>
      <c r="C45" s="11">
        <v>28.58</v>
      </c>
      <c r="D45" s="11">
        <v>4.8985304408677397</v>
      </c>
      <c r="E45" s="12">
        <f t="shared" si="0"/>
        <v>0.92775197743707183</v>
      </c>
    </row>
    <row r="46" spans="1:5" ht="15.95">
      <c r="A46" s="10" t="s">
        <v>86</v>
      </c>
      <c r="B46" s="10">
        <v>65000</v>
      </c>
      <c r="C46" s="11">
        <v>22711.5</v>
      </c>
      <c r="D46" s="11">
        <v>2.8619862184355944</v>
      </c>
      <c r="E46" s="12">
        <f t="shared" si="0"/>
        <v>0.54204284440068073</v>
      </c>
    </row>
    <row r="47" spans="1:5" ht="15.95">
      <c r="A47" s="15" t="s">
        <v>172</v>
      </c>
      <c r="B47" s="10">
        <v>3.4</v>
      </c>
      <c r="C47" s="11">
        <v>0.81682662854809063</v>
      </c>
      <c r="D47" s="11">
        <v>4.1624499999999998</v>
      </c>
      <c r="E47" s="12">
        <f t="shared" si="0"/>
        <v>0.78834280303030291</v>
      </c>
    </row>
    <row r="48" spans="1:5" ht="15.95">
      <c r="A48" s="15" t="s">
        <v>197</v>
      </c>
      <c r="B48" s="10">
        <v>4.0999999999999996</v>
      </c>
      <c r="C48" s="11">
        <v>0.81682662854809063</v>
      </c>
      <c r="D48" s="11">
        <v>5.019425</v>
      </c>
      <c r="E48" s="12">
        <f t="shared" si="0"/>
        <v>0.95064867424242416</v>
      </c>
    </row>
    <row r="49" spans="1:5" ht="15.95">
      <c r="A49" s="15" t="s">
        <v>205</v>
      </c>
      <c r="B49" s="10">
        <v>3.15</v>
      </c>
      <c r="C49" s="11">
        <v>0.81682662854809063</v>
      </c>
      <c r="D49" s="11">
        <v>3.8563875000000003</v>
      </c>
      <c r="E49" s="12">
        <f t="shared" si="0"/>
        <v>0.73037642045454543</v>
      </c>
    </row>
    <row r="50" spans="1:5" ht="15.95">
      <c r="A50" s="15" t="s">
        <v>209</v>
      </c>
      <c r="B50" s="10">
        <v>4.5599999999999996</v>
      </c>
      <c r="C50" s="11">
        <v>0.81682662854809063</v>
      </c>
      <c r="D50" s="11">
        <v>5.5825800000000001</v>
      </c>
      <c r="E50" s="12">
        <f t="shared" si="0"/>
        <v>1.0573068181818182</v>
      </c>
    </row>
    <row r="51" spans="1:5" ht="15.95">
      <c r="A51" s="15" t="s">
        <v>93</v>
      </c>
      <c r="B51" s="10">
        <v>4.2</v>
      </c>
      <c r="C51" s="11">
        <v>0.81682662854809063</v>
      </c>
      <c r="D51" s="11">
        <v>5.1418500000000007</v>
      </c>
      <c r="E51" s="12">
        <f t="shared" si="0"/>
        <v>0.97383522727272731</v>
      </c>
    </row>
    <row r="52" spans="1:5" ht="15.95">
      <c r="A52" s="15" t="s">
        <v>88</v>
      </c>
      <c r="B52" s="10">
        <v>3.9</v>
      </c>
      <c r="C52" s="11">
        <v>0.81682662854809063</v>
      </c>
      <c r="D52" s="11">
        <v>4.7745750000000005</v>
      </c>
      <c r="E52" s="12">
        <f t="shared" si="0"/>
        <v>0.9042755681818182</v>
      </c>
    </row>
    <row r="53" spans="1:5" ht="15.95">
      <c r="A53" s="15" t="s">
        <v>261</v>
      </c>
      <c r="B53" s="10">
        <v>3.35</v>
      </c>
      <c r="C53" s="11">
        <v>0.81682662854809063</v>
      </c>
      <c r="D53" s="11">
        <v>4.1012374999999999</v>
      </c>
      <c r="E53" s="12">
        <f t="shared" si="0"/>
        <v>0.7767495265151515</v>
      </c>
    </row>
    <row r="54" spans="1:5" ht="15.95">
      <c r="A54" s="15" t="s">
        <v>181</v>
      </c>
      <c r="B54" s="10">
        <v>4.07</v>
      </c>
      <c r="C54" s="11">
        <v>0.81682662854809063</v>
      </c>
      <c r="D54" s="11">
        <v>4.9826975000000004</v>
      </c>
      <c r="E54" s="12">
        <f t="shared" si="0"/>
        <v>0.94369270833333341</v>
      </c>
    </row>
    <row r="55" spans="1:5" ht="15.95">
      <c r="A55" s="15" t="s">
        <v>96</v>
      </c>
      <c r="B55" s="10">
        <v>4.2</v>
      </c>
      <c r="C55" s="11">
        <v>0.81682662854809063</v>
      </c>
      <c r="D55" s="11">
        <v>5.1418500000000007</v>
      </c>
      <c r="E55" s="12">
        <f t="shared" si="0"/>
        <v>0.97383522727272731</v>
      </c>
    </row>
    <row r="56" spans="1:5" ht="15.95">
      <c r="A56" s="15" t="s">
        <v>170</v>
      </c>
      <c r="B56" s="10">
        <v>3.71</v>
      </c>
      <c r="C56" s="11">
        <v>0.81682662854809063</v>
      </c>
      <c r="D56" s="11">
        <v>4.5419675000000002</v>
      </c>
      <c r="E56" s="12">
        <f t="shared" si="0"/>
        <v>0.86022111742424245</v>
      </c>
    </row>
    <row r="57" spans="1:5" ht="15.95">
      <c r="A57" s="15" t="s">
        <v>219</v>
      </c>
      <c r="B57" s="10">
        <v>3.2</v>
      </c>
      <c r="C57" s="11">
        <v>0.81682662854809063</v>
      </c>
      <c r="D57" s="11">
        <v>3.9176000000000002</v>
      </c>
      <c r="E57" s="12">
        <f t="shared" si="0"/>
        <v>0.74196969696969695</v>
      </c>
    </row>
    <row r="58" spans="1:5" ht="15.95">
      <c r="A58" s="15" t="s">
        <v>98</v>
      </c>
      <c r="B58" s="10">
        <v>3.95</v>
      </c>
      <c r="C58" s="11">
        <v>0.81682662854809063</v>
      </c>
      <c r="D58" s="11">
        <v>4.8357875000000003</v>
      </c>
      <c r="E58" s="12">
        <f t="shared" si="0"/>
        <v>0.91586884469696972</v>
      </c>
    </row>
    <row r="60" spans="1:5">
      <c r="A60" s="10" t="s">
        <v>1030</v>
      </c>
      <c r="E60" s="18">
        <f>AVERAGE(E2:E58)</f>
        <v>0.74824271092522299</v>
      </c>
    </row>
  </sheetData>
  <sheetProtection algorithmName="SHA-512" hashValue="PVEC4DEfUWn+8C/Vz24z+HHMi540spYvQl33RfRzGloIqAZVwG9FddoLo6M2ureiMDKM/fT93w+e1BF111n2YA==" saltValue="vXoM+Co8ldXnkpp9RM+2xw=="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46"/>
  <sheetViews>
    <sheetView workbookViewId="0">
      <selection activeCell="C45" sqref="C6:C45"/>
    </sheetView>
  </sheetViews>
  <sheetFormatPr defaultColWidth="11" defaultRowHeight="15.95"/>
  <cols>
    <col min="2" max="2" width="17.375" customWidth="1"/>
    <col min="3" max="7" width="19.5" customWidth="1"/>
    <col min="8" max="8" width="17.375" customWidth="1"/>
    <col min="9" max="9" width="16.625" bestFit="1" customWidth="1"/>
  </cols>
  <sheetData>
    <row r="1" spans="1:8">
      <c r="A1" t="s">
        <v>1031</v>
      </c>
    </row>
    <row r="4" spans="1:8">
      <c r="B4" s="1" t="s">
        <v>1032</v>
      </c>
      <c r="C4" s="1" t="s">
        <v>1033</v>
      </c>
    </row>
    <row r="5" spans="1:8">
      <c r="B5" s="1" t="s">
        <v>1034</v>
      </c>
      <c r="C5" t="s">
        <v>1035</v>
      </c>
      <c r="D5" t="s">
        <v>1036</v>
      </c>
      <c r="E5" t="s">
        <v>1037</v>
      </c>
      <c r="F5" t="s">
        <v>1038</v>
      </c>
      <c r="G5" t="s">
        <v>1039</v>
      </c>
      <c r="H5" t="s">
        <v>1040</v>
      </c>
    </row>
    <row r="6" spans="1:8">
      <c r="B6" s="2" t="s">
        <v>1041</v>
      </c>
      <c r="C6" s="3">
        <v>6.5446748695152129E-2</v>
      </c>
      <c r="D6" s="3">
        <v>6.4478705029490657E-2</v>
      </c>
      <c r="E6" s="3">
        <v>0.11100848530808864</v>
      </c>
      <c r="F6" s="3">
        <v>0.49138470465869705</v>
      </c>
      <c r="G6" s="3">
        <v>0.26768135630857154</v>
      </c>
      <c r="H6" s="3">
        <v>1</v>
      </c>
    </row>
    <row r="7" spans="1:8">
      <c r="B7" s="2" t="s">
        <v>1042</v>
      </c>
      <c r="C7" s="3">
        <v>6.9501835000725279E-2</v>
      </c>
      <c r="D7" s="3">
        <v>6.5515632050390418E-2</v>
      </c>
      <c r="E7" s="3">
        <v>0.13461526333020093</v>
      </c>
      <c r="F7" s="3">
        <v>0.4676955590173042</v>
      </c>
      <c r="G7" s="3">
        <v>0.26267171060137912</v>
      </c>
      <c r="H7" s="3">
        <v>1</v>
      </c>
    </row>
    <row r="8" spans="1:8">
      <c r="B8" s="2" t="s">
        <v>1043</v>
      </c>
      <c r="C8" s="3">
        <v>8.5413358364681335E-2</v>
      </c>
      <c r="D8" s="3">
        <v>7.6771897136216169E-2</v>
      </c>
      <c r="E8" s="3">
        <v>0.15722415525081929</v>
      </c>
      <c r="F8" s="3">
        <v>0.334956842097834</v>
      </c>
      <c r="G8" s="3">
        <v>0.3456337471504492</v>
      </c>
      <c r="H8" s="3">
        <v>1</v>
      </c>
    </row>
    <row r="9" spans="1:8">
      <c r="B9" s="2" t="s">
        <v>1044</v>
      </c>
      <c r="C9" s="3">
        <v>6.8264443780054002E-2</v>
      </c>
      <c r="D9" s="3">
        <v>8.1551943273797584E-2</v>
      </c>
      <c r="E9" s="3">
        <v>0.12598692242968496</v>
      </c>
      <c r="F9" s="3">
        <v>0.51269572783290851</v>
      </c>
      <c r="G9" s="3">
        <v>0.21150096268355492</v>
      </c>
      <c r="H9" s="3">
        <v>1</v>
      </c>
    </row>
    <row r="10" spans="1:8">
      <c r="B10" s="2" t="s">
        <v>1045</v>
      </c>
      <c r="C10" s="3">
        <v>0.12138182850804573</v>
      </c>
      <c r="D10" s="3">
        <v>0</v>
      </c>
      <c r="E10" s="3">
        <v>0.11566637436090116</v>
      </c>
      <c r="F10" s="3">
        <v>0.48319342759400064</v>
      </c>
      <c r="G10" s="3">
        <v>0.27975836953705246</v>
      </c>
      <c r="H10" s="3">
        <v>1</v>
      </c>
    </row>
    <row r="11" spans="1:8">
      <c r="B11" s="2" t="s">
        <v>1046</v>
      </c>
      <c r="C11" s="3">
        <v>6.5031864254950181E-2</v>
      </c>
      <c r="D11" s="3">
        <v>0.11496108169053353</v>
      </c>
      <c r="E11" s="3">
        <v>0.14208079118998285</v>
      </c>
      <c r="F11" s="3">
        <v>0.35977356033233437</v>
      </c>
      <c r="G11" s="3">
        <v>0.31815270253219907</v>
      </c>
      <c r="H11" s="3">
        <v>1</v>
      </c>
    </row>
    <row r="12" spans="1:8">
      <c r="B12" s="2" t="s">
        <v>1047</v>
      </c>
      <c r="C12" s="3">
        <v>0.28994687288465876</v>
      </c>
      <c r="D12" s="3">
        <v>0.15527476359459294</v>
      </c>
      <c r="E12" s="3">
        <v>0.17524153350700497</v>
      </c>
      <c r="F12" s="3">
        <v>0.14651186642325287</v>
      </c>
      <c r="G12" s="3">
        <v>0.23302496359049046</v>
      </c>
      <c r="H12" s="3">
        <v>1</v>
      </c>
    </row>
    <row r="13" spans="1:8">
      <c r="B13" s="2" t="s">
        <v>1048</v>
      </c>
      <c r="C13" s="3">
        <v>6.1484348434410273E-2</v>
      </c>
      <c r="D13" s="3">
        <v>5.5636648534643854E-2</v>
      </c>
      <c r="E13" s="3">
        <v>0.10647068016687131</v>
      </c>
      <c r="F13" s="3">
        <v>0.47910557857506902</v>
      </c>
      <c r="G13" s="3">
        <v>0.29730274428900555</v>
      </c>
      <c r="H13" s="3">
        <v>1</v>
      </c>
    </row>
    <row r="14" spans="1:8">
      <c r="B14" s="2" t="s">
        <v>1049</v>
      </c>
      <c r="C14" s="3">
        <v>5.155811083675433E-2</v>
      </c>
      <c r="D14" s="3">
        <v>7.6877570817749583E-2</v>
      </c>
      <c r="E14" s="3">
        <v>7.7019245530769498E-2</v>
      </c>
      <c r="F14" s="3">
        <v>0.54406010556010143</v>
      </c>
      <c r="G14" s="3">
        <v>0.25048496725462516</v>
      </c>
      <c r="H14" s="3">
        <v>1</v>
      </c>
    </row>
    <row r="15" spans="1:8">
      <c r="B15" s="2" t="s">
        <v>1050</v>
      </c>
      <c r="C15" s="3">
        <v>6.5316403613196461E-2</v>
      </c>
      <c r="D15" s="3">
        <v>6.8997541515299271E-2</v>
      </c>
      <c r="E15" s="3">
        <v>0.12420765483401934</v>
      </c>
      <c r="F15" s="3">
        <v>0.46824176612621005</v>
      </c>
      <c r="G15" s="3">
        <v>0.2732366339112749</v>
      </c>
      <c r="H15" s="3">
        <v>1</v>
      </c>
    </row>
    <row r="16" spans="1:8">
      <c r="B16" s="2" t="s">
        <v>1051</v>
      </c>
      <c r="C16" s="3">
        <v>0.15611716121320129</v>
      </c>
      <c r="D16" s="3">
        <v>0.11261830337479266</v>
      </c>
      <c r="E16" s="3">
        <v>0.18129523102616441</v>
      </c>
      <c r="F16" s="3">
        <v>0.3016569471303725</v>
      </c>
      <c r="G16" s="3">
        <v>0.24831235725546916</v>
      </c>
      <c r="H16" s="3">
        <v>1</v>
      </c>
    </row>
    <row r="17" spans="2:8">
      <c r="B17" s="2" t="s">
        <v>1052</v>
      </c>
      <c r="C17" s="3">
        <v>0.10930575360517096</v>
      </c>
      <c r="D17" s="3">
        <v>8.1438269037009958E-2</v>
      </c>
      <c r="E17" s="3">
        <v>0.15888962898660849</v>
      </c>
      <c r="F17" s="3">
        <v>0.25599298804167736</v>
      </c>
      <c r="G17" s="3">
        <v>0.39437336032953318</v>
      </c>
      <c r="H17" s="3">
        <v>1</v>
      </c>
    </row>
    <row r="18" spans="2:8">
      <c r="B18" s="2" t="s">
        <v>1053</v>
      </c>
      <c r="C18" s="3">
        <v>7.676258864796652E-2</v>
      </c>
      <c r="D18" s="3">
        <v>6.446290679852755E-2</v>
      </c>
      <c r="E18" s="3">
        <v>0.11254938067225748</v>
      </c>
      <c r="F18" s="3">
        <v>0.50420915390232479</v>
      </c>
      <c r="G18" s="3">
        <v>0.24201596997892369</v>
      </c>
      <c r="H18" s="3">
        <v>1</v>
      </c>
    </row>
    <row r="19" spans="2:8">
      <c r="B19" s="2" t="s">
        <v>1054</v>
      </c>
      <c r="C19" s="3">
        <v>0.12219802430846621</v>
      </c>
      <c r="D19" s="3">
        <v>6.9046677280479418E-2</v>
      </c>
      <c r="E19" s="3">
        <v>0.11862503745223445</v>
      </c>
      <c r="F19" s="3">
        <v>0.45998577057814599</v>
      </c>
      <c r="G19" s="3">
        <v>0.23014449038067392</v>
      </c>
      <c r="H19" s="3">
        <v>1</v>
      </c>
    </row>
    <row r="20" spans="2:8">
      <c r="B20" s="2" t="s">
        <v>1055</v>
      </c>
      <c r="C20" s="3">
        <v>9.466804502799496E-2</v>
      </c>
      <c r="D20" s="3">
        <v>7.1392757953254657E-2</v>
      </c>
      <c r="E20" s="3">
        <v>0.12897582675375091</v>
      </c>
      <c r="F20" s="3">
        <v>0.42718793702814684</v>
      </c>
      <c r="G20" s="3">
        <v>0.27777543323685261</v>
      </c>
      <c r="H20" s="3">
        <v>1</v>
      </c>
    </row>
    <row r="21" spans="2:8">
      <c r="B21" s="2" t="s">
        <v>1056</v>
      </c>
      <c r="C21" s="3">
        <v>0.32109492552985147</v>
      </c>
      <c r="D21" s="3">
        <v>7.1652516539589525E-2</v>
      </c>
      <c r="E21" s="3">
        <v>0.1315910303439706</v>
      </c>
      <c r="F21" s="3">
        <v>0.2426818839700032</v>
      </c>
      <c r="G21" s="3">
        <v>0.23297964361658524</v>
      </c>
      <c r="H21" s="3">
        <v>1</v>
      </c>
    </row>
    <row r="22" spans="2:8">
      <c r="B22" s="2" t="s">
        <v>1057</v>
      </c>
      <c r="C22" s="3">
        <v>0.12813881449992853</v>
      </c>
      <c r="D22" s="3">
        <v>8.1306987612744477E-2</v>
      </c>
      <c r="E22" s="3">
        <v>0.12017984629804261</v>
      </c>
      <c r="F22" s="3">
        <v>0.39256898497345655</v>
      </c>
      <c r="G22" s="3">
        <v>0.27780536661582778</v>
      </c>
      <c r="H22" s="3">
        <v>1</v>
      </c>
    </row>
    <row r="23" spans="2:8">
      <c r="B23" s="2" t="s">
        <v>1058</v>
      </c>
      <c r="C23" s="3">
        <v>9.8244215174529581E-2</v>
      </c>
      <c r="D23" s="3">
        <v>6.7173933472489983E-2</v>
      </c>
      <c r="E23" s="3">
        <v>0.10887726402458878</v>
      </c>
      <c r="F23" s="3">
        <v>0.46136599432931907</v>
      </c>
      <c r="G23" s="3">
        <v>0.26433859299907259</v>
      </c>
      <c r="H23" s="3">
        <v>1</v>
      </c>
    </row>
    <row r="24" spans="2:8">
      <c r="B24" s="2" t="s">
        <v>1059</v>
      </c>
      <c r="C24" s="3">
        <v>8.9686055974073559E-2</v>
      </c>
      <c r="D24" s="3">
        <v>6.4672646099647096E-2</v>
      </c>
      <c r="E24" s="3">
        <v>0.11784849187351412</v>
      </c>
      <c r="F24" s="3">
        <v>0.44293308115744384</v>
      </c>
      <c r="G24" s="3">
        <v>0.28485972489532141</v>
      </c>
      <c r="H24" s="3">
        <v>1</v>
      </c>
    </row>
    <row r="25" spans="2:8">
      <c r="B25" s="2" t="s">
        <v>1060</v>
      </c>
      <c r="C25" s="3">
        <v>0.12340522133938706</v>
      </c>
      <c r="D25" s="3">
        <v>9.1486946651532355E-2</v>
      </c>
      <c r="E25" s="3">
        <v>0.17239500567536889</v>
      </c>
      <c r="F25" s="3">
        <v>0.32994324631101024</v>
      </c>
      <c r="G25" s="3">
        <v>0.28276958002270147</v>
      </c>
      <c r="H25" s="3">
        <v>1</v>
      </c>
    </row>
    <row r="26" spans="2:8">
      <c r="B26" s="2" t="s">
        <v>1061</v>
      </c>
      <c r="C26" s="3">
        <v>9.3537646130900362E-2</v>
      </c>
      <c r="D26" s="3">
        <v>7.2586707647582613E-2</v>
      </c>
      <c r="E26" s="3">
        <v>0.12385538692845631</v>
      </c>
      <c r="F26" s="3">
        <v>0.40693254330412332</v>
      </c>
      <c r="G26" s="3">
        <v>0.30308771598893736</v>
      </c>
      <c r="H26" s="3">
        <v>1</v>
      </c>
    </row>
    <row r="27" spans="2:8">
      <c r="B27" s="2" t="s">
        <v>1062</v>
      </c>
      <c r="C27" s="3">
        <v>0.15043641523513238</v>
      </c>
      <c r="D27" s="3">
        <v>0.15122551100377699</v>
      </c>
      <c r="E27" s="3">
        <v>0.1766507190775165</v>
      </c>
      <c r="F27" s="3">
        <v>0.27069675322303083</v>
      </c>
      <c r="G27" s="3">
        <v>0.25099060146054331</v>
      </c>
      <c r="H27" s="3">
        <v>1</v>
      </c>
    </row>
    <row r="28" spans="2:8">
      <c r="B28" s="2" t="s">
        <v>1063</v>
      </c>
      <c r="C28" s="3">
        <v>0.13230721975950807</v>
      </c>
      <c r="D28" s="3">
        <v>0.11094043430257897</v>
      </c>
      <c r="E28" s="3">
        <v>0.18601095627433142</v>
      </c>
      <c r="F28" s="3">
        <v>0.2776048558038664</v>
      </c>
      <c r="G28" s="3">
        <v>0.29313653385971511</v>
      </c>
      <c r="H28" s="3">
        <v>1</v>
      </c>
    </row>
    <row r="29" spans="2:8">
      <c r="B29" s="2" t="s">
        <v>1064</v>
      </c>
      <c r="C29" s="3">
        <v>0.2465016186459382</v>
      </c>
      <c r="D29" s="3">
        <v>0.12203843750631846</v>
      </c>
      <c r="E29" s="3">
        <v>0.17949269547202759</v>
      </c>
      <c r="F29" s="3">
        <v>0.1953969394373665</v>
      </c>
      <c r="G29" s="3">
        <v>0.25657030893834926</v>
      </c>
      <c r="H29" s="3">
        <v>1</v>
      </c>
    </row>
    <row r="30" spans="2:8">
      <c r="B30" s="2" t="s">
        <v>1065</v>
      </c>
      <c r="C30" s="3">
        <v>7.1790595710784152E-2</v>
      </c>
      <c r="D30" s="3">
        <v>7.8213591007192829E-2</v>
      </c>
      <c r="E30" s="3">
        <v>0.15358415938813419</v>
      </c>
      <c r="F30" s="3">
        <v>0.3310492704369925</v>
      </c>
      <c r="G30" s="3">
        <v>0.36536238345689631</v>
      </c>
      <c r="H30" s="3">
        <v>1</v>
      </c>
    </row>
    <row r="31" spans="2:8">
      <c r="B31" s="2" t="s">
        <v>1066</v>
      </c>
      <c r="C31" s="3">
        <v>4.1978997909863931E-2</v>
      </c>
      <c r="D31" s="3">
        <v>3.748814330442958E-2</v>
      </c>
      <c r="E31" s="3">
        <v>8.8457244545920036E-2</v>
      </c>
      <c r="F31" s="3">
        <v>0.63982506652340698</v>
      </c>
      <c r="G31" s="3">
        <v>0.19225054771637945</v>
      </c>
      <c r="H31" s="3">
        <v>1</v>
      </c>
    </row>
    <row r="32" spans="2:8">
      <c r="B32" s="2" t="s">
        <v>1067</v>
      </c>
      <c r="C32" s="3">
        <v>0.12409794048679403</v>
      </c>
      <c r="D32" s="3">
        <v>9.2952360992749311E-2</v>
      </c>
      <c r="E32" s="3">
        <v>0.16840404567476563</v>
      </c>
      <c r="F32" s="3">
        <v>0.23751177529161557</v>
      </c>
      <c r="G32" s="3">
        <v>0.37703387755407547</v>
      </c>
      <c r="H32" s="3">
        <v>1</v>
      </c>
    </row>
    <row r="33" spans="2:8">
      <c r="B33" s="2" t="s">
        <v>1068</v>
      </c>
      <c r="C33" s="3">
        <v>9.4389720852301781E-2</v>
      </c>
      <c r="D33" s="3">
        <v>5.683431555137361E-2</v>
      </c>
      <c r="E33" s="3">
        <v>7.072323996015914E-2</v>
      </c>
      <c r="F33" s="3">
        <v>0.57773876928082835</v>
      </c>
      <c r="G33" s="3">
        <v>0.20031395435533716</v>
      </c>
      <c r="H33" s="3">
        <v>1</v>
      </c>
    </row>
    <row r="34" spans="2:8">
      <c r="B34" s="2" t="s">
        <v>1069</v>
      </c>
      <c r="C34" s="3">
        <v>0.13465992423255735</v>
      </c>
      <c r="D34" s="3">
        <v>8.0048473042532833E-2</v>
      </c>
      <c r="E34" s="3">
        <v>0.1348090430160501</v>
      </c>
      <c r="F34" s="3">
        <v>0.30049322453324878</v>
      </c>
      <c r="G34" s="3">
        <v>0.34998933517561098</v>
      </c>
      <c r="H34" s="3">
        <v>1</v>
      </c>
    </row>
    <row r="35" spans="2:8">
      <c r="B35" s="2" t="s">
        <v>1070</v>
      </c>
      <c r="C35" s="3">
        <v>0.20933551831685784</v>
      </c>
      <c r="D35" s="3">
        <v>0.1551382354495956</v>
      </c>
      <c r="E35" s="3">
        <v>0.1854416662261458</v>
      </c>
      <c r="F35" s="3">
        <v>0</v>
      </c>
      <c r="G35" s="3">
        <v>0.45008458000740076</v>
      </c>
      <c r="H35" s="3">
        <v>1</v>
      </c>
    </row>
    <row r="36" spans="2:8">
      <c r="B36" s="2" t="s">
        <v>1071</v>
      </c>
      <c r="C36" s="3">
        <v>9.9899625937174233E-2</v>
      </c>
      <c r="D36" s="3">
        <v>8.8928533933059023E-2</v>
      </c>
      <c r="E36" s="3">
        <v>0.14945616318958282</v>
      </c>
      <c r="F36" s="3">
        <v>0.33532682892193094</v>
      </c>
      <c r="G36" s="3">
        <v>0.32638884801825302</v>
      </c>
      <c r="H36" s="3">
        <v>1</v>
      </c>
    </row>
    <row r="37" spans="2:8">
      <c r="B37" s="2" t="s">
        <v>1072</v>
      </c>
      <c r="C37" s="3">
        <v>8.8280084627008024E-2</v>
      </c>
      <c r="D37" s="3">
        <v>8.0874952460514654E-2</v>
      </c>
      <c r="E37" s="3">
        <v>0.14429141556583958</v>
      </c>
      <c r="F37" s="3">
        <v>0.40589064654237994</v>
      </c>
      <c r="G37" s="3">
        <v>0.28066290080425782</v>
      </c>
      <c r="H37" s="3">
        <v>1</v>
      </c>
    </row>
    <row r="38" spans="2:8">
      <c r="B38" s="2" t="s">
        <v>1073</v>
      </c>
      <c r="C38" s="3">
        <v>9.2215815727104924E-2</v>
      </c>
      <c r="D38" s="3">
        <v>4.6754899325111461E-2</v>
      </c>
      <c r="E38" s="3">
        <v>9.9199090541878712E-2</v>
      </c>
      <c r="F38" s="3">
        <v>0.45512894122160813</v>
      </c>
      <c r="G38" s="3">
        <v>0.30670125318429675</v>
      </c>
      <c r="H38" s="3">
        <v>1</v>
      </c>
    </row>
    <row r="39" spans="2:8">
      <c r="B39" s="2" t="s">
        <v>1074</v>
      </c>
      <c r="C39" s="3">
        <v>0.15227216199890933</v>
      </c>
      <c r="D39" s="3">
        <v>0.12670145663689744</v>
      </c>
      <c r="E39" s="3">
        <v>0.1986220344717316</v>
      </c>
      <c r="F39" s="3">
        <v>0.20476280408395939</v>
      </c>
      <c r="G39" s="3">
        <v>0.31764154280850221</v>
      </c>
      <c r="H39" s="3">
        <v>1</v>
      </c>
    </row>
    <row r="40" spans="2:8">
      <c r="B40" s="2" t="s">
        <v>1075</v>
      </c>
      <c r="C40" s="3">
        <v>7.559467750711063E-2</v>
      </c>
      <c r="D40" s="3">
        <v>6.1860836779997784E-2</v>
      </c>
      <c r="E40" s="3">
        <v>0.12293267028656066</v>
      </c>
      <c r="F40" s="3">
        <v>0.45300215273336275</v>
      </c>
      <c r="G40" s="3">
        <v>0.28660966269296817</v>
      </c>
      <c r="H40" s="3">
        <v>1</v>
      </c>
    </row>
    <row r="41" spans="2:8">
      <c r="B41" s="2" t="s">
        <v>1076</v>
      </c>
      <c r="C41" s="3">
        <v>5.905263613501939E-2</v>
      </c>
      <c r="D41" s="3">
        <v>6.4204530128825571E-2</v>
      </c>
      <c r="E41" s="3">
        <v>8.8522498527447813E-2</v>
      </c>
      <c r="F41" s="3">
        <v>0.52146131123950945</v>
      </c>
      <c r="G41" s="3">
        <v>0.26675902396919776</v>
      </c>
      <c r="H41" s="3">
        <v>1</v>
      </c>
    </row>
    <row r="42" spans="2:8">
      <c r="B42" s="2" t="s">
        <v>1077</v>
      </c>
      <c r="C42" s="3">
        <v>0.10692675581311858</v>
      </c>
      <c r="D42" s="3">
        <v>6.1298866533307121E-2</v>
      </c>
      <c r="E42" s="3">
        <v>9.4456005105331003E-2</v>
      </c>
      <c r="F42" s="3">
        <v>0.43478322139139058</v>
      </c>
      <c r="G42" s="3">
        <v>0.3025351511568527</v>
      </c>
      <c r="H42" s="3">
        <v>1</v>
      </c>
    </row>
    <row r="43" spans="2:8">
      <c r="B43" s="2" t="s">
        <v>1078</v>
      </c>
      <c r="C43" s="3">
        <v>9.1109997930254635E-2</v>
      </c>
      <c r="D43" s="3">
        <v>6.7403100859245516E-2</v>
      </c>
      <c r="E43" s="3">
        <v>0.1106294555846862</v>
      </c>
      <c r="F43" s="3">
        <v>0.49205846657168489</v>
      </c>
      <c r="G43" s="3">
        <v>0.23879897905412878</v>
      </c>
      <c r="H43" s="3">
        <v>1</v>
      </c>
    </row>
    <row r="44" spans="2:8">
      <c r="B44" s="2" t="s">
        <v>1079</v>
      </c>
      <c r="C44" s="3">
        <v>0.21475197213201117</v>
      </c>
      <c r="D44" s="3">
        <v>0</v>
      </c>
      <c r="E44" s="3">
        <v>0.1643631906866925</v>
      </c>
      <c r="F44" s="3">
        <v>0.34835393008459919</v>
      </c>
      <c r="G44" s="3">
        <v>0.27253090709669714</v>
      </c>
      <c r="H44" s="3">
        <v>1</v>
      </c>
    </row>
    <row r="45" spans="2:8">
      <c r="B45" s="2" t="s">
        <v>1080</v>
      </c>
      <c r="C45" s="3">
        <v>5.3294114338392776E-2</v>
      </c>
      <c r="D45" s="3">
        <v>4.8779864201967289E-2</v>
      </c>
      <c r="E45" s="3">
        <v>8.9615727634430042E-2</v>
      </c>
      <c r="F45" s="3">
        <v>0.61367928750757661</v>
      </c>
      <c r="G45" s="3">
        <v>0.19463100631763325</v>
      </c>
      <c r="H45" s="3">
        <v>1</v>
      </c>
    </row>
    <row r="46" spans="2:8">
      <c r="B46" s="2" t="s">
        <v>1040</v>
      </c>
      <c r="C46" s="3">
        <v>0.10150730178783943</v>
      </c>
      <c r="D46" s="3">
        <v>7.2304510237390152E-2</v>
      </c>
      <c r="E46" s="3">
        <v>0.1243397433545495</v>
      </c>
      <c r="F46" s="3">
        <v>0.45460457251196917</v>
      </c>
      <c r="G46" s="3">
        <v>0.24724387210825174</v>
      </c>
      <c r="H46" s="3">
        <v>1</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Gu</dc:creator>
  <cp:keywords/>
  <dc:description/>
  <cp:lastModifiedBy>John Gu</cp:lastModifiedBy>
  <cp:revision/>
  <dcterms:created xsi:type="dcterms:W3CDTF">2018-06-14T13:09:31Z</dcterms:created>
  <dcterms:modified xsi:type="dcterms:W3CDTF">2025-12-01T23:52:38Z</dcterms:modified>
  <cp:category/>
  <cp:contentStatus/>
</cp:coreProperties>
</file>