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filterPrivacy="1" showInkAnnotation="0" codeName="ThisWorkbook" autoCompressPictures="0"/>
  <xr:revisionPtr revIDLastSave="0" documentId="8_{93EDA2F2-0906-4D7B-B454-3A24A2EB28EB}" xr6:coauthVersionLast="47" xr6:coauthVersionMax="47" xr10:uidLastSave="{00000000-0000-0000-0000-000000000000}"/>
  <workbookProtection workbookAlgorithmName="SHA-512" workbookHashValue="74YIi5uPseZZ7PqZoFn/mCIh8Unf7Vc2BfPU7xbtQUCv9Ezx6sxkEgydHXcAXkTUoJzktfBJiDYtLB4e4IQu8Q==" workbookSaltValue="LaYlAYIjNNUiKRR2Xz3rSg==" workbookSpinCount="100000" lockStructure="1"/>
  <bookViews>
    <workbookView xWindow="900" yWindow="1120" windowWidth="25600" windowHeight="12640" tabRatio="839" xr2:uid="{00000000-000D-0000-FFFF-FFFF00000000}"/>
  </bookViews>
  <sheets>
    <sheet name="Proforma _Summary" sheetId="75" r:id="rId1"/>
    <sheet name="Assumptions &amp; Sensitivity" sheetId="4" r:id="rId2"/>
    <sheet name="Hiring Plan" sheetId="74" r:id="rId3"/>
    <sheet name="P&amp;L" sheetId="1" r:id="rId4"/>
    <sheet name="BS" sheetId="56" r:id="rId5"/>
    <sheet name="CFS" sheetId="57" r:id="rId6"/>
    <sheet name="AOV" sheetId="65" state="hidden" r:id="rId7"/>
    <sheet name="Quarter Effect Worksheet" sheetId="68" state="hidden" r:id="rId8"/>
    <sheet name="Marketshare Assumptions" sheetId="66" state="hidden" r:id="rId9"/>
    <sheet name="WC" sheetId="58" r:id="rId10"/>
    <sheet name="Equity Schedule" sheetId="64" r:id="rId11"/>
    <sheet name="Cap Table" sheetId="59" r:id="rId12"/>
    <sheet name="Operational Costs" sheetId="62" state="hidden" r:id="rId13"/>
    <sheet name="Revenue Assumptions" sheetId="69" state="hidden" r:id="rId14"/>
    <sheet name="AI Training Costs" sheetId="76" state="hidden" r:id="rId15"/>
    <sheet name="Reference" sheetId="72" state="hidden" r:id="rId16"/>
    <sheet name="2017 IS" sheetId="77" state="hidden" r:id="rId17"/>
    <sheet name="U.S. Population" sheetId="71" state="hidden" r:id="rId18"/>
  </sheets>
  <definedNames>
    <definedName name="Discount">'Quarter Effect Worksheet'!$A$36:$A$41</definedName>
    <definedName name="solver_adj" localSheetId="1" hidden="1">'Assumptions &amp; Sensitivity'!#REF!</definedName>
    <definedName name="solver_opt" localSheetId="1" hidden="1">'Assumptions &amp; Sensitivity'!$D$103</definedName>
    <definedName name="solver_typ" localSheetId="1" hidden="1">2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9" i="4" l="1"/>
  <c r="E107" i="4" l="1"/>
  <c r="N93" i="76" l="1"/>
  <c r="AJ17" i="76"/>
  <c r="AJ12" i="76"/>
  <c r="AJ11" i="76"/>
  <c r="AJ10" i="76"/>
  <c r="AF3" i="76"/>
  <c r="AG3" i="76"/>
  <c r="AH3" i="76"/>
  <c r="AI3" i="76"/>
  <c r="AF4" i="76"/>
  <c r="AG4" i="76"/>
  <c r="AH4" i="76"/>
  <c r="AI4" i="76"/>
  <c r="AF5" i="76"/>
  <c r="AG5" i="76"/>
  <c r="AH5" i="76"/>
  <c r="AI5" i="76"/>
  <c r="AF10" i="76"/>
  <c r="AG10" i="76"/>
  <c r="AH10" i="76"/>
  <c r="AI10" i="76"/>
  <c r="AF11" i="76"/>
  <c r="AG11" i="76"/>
  <c r="AH11" i="76"/>
  <c r="AI11" i="76"/>
  <c r="AF12" i="76"/>
  <c r="AG12" i="76"/>
  <c r="AH12" i="76"/>
  <c r="AI12" i="76"/>
  <c r="AF15" i="76"/>
  <c r="AG15" i="76"/>
  <c r="AH15" i="76"/>
  <c r="AI15" i="76"/>
  <c r="AF16" i="76"/>
  <c r="AG16" i="76"/>
  <c r="AH16" i="76"/>
  <c r="AI16" i="76"/>
  <c r="AF41" i="76"/>
  <c r="AG41" i="76"/>
  <c r="AH41" i="76"/>
  <c r="AG42" i="76"/>
  <c r="AH42" i="76"/>
  <c r="AH61" i="76"/>
  <c r="AG62" i="76"/>
  <c r="AH82" i="76"/>
  <c r="AF93" i="76"/>
  <c r="AG93" i="76"/>
  <c r="AG95" i="76" s="1"/>
  <c r="AH93" i="76"/>
  <c r="AH95" i="76" s="1"/>
  <c r="AI93" i="76"/>
  <c r="AI95" i="76" s="1"/>
  <c r="AF94" i="76"/>
  <c r="AG94" i="76"/>
  <c r="AG96" i="76" s="1"/>
  <c r="AG102" i="76" s="1"/>
  <c r="Z70" i="4" s="1"/>
  <c r="AI15" i="56"/>
  <c r="AI14" i="56"/>
  <c r="AF14" i="56"/>
  <c r="AG14" i="56"/>
  <c r="AH14" i="56"/>
  <c r="AD14" i="56"/>
  <c r="AF15" i="56"/>
  <c r="AG15" i="56"/>
  <c r="AH15" i="56"/>
  <c r="AD15" i="56"/>
  <c r="AF6" i="56"/>
  <c r="AG6" i="56"/>
  <c r="AH6" i="56"/>
  <c r="AI6" i="56" s="1"/>
  <c r="AF7" i="56"/>
  <c r="AG7" i="56"/>
  <c r="AH7" i="56"/>
  <c r="AI7" i="56" s="1"/>
  <c r="AC6" i="57"/>
  <c r="AD6" i="57"/>
  <c r="AE6" i="57"/>
  <c r="AF6" i="57"/>
  <c r="AD9" i="57"/>
  <c r="AD8" i="57" s="1"/>
  <c r="AE9" i="57"/>
  <c r="AE8" i="57" s="1"/>
  <c r="AF9" i="57"/>
  <c r="AF8" i="57" s="1"/>
  <c r="J25" i="75"/>
  <c r="J28" i="75"/>
  <c r="L64" i="4"/>
  <c r="M64" i="4" s="1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X56" i="74"/>
  <c r="Y56" i="74"/>
  <c r="Z56" i="74"/>
  <c r="AA56" i="74"/>
  <c r="X57" i="74"/>
  <c r="Y57" i="74"/>
  <c r="Z57" i="74"/>
  <c r="AA57" i="74"/>
  <c r="Y31" i="4"/>
  <c r="Z31" i="4"/>
  <c r="AA31" i="4"/>
  <c r="AB31" i="4"/>
  <c r="Y53" i="4"/>
  <c r="Z53" i="4"/>
  <c r="AA53" i="4"/>
  <c r="AB53" i="4"/>
  <c r="AG6" i="57" l="1"/>
  <c r="AG81" i="76"/>
  <c r="AG61" i="76"/>
  <c r="AF61" i="76"/>
  <c r="AF42" i="76"/>
  <c r="AJ93" i="76"/>
  <c r="AG82" i="76"/>
  <c r="AI42" i="76"/>
  <c r="AJ42" i="76" s="1"/>
  <c r="AH81" i="76"/>
  <c r="AF95" i="76"/>
  <c r="AI41" i="76"/>
  <c r="AJ41" i="76" s="1"/>
  <c r="AH62" i="76"/>
  <c r="AH104" i="76" s="1"/>
  <c r="Z152" i="74" s="1"/>
  <c r="AJ16" i="76"/>
  <c r="AJ15" i="76"/>
  <c r="AJ3" i="76"/>
  <c r="AJ5" i="76"/>
  <c r="AF82" i="76"/>
  <c r="AF81" i="76"/>
  <c r="AJ4" i="76"/>
  <c r="AF62" i="76"/>
  <c r="AG104" i="76"/>
  <c r="Y152" i="74" s="1"/>
  <c r="AI82" i="76"/>
  <c r="AI81" i="76"/>
  <c r="AI62" i="76"/>
  <c r="AI61" i="76"/>
  <c r="AJ61" i="76" s="1"/>
  <c r="AH94" i="76"/>
  <c r="AH96" i="76" s="1"/>
  <c r="AH102" i="76" s="1"/>
  <c r="AA70" i="4" s="1"/>
  <c r="AI94" i="76"/>
  <c r="AI96" i="76" s="1"/>
  <c r="AI102" i="76" s="1"/>
  <c r="AB70" i="4" s="1"/>
  <c r="AH5" i="56"/>
  <c r="AI5" i="56" s="1"/>
  <c r="AG5" i="56"/>
  <c r="AF5" i="56"/>
  <c r="AJ95" i="76" l="1"/>
  <c r="AF96" i="76"/>
  <c r="AJ94" i="76"/>
  <c r="AJ81" i="76"/>
  <c r="AJ82" i="76"/>
  <c r="AF104" i="76"/>
  <c r="X152" i="74" s="1"/>
  <c r="AJ62" i="76"/>
  <c r="AI104" i="76"/>
  <c r="AA152" i="74" s="1"/>
  <c r="AJ104" i="76" l="1"/>
  <c r="AF102" i="76"/>
  <c r="AJ96" i="76"/>
  <c r="AJ102" i="76" s="1"/>
  <c r="F70" i="75" l="1"/>
  <c r="F71" i="75"/>
  <c r="F72" i="75" l="1"/>
  <c r="R81" i="74"/>
  <c r="S36" i="74"/>
  <c r="T36" i="74" s="1"/>
  <c r="U36" i="74" s="1"/>
  <c r="V36" i="74" s="1"/>
  <c r="W36" i="74" s="1"/>
  <c r="P82" i="74"/>
  <c r="I82" i="74"/>
  <c r="H82" i="74"/>
  <c r="G82" i="74"/>
  <c r="F82" i="74"/>
  <c r="E82" i="74"/>
  <c r="D82" i="74"/>
  <c r="P81" i="74"/>
  <c r="O81" i="74"/>
  <c r="N81" i="74"/>
  <c r="L81" i="74"/>
  <c r="I81" i="74"/>
  <c r="H81" i="74"/>
  <c r="G81" i="74"/>
  <c r="F81" i="74"/>
  <c r="E81" i="74"/>
  <c r="D81" i="74"/>
  <c r="V80" i="74"/>
  <c r="O80" i="74"/>
  <c r="I80" i="74"/>
  <c r="H80" i="74"/>
  <c r="G80" i="74"/>
  <c r="F80" i="74"/>
  <c r="E80" i="74"/>
  <c r="D80" i="74"/>
  <c r="J79" i="74"/>
  <c r="I79" i="74"/>
  <c r="H79" i="74"/>
  <c r="G79" i="74"/>
  <c r="F79" i="74"/>
  <c r="E79" i="74"/>
  <c r="D79" i="74"/>
  <c r="L78" i="74"/>
  <c r="K78" i="74"/>
  <c r="J78" i="74"/>
  <c r="I78" i="74"/>
  <c r="H78" i="74"/>
  <c r="G78" i="74"/>
  <c r="F78" i="74"/>
  <c r="E78" i="74"/>
  <c r="D78" i="74"/>
  <c r="L77" i="74"/>
  <c r="I77" i="74"/>
  <c r="H77" i="74"/>
  <c r="E77" i="74"/>
  <c r="D77" i="74"/>
  <c r="V76" i="74"/>
  <c r="R76" i="74"/>
  <c r="N76" i="74"/>
  <c r="L76" i="74"/>
  <c r="K76" i="74"/>
  <c r="J76" i="74"/>
  <c r="I76" i="74"/>
  <c r="H76" i="74"/>
  <c r="G76" i="74"/>
  <c r="F76" i="74"/>
  <c r="E76" i="74"/>
  <c r="D76" i="74"/>
  <c r="I75" i="74"/>
  <c r="H75" i="74"/>
  <c r="G75" i="74"/>
  <c r="F75" i="74"/>
  <c r="E75" i="74"/>
  <c r="D75" i="74"/>
  <c r="T60" i="74"/>
  <c r="P60" i="74"/>
  <c r="G60" i="74"/>
  <c r="F60" i="74"/>
  <c r="E60" i="74"/>
  <c r="D60" i="74"/>
  <c r="N71" i="74"/>
  <c r="L71" i="74"/>
  <c r="K71" i="74"/>
  <c r="J71" i="74"/>
  <c r="I71" i="74"/>
  <c r="H71" i="74"/>
  <c r="G71" i="74"/>
  <c r="F71" i="74"/>
  <c r="E71" i="74"/>
  <c r="D71" i="74"/>
  <c r="D70" i="74"/>
  <c r="R69" i="74"/>
  <c r="D68" i="74"/>
  <c r="D67" i="74"/>
  <c r="D66" i="74"/>
  <c r="D65" i="74"/>
  <c r="D64" i="74"/>
  <c r="R63" i="74"/>
  <c r="D63" i="74"/>
  <c r="L74" i="74"/>
  <c r="K74" i="74"/>
  <c r="J74" i="74"/>
  <c r="I74" i="74"/>
  <c r="H74" i="74"/>
  <c r="E74" i="74"/>
  <c r="D74" i="74"/>
  <c r="D73" i="74"/>
  <c r="E73" i="74"/>
  <c r="F73" i="74"/>
  <c r="G73" i="74"/>
  <c r="H73" i="74"/>
  <c r="I73" i="74"/>
  <c r="M73" i="74"/>
  <c r="S73" i="74"/>
  <c r="D69" i="74"/>
  <c r="C74" i="74"/>
  <c r="N36" i="74"/>
  <c r="O36" i="74" s="1"/>
  <c r="P36" i="74" s="1"/>
  <c r="Q36" i="74" s="1"/>
  <c r="H36" i="74"/>
  <c r="I36" i="74" s="1"/>
  <c r="J36" i="74" s="1"/>
  <c r="K36" i="74" s="1"/>
  <c r="E36" i="74"/>
  <c r="E24" i="74"/>
  <c r="F24" i="74" s="1"/>
  <c r="E22" i="74"/>
  <c r="F22" i="74" s="1"/>
  <c r="G22" i="74" s="1"/>
  <c r="H22" i="74" s="1"/>
  <c r="I22" i="74" s="1"/>
  <c r="J22" i="74" s="1"/>
  <c r="K22" i="74" s="1"/>
  <c r="L22" i="74" s="1"/>
  <c r="M22" i="74" s="1"/>
  <c r="N22" i="74" s="1"/>
  <c r="O22" i="74" s="1"/>
  <c r="P22" i="74" s="1"/>
  <c r="Q22" i="74" s="1"/>
  <c r="Q68" i="74" s="1"/>
  <c r="E21" i="74"/>
  <c r="E67" i="74" s="1"/>
  <c r="E20" i="74"/>
  <c r="E19" i="74"/>
  <c r="E18" i="74"/>
  <c r="F18" i="74" s="1"/>
  <c r="G18" i="74" s="1"/>
  <c r="H18" i="74" s="1"/>
  <c r="E17" i="74"/>
  <c r="F17" i="74" s="1"/>
  <c r="E23" i="74"/>
  <c r="F23" i="74" s="1"/>
  <c r="T23" i="74"/>
  <c r="T69" i="74" s="1"/>
  <c r="P62" i="74"/>
  <c r="P87" i="74"/>
  <c r="T62" i="74"/>
  <c r="R62" i="74"/>
  <c r="M62" i="74"/>
  <c r="J62" i="74"/>
  <c r="I62" i="74"/>
  <c r="H62" i="74"/>
  <c r="G62" i="74"/>
  <c r="F62" i="74"/>
  <c r="E62" i="74"/>
  <c r="T61" i="74"/>
  <c r="N61" i="74"/>
  <c r="M61" i="74"/>
  <c r="L61" i="74"/>
  <c r="K61" i="74"/>
  <c r="J61" i="74"/>
  <c r="E61" i="74"/>
  <c r="D61" i="74"/>
  <c r="D62" i="74"/>
  <c r="U16" i="74"/>
  <c r="V16" i="74" s="1"/>
  <c r="W16" i="74" s="1"/>
  <c r="S16" i="74"/>
  <c r="S62" i="74" s="1"/>
  <c r="Q16" i="74"/>
  <c r="Q62" i="74" s="1"/>
  <c r="N16" i="74"/>
  <c r="O16" i="74" s="1"/>
  <c r="O62" i="74" s="1"/>
  <c r="K16" i="74"/>
  <c r="L16" i="74" s="1"/>
  <c r="L62" i="74" s="1"/>
  <c r="F14" i="74"/>
  <c r="G14" i="74" s="1"/>
  <c r="H14" i="74" s="1"/>
  <c r="I14" i="74" s="1"/>
  <c r="I61" i="74" s="1"/>
  <c r="U14" i="74"/>
  <c r="V14" i="74" s="1"/>
  <c r="W14" i="74" s="1"/>
  <c r="O14" i="74"/>
  <c r="P14" i="74" s="1"/>
  <c r="Q14" i="74" s="1"/>
  <c r="S14" i="74" s="1"/>
  <c r="S61" i="74" s="1"/>
  <c r="I18" i="74" l="1"/>
  <c r="J18" i="74" s="1"/>
  <c r="K18" i="74" s="1"/>
  <c r="L18" i="74" s="1"/>
  <c r="H64" i="74"/>
  <c r="G24" i="74"/>
  <c r="H24" i="74" s="1"/>
  <c r="I24" i="74" s="1"/>
  <c r="J24" i="74" s="1"/>
  <c r="F70" i="74"/>
  <c r="E69" i="74"/>
  <c r="E64" i="74"/>
  <c r="H68" i="74"/>
  <c r="I70" i="74"/>
  <c r="L68" i="74"/>
  <c r="F21" i="74"/>
  <c r="I64" i="74"/>
  <c r="P68" i="74"/>
  <c r="E70" i="74"/>
  <c r="W62" i="74"/>
  <c r="X16" i="74"/>
  <c r="G23" i="74"/>
  <c r="F69" i="74"/>
  <c r="F20" i="74"/>
  <c r="E66" i="74"/>
  <c r="G21" i="74"/>
  <c r="F67" i="74"/>
  <c r="F19" i="74"/>
  <c r="E65" i="74"/>
  <c r="G17" i="74"/>
  <c r="F63" i="74"/>
  <c r="E63" i="74"/>
  <c r="E68" i="74"/>
  <c r="M68" i="74"/>
  <c r="R22" i="74"/>
  <c r="F64" i="74"/>
  <c r="J64" i="74"/>
  <c r="F68" i="74"/>
  <c r="J68" i="74"/>
  <c r="N68" i="74"/>
  <c r="G70" i="74"/>
  <c r="I68" i="74"/>
  <c r="X36" i="74"/>
  <c r="Y36" i="74" s="1"/>
  <c r="Z36" i="74" s="1"/>
  <c r="AA36" i="74" s="1"/>
  <c r="W61" i="74"/>
  <c r="X14" i="74"/>
  <c r="G64" i="74"/>
  <c r="K64" i="74"/>
  <c r="G68" i="74"/>
  <c r="K68" i="74"/>
  <c r="O68" i="74"/>
  <c r="H70" i="74"/>
  <c r="V61" i="74"/>
  <c r="F61" i="74"/>
  <c r="G61" i="74"/>
  <c r="H61" i="74"/>
  <c r="U61" i="74"/>
  <c r="U62" i="74"/>
  <c r="V62" i="74"/>
  <c r="N62" i="74"/>
  <c r="O61" i="74"/>
  <c r="Q61" i="74"/>
  <c r="R61" i="74"/>
  <c r="P61" i="74"/>
  <c r="K62" i="74"/>
  <c r="M8" i="74"/>
  <c r="N8" i="74" s="1"/>
  <c r="O8" i="74" s="1"/>
  <c r="M28" i="74"/>
  <c r="W39" i="74"/>
  <c r="X39" i="74" s="1"/>
  <c r="Y39" i="74" s="1"/>
  <c r="Z39" i="74" s="1"/>
  <c r="AA39" i="74" s="1"/>
  <c r="M10" i="74"/>
  <c r="R46" i="74"/>
  <c r="N27" i="74"/>
  <c r="N73" i="74" s="1"/>
  <c r="M9" i="74"/>
  <c r="N9" i="74" s="1"/>
  <c r="O9" i="74" s="1"/>
  <c r="K24" i="74" l="1"/>
  <c r="J70" i="74"/>
  <c r="M18" i="74"/>
  <c r="L64" i="74"/>
  <c r="Y16" i="74"/>
  <c r="X62" i="74"/>
  <c r="X61" i="74"/>
  <c r="Y14" i="74"/>
  <c r="F65" i="74"/>
  <c r="G19" i="74"/>
  <c r="F66" i="74"/>
  <c r="G20" i="74"/>
  <c r="N28" i="74"/>
  <c r="M74" i="74"/>
  <c r="S22" i="74"/>
  <c r="R68" i="74"/>
  <c r="H17" i="74"/>
  <c r="G63" i="74"/>
  <c r="H21" i="74"/>
  <c r="G67" i="74"/>
  <c r="H23" i="74"/>
  <c r="G69" i="74"/>
  <c r="L58" i="4"/>
  <c r="N18" i="74" l="1"/>
  <c r="M64" i="74"/>
  <c r="L24" i="74"/>
  <c r="K70" i="74"/>
  <c r="H20" i="74"/>
  <c r="G66" i="74"/>
  <c r="Z14" i="74"/>
  <c r="Y61" i="74"/>
  <c r="I23" i="74"/>
  <c r="H69" i="74"/>
  <c r="I17" i="74"/>
  <c r="H63" i="74"/>
  <c r="G65" i="74"/>
  <c r="H19" i="74"/>
  <c r="I21" i="74"/>
  <c r="H67" i="74"/>
  <c r="T22" i="74"/>
  <c r="S68" i="74"/>
  <c r="O28" i="74"/>
  <c r="O74" i="74" s="1"/>
  <c r="N74" i="74"/>
  <c r="Z16" i="74"/>
  <c r="Y62" i="74"/>
  <c r="U47" i="74"/>
  <c r="V47" i="74" s="1"/>
  <c r="W47" i="74" s="1"/>
  <c r="X47" i="74" s="1"/>
  <c r="Y47" i="74" s="1"/>
  <c r="Z47" i="74" s="1"/>
  <c r="AA47" i="74" s="1"/>
  <c r="S17" i="74"/>
  <c r="M24" i="74" l="1"/>
  <c r="L70" i="74"/>
  <c r="O18" i="74"/>
  <c r="N64" i="74"/>
  <c r="I19" i="74"/>
  <c r="H65" i="74"/>
  <c r="J21" i="74"/>
  <c r="I67" i="74"/>
  <c r="J17" i="74"/>
  <c r="I63" i="74"/>
  <c r="AA14" i="74"/>
  <c r="AA61" i="74" s="1"/>
  <c r="Z61" i="74"/>
  <c r="T17" i="74"/>
  <c r="S63" i="74"/>
  <c r="AA16" i="74"/>
  <c r="AA62" i="74" s="1"/>
  <c r="Z62" i="74"/>
  <c r="U22" i="74"/>
  <c r="T68" i="74"/>
  <c r="J23" i="74"/>
  <c r="I69" i="74"/>
  <c r="I20" i="74"/>
  <c r="H66" i="74"/>
  <c r="I25" i="75"/>
  <c r="H25" i="75"/>
  <c r="M85" i="76"/>
  <c r="L85" i="76"/>
  <c r="H85" i="76"/>
  <c r="I85" i="76"/>
  <c r="J85" i="76"/>
  <c r="G85" i="76"/>
  <c r="M65" i="76"/>
  <c r="L65" i="76"/>
  <c r="H65" i="76"/>
  <c r="I65" i="76"/>
  <c r="J65" i="76"/>
  <c r="G65" i="76"/>
  <c r="M45" i="76"/>
  <c r="L45" i="76"/>
  <c r="H45" i="76"/>
  <c r="I45" i="76"/>
  <c r="I107" i="76" s="1"/>
  <c r="F155" i="74" s="1"/>
  <c r="J45" i="76"/>
  <c r="G45" i="76"/>
  <c r="N24" i="76"/>
  <c r="O24" i="76" s="1"/>
  <c r="P24" i="76" s="1"/>
  <c r="Q24" i="76" s="1"/>
  <c r="R24" i="76" s="1"/>
  <c r="S24" i="76" s="1"/>
  <c r="T24" i="76" s="1"/>
  <c r="U24" i="76" s="1"/>
  <c r="V24" i="76" s="1"/>
  <c r="W24" i="76" s="1"/>
  <c r="X24" i="76" s="1"/>
  <c r="Y24" i="76" s="1"/>
  <c r="Z24" i="76" s="1"/>
  <c r="AA24" i="76" s="1"/>
  <c r="AB24" i="76" s="1"/>
  <c r="AC24" i="76" s="1"/>
  <c r="AD24" i="76" s="1"/>
  <c r="G46" i="76"/>
  <c r="N3" i="76"/>
  <c r="P18" i="74" l="1"/>
  <c r="O64" i="74"/>
  <c r="N24" i="74"/>
  <c r="M70" i="74"/>
  <c r="H107" i="76"/>
  <c r="E155" i="74" s="1"/>
  <c r="AE24" i="76"/>
  <c r="AF24" i="76"/>
  <c r="J107" i="76"/>
  <c r="G155" i="74" s="1"/>
  <c r="G107" i="76"/>
  <c r="D155" i="74" s="1"/>
  <c r="L107" i="76"/>
  <c r="H155" i="74" s="1"/>
  <c r="M107" i="76"/>
  <c r="I155" i="74" s="1"/>
  <c r="K23" i="74"/>
  <c r="J69" i="74"/>
  <c r="K21" i="74"/>
  <c r="J67" i="74"/>
  <c r="J20" i="74"/>
  <c r="I66" i="74"/>
  <c r="V22" i="74"/>
  <c r="U68" i="74"/>
  <c r="U17" i="74"/>
  <c r="T63" i="74"/>
  <c r="K17" i="74"/>
  <c r="J63" i="74"/>
  <c r="J19" i="74"/>
  <c r="I65" i="74"/>
  <c r="K45" i="76"/>
  <c r="M86" i="76"/>
  <c r="L86" i="76"/>
  <c r="M84" i="76"/>
  <c r="L84" i="76"/>
  <c r="M83" i="76"/>
  <c r="L83" i="76"/>
  <c r="M82" i="76"/>
  <c r="L82" i="76"/>
  <c r="H82" i="76"/>
  <c r="I82" i="76"/>
  <c r="J82" i="76"/>
  <c r="H83" i="76"/>
  <c r="I83" i="76"/>
  <c r="J83" i="76"/>
  <c r="H84" i="76"/>
  <c r="I84" i="76"/>
  <c r="J84" i="76"/>
  <c r="H86" i="76"/>
  <c r="I86" i="76"/>
  <c r="J86" i="76"/>
  <c r="M66" i="76"/>
  <c r="L66" i="76"/>
  <c r="M64" i="76"/>
  <c r="L64" i="76"/>
  <c r="M63" i="76"/>
  <c r="L63" i="76"/>
  <c r="M62" i="76"/>
  <c r="L62" i="76"/>
  <c r="H62" i="76"/>
  <c r="I62" i="76"/>
  <c r="J62" i="76"/>
  <c r="H63" i="76"/>
  <c r="I63" i="76"/>
  <c r="J63" i="76"/>
  <c r="H64" i="76"/>
  <c r="I64" i="76"/>
  <c r="J64" i="76"/>
  <c r="H66" i="76"/>
  <c r="I66" i="76"/>
  <c r="J66" i="76"/>
  <c r="G66" i="76"/>
  <c r="G86" i="76"/>
  <c r="G84" i="76"/>
  <c r="G83" i="76"/>
  <c r="G82" i="76"/>
  <c r="G64" i="76"/>
  <c r="G63" i="76"/>
  <c r="G62" i="76"/>
  <c r="M46" i="76"/>
  <c r="M108" i="76" s="1"/>
  <c r="I156" i="74" s="1"/>
  <c r="L46" i="76"/>
  <c r="L108" i="76" s="1"/>
  <c r="H156" i="74" s="1"/>
  <c r="M44" i="76"/>
  <c r="M106" i="76" s="1"/>
  <c r="I154" i="74" s="1"/>
  <c r="L44" i="76"/>
  <c r="L106" i="76" s="1"/>
  <c r="H154" i="74" s="1"/>
  <c r="M43" i="76"/>
  <c r="M105" i="76" s="1"/>
  <c r="I153" i="74" s="1"/>
  <c r="L43" i="76"/>
  <c r="L105" i="76" s="1"/>
  <c r="H153" i="74" s="1"/>
  <c r="M42" i="76"/>
  <c r="M104" i="76" s="1"/>
  <c r="I152" i="74" s="1"/>
  <c r="L42" i="76"/>
  <c r="L104" i="76" s="1"/>
  <c r="H152" i="74" s="1"/>
  <c r="H42" i="76"/>
  <c r="H104" i="76" s="1"/>
  <c r="E152" i="74" s="1"/>
  <c r="I42" i="76"/>
  <c r="I104" i="76" s="1"/>
  <c r="F152" i="74" s="1"/>
  <c r="J42" i="76"/>
  <c r="J104" i="76" s="1"/>
  <c r="G152" i="74" s="1"/>
  <c r="H43" i="76"/>
  <c r="H105" i="76" s="1"/>
  <c r="E153" i="74" s="1"/>
  <c r="I43" i="76"/>
  <c r="I105" i="76" s="1"/>
  <c r="F153" i="74" s="1"/>
  <c r="J43" i="76"/>
  <c r="J105" i="76" s="1"/>
  <c r="G153" i="74" s="1"/>
  <c r="H44" i="76"/>
  <c r="H106" i="76" s="1"/>
  <c r="E154" i="74" s="1"/>
  <c r="I44" i="76"/>
  <c r="I106" i="76" s="1"/>
  <c r="F154" i="74" s="1"/>
  <c r="J44" i="76"/>
  <c r="J106" i="76" s="1"/>
  <c r="G154" i="74" s="1"/>
  <c r="H46" i="76"/>
  <c r="H108" i="76" s="1"/>
  <c r="E156" i="74" s="1"/>
  <c r="I46" i="76"/>
  <c r="I108" i="76" s="1"/>
  <c r="F156" i="74" s="1"/>
  <c r="J46" i="76"/>
  <c r="J108" i="76" s="1"/>
  <c r="G156" i="74" s="1"/>
  <c r="G44" i="76"/>
  <c r="G43" i="76"/>
  <c r="G42" i="76"/>
  <c r="N20" i="76"/>
  <c r="O20" i="76" s="1"/>
  <c r="P20" i="76" s="1"/>
  <c r="Q20" i="76" s="1"/>
  <c r="R20" i="76" s="1"/>
  <c r="S20" i="76" s="1"/>
  <c r="T20" i="76" s="1"/>
  <c r="U20" i="76" s="1"/>
  <c r="V20" i="76" s="1"/>
  <c r="W20" i="76" s="1"/>
  <c r="X20" i="76" s="1"/>
  <c r="Y20" i="76" s="1"/>
  <c r="Z20" i="76" s="1"/>
  <c r="AA20" i="76" s="1"/>
  <c r="AB20" i="76" s="1"/>
  <c r="AC20" i="76" s="1"/>
  <c r="AD20" i="76" s="1"/>
  <c r="N21" i="76"/>
  <c r="O21" i="76" s="1"/>
  <c r="N22" i="76"/>
  <c r="N23" i="76"/>
  <c r="O23" i="76" s="1"/>
  <c r="P23" i="76" s="1"/>
  <c r="Q23" i="76" s="1"/>
  <c r="R23" i="76" s="1"/>
  <c r="S23" i="76" s="1"/>
  <c r="T23" i="76" s="1"/>
  <c r="U23" i="76" s="1"/>
  <c r="V23" i="76" s="1"/>
  <c r="W23" i="76" s="1"/>
  <c r="X23" i="76" s="1"/>
  <c r="Y23" i="76" s="1"/>
  <c r="Z23" i="76" s="1"/>
  <c r="AA23" i="76" s="1"/>
  <c r="AB23" i="76" s="1"/>
  <c r="AC23" i="76" s="1"/>
  <c r="AD23" i="76" s="1"/>
  <c r="N25" i="76"/>
  <c r="N26" i="76"/>
  <c r="O26" i="76" s="1"/>
  <c r="P26" i="76" s="1"/>
  <c r="Q26" i="76" s="1"/>
  <c r="R26" i="76" s="1"/>
  <c r="S26" i="76" s="1"/>
  <c r="T26" i="76" s="1"/>
  <c r="U26" i="76" s="1"/>
  <c r="V26" i="76" s="1"/>
  <c r="W26" i="76" s="1"/>
  <c r="X26" i="76" s="1"/>
  <c r="Y26" i="76" s="1"/>
  <c r="Z26" i="76" s="1"/>
  <c r="AA26" i="76" s="1"/>
  <c r="AB26" i="76" s="1"/>
  <c r="AC26" i="76" s="1"/>
  <c r="AD26" i="76" s="1"/>
  <c r="N27" i="76"/>
  <c r="O27" i="76" s="1"/>
  <c r="N19" i="76"/>
  <c r="O19" i="76" s="1"/>
  <c r="P19" i="76" s="1"/>
  <c r="Q19" i="76" s="1"/>
  <c r="R19" i="76" s="1"/>
  <c r="S19" i="76" s="1"/>
  <c r="J143" i="74"/>
  <c r="N43" i="76" l="1"/>
  <c r="O24" i="74"/>
  <c r="N70" i="74"/>
  <c r="Q18" i="74"/>
  <c r="P64" i="74"/>
  <c r="G108" i="76"/>
  <c r="D156" i="74" s="1"/>
  <c r="G106" i="76"/>
  <c r="D154" i="74" s="1"/>
  <c r="AE26" i="76"/>
  <c r="AF26" i="76"/>
  <c r="AG26" i="76" s="1"/>
  <c r="AH26" i="76" s="1"/>
  <c r="AI26" i="76" s="1"/>
  <c r="AJ26" i="76" s="1"/>
  <c r="AG24" i="76"/>
  <c r="AE23" i="76"/>
  <c r="AF23" i="76"/>
  <c r="AG23" i="76" s="1"/>
  <c r="AH23" i="76" s="1"/>
  <c r="AI23" i="76" s="1"/>
  <c r="AJ23" i="76" s="1"/>
  <c r="AE20" i="76"/>
  <c r="AF20" i="76"/>
  <c r="AG20" i="76" s="1"/>
  <c r="AH20" i="76" s="1"/>
  <c r="AI20" i="76" s="1"/>
  <c r="AJ20" i="76" s="1"/>
  <c r="G104" i="76"/>
  <c r="D152" i="74" s="1"/>
  <c r="G105" i="76"/>
  <c r="D153" i="74" s="1"/>
  <c r="L17" i="74"/>
  <c r="K63" i="74"/>
  <c r="W22" i="74"/>
  <c r="V68" i="74"/>
  <c r="K20" i="74"/>
  <c r="J66" i="74"/>
  <c r="L23" i="74"/>
  <c r="K69" i="74"/>
  <c r="K19" i="74"/>
  <c r="J65" i="74"/>
  <c r="V17" i="74"/>
  <c r="U63" i="74"/>
  <c r="L21" i="74"/>
  <c r="K67" i="74"/>
  <c r="N45" i="76"/>
  <c r="L87" i="76"/>
  <c r="K86" i="76"/>
  <c r="G67" i="76"/>
  <c r="K64" i="76"/>
  <c r="O25" i="76"/>
  <c r="P25" i="76" s="1"/>
  <c r="Q25" i="76" s="1"/>
  <c r="R25" i="76" s="1"/>
  <c r="K85" i="76"/>
  <c r="M67" i="76"/>
  <c r="I87" i="76"/>
  <c r="H87" i="76"/>
  <c r="N44" i="76"/>
  <c r="O22" i="76"/>
  <c r="P22" i="76" s="1"/>
  <c r="Q22" i="76" s="1"/>
  <c r="R22" i="76" s="1"/>
  <c r="S22" i="76" s="1"/>
  <c r="T22" i="76" s="1"/>
  <c r="U22" i="76" s="1"/>
  <c r="V22" i="76" s="1"/>
  <c r="W22" i="76" s="1"/>
  <c r="X22" i="76" s="1"/>
  <c r="Y22" i="76" s="1"/>
  <c r="Z22" i="76" s="1"/>
  <c r="AA22" i="76" s="1"/>
  <c r="AB22" i="76" s="1"/>
  <c r="AC22" i="76" s="1"/>
  <c r="AD22" i="76" s="1"/>
  <c r="J67" i="76"/>
  <c r="G87" i="76"/>
  <c r="H67" i="76"/>
  <c r="M87" i="76"/>
  <c r="I67" i="76"/>
  <c r="J87" i="76"/>
  <c r="K83" i="76"/>
  <c r="K84" i="76"/>
  <c r="K65" i="76"/>
  <c r="L67" i="76"/>
  <c r="K66" i="76"/>
  <c r="K63" i="76"/>
  <c r="P27" i="76"/>
  <c r="Q27" i="76" s="1"/>
  <c r="T19" i="76"/>
  <c r="P21" i="76"/>
  <c r="Q21" i="76" s="1"/>
  <c r="R21" i="76" s="1"/>
  <c r="K44" i="76"/>
  <c r="K106" i="76" s="1"/>
  <c r="G47" i="76"/>
  <c r="K46" i="76"/>
  <c r="K43" i="76"/>
  <c r="L66" i="4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L65" i="4"/>
  <c r="M65" i="4" s="1"/>
  <c r="N65" i="4" s="1"/>
  <c r="O65" i="4" s="1"/>
  <c r="P65" i="4" s="1"/>
  <c r="Q65" i="4" s="1"/>
  <c r="R65" i="4" s="1"/>
  <c r="L63" i="4"/>
  <c r="M63" i="4" s="1"/>
  <c r="N63" i="4" s="1"/>
  <c r="O63" i="4" s="1"/>
  <c r="P63" i="4" s="1"/>
  <c r="L62" i="4"/>
  <c r="M62" i="4" s="1"/>
  <c r="N62" i="4" s="1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L61" i="4"/>
  <c r="M61" i="4" s="1"/>
  <c r="N61" i="4" s="1"/>
  <c r="O61" i="4" s="1"/>
  <c r="P61" i="4" s="1"/>
  <c r="L59" i="4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M58" i="4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G83" i="74"/>
  <c r="F83" i="74"/>
  <c r="E83" i="74"/>
  <c r="D83" i="74"/>
  <c r="D86" i="74"/>
  <c r="K97" i="74"/>
  <c r="L97" i="74" s="1"/>
  <c r="M97" i="74" s="1"/>
  <c r="N97" i="74" s="1"/>
  <c r="O97" i="74" s="1"/>
  <c r="P97" i="74" s="1"/>
  <c r="F97" i="74"/>
  <c r="G97" i="74" s="1"/>
  <c r="K96" i="74"/>
  <c r="L96" i="74" s="1"/>
  <c r="M96" i="74" s="1"/>
  <c r="F96" i="74"/>
  <c r="I95" i="74"/>
  <c r="H95" i="74"/>
  <c r="E95" i="74"/>
  <c r="D95" i="74"/>
  <c r="M94" i="74"/>
  <c r="F94" i="74"/>
  <c r="G94" i="74" s="1"/>
  <c r="O93" i="74"/>
  <c r="P93" i="74" s="1"/>
  <c r="P90" i="74" s="1"/>
  <c r="K93" i="74"/>
  <c r="I93" i="74"/>
  <c r="G93" i="74"/>
  <c r="M92" i="74"/>
  <c r="N92" i="74" s="1"/>
  <c r="N90" i="74" s="1"/>
  <c r="L90" i="74"/>
  <c r="F90" i="74"/>
  <c r="E90" i="74"/>
  <c r="D90" i="74"/>
  <c r="O89" i="74"/>
  <c r="P89" i="74" s="1"/>
  <c r="M89" i="74"/>
  <c r="N88" i="74"/>
  <c r="O88" i="74" s="1"/>
  <c r="I88" i="74"/>
  <c r="I86" i="74" s="1"/>
  <c r="M86" i="74"/>
  <c r="L86" i="74"/>
  <c r="H86" i="74"/>
  <c r="G86" i="74"/>
  <c r="F86" i="74"/>
  <c r="E86" i="74"/>
  <c r="L85" i="74"/>
  <c r="M85" i="74" s="1"/>
  <c r="N84" i="74"/>
  <c r="O84" i="74" s="1"/>
  <c r="P84" i="74" s="1"/>
  <c r="L84" i="74"/>
  <c r="L83" i="74" s="1"/>
  <c r="K83" i="74"/>
  <c r="J83" i="74"/>
  <c r="I83" i="74"/>
  <c r="H83" i="74"/>
  <c r="D72" i="74"/>
  <c r="G59" i="74"/>
  <c r="F59" i="74"/>
  <c r="E59" i="74"/>
  <c r="D59" i="74"/>
  <c r="O58" i="74"/>
  <c r="P58" i="74" s="1"/>
  <c r="Q58" i="74" s="1"/>
  <c r="R58" i="74" s="1"/>
  <c r="S58" i="74" s="1"/>
  <c r="T58" i="74" s="1"/>
  <c r="U58" i="74" s="1"/>
  <c r="V58" i="74" s="1"/>
  <c r="W58" i="74" s="1"/>
  <c r="X58" i="74" s="1"/>
  <c r="N58" i="74"/>
  <c r="M58" i="74"/>
  <c r="L58" i="74"/>
  <c r="K58" i="74"/>
  <c r="W57" i="74"/>
  <c r="V57" i="74"/>
  <c r="U57" i="74"/>
  <c r="T57" i="74"/>
  <c r="S57" i="74"/>
  <c r="R57" i="74"/>
  <c r="Q57" i="74"/>
  <c r="P57" i="74"/>
  <c r="O57" i="74"/>
  <c r="N57" i="74"/>
  <c r="M57" i="74"/>
  <c r="L57" i="74"/>
  <c r="K57" i="74"/>
  <c r="J57" i="74"/>
  <c r="I57" i="74"/>
  <c r="H57" i="74"/>
  <c r="W56" i="74"/>
  <c r="V56" i="74"/>
  <c r="U56" i="74"/>
  <c r="T56" i="74"/>
  <c r="T55" i="74" s="1"/>
  <c r="S56" i="74"/>
  <c r="S55" i="74" s="1"/>
  <c r="R56" i="74"/>
  <c r="R55" i="74" s="1"/>
  <c r="Q56" i="74"/>
  <c r="P56" i="74"/>
  <c r="O56" i="74"/>
  <c r="N56" i="74"/>
  <c r="M56" i="74"/>
  <c r="L56" i="74"/>
  <c r="L102" i="74" s="1"/>
  <c r="K56" i="74"/>
  <c r="J56" i="74"/>
  <c r="I56" i="74"/>
  <c r="I55" i="74" s="1"/>
  <c r="H56" i="74"/>
  <c r="H55" i="74" s="1"/>
  <c r="W55" i="74"/>
  <c r="V55" i="74"/>
  <c r="P55" i="74"/>
  <c r="O55" i="74"/>
  <c r="G55" i="74"/>
  <c r="F55" i="74"/>
  <c r="E55" i="74"/>
  <c r="D55" i="74"/>
  <c r="R18" i="74" l="1"/>
  <c r="Q64" i="74"/>
  <c r="O70" i="74"/>
  <c r="P24" i="74"/>
  <c r="K55" i="74"/>
  <c r="K107" i="76"/>
  <c r="K108" i="76"/>
  <c r="M55" i="74"/>
  <c r="AH24" i="76"/>
  <c r="AE22" i="76"/>
  <c r="AF22" i="76"/>
  <c r="K105" i="76"/>
  <c r="M21" i="74"/>
  <c r="L67" i="74"/>
  <c r="X22" i="74"/>
  <c r="W68" i="74"/>
  <c r="M23" i="74"/>
  <c r="L69" i="74"/>
  <c r="N55" i="74"/>
  <c r="J55" i="74"/>
  <c r="J102" i="74"/>
  <c r="W17" i="74"/>
  <c r="V63" i="74"/>
  <c r="Y58" i="74"/>
  <c r="X55" i="74"/>
  <c r="O86" i="74"/>
  <c r="P88" i="74"/>
  <c r="L19" i="74"/>
  <c r="K65" i="74"/>
  <c r="L20" i="74"/>
  <c r="K66" i="74"/>
  <c r="M17" i="74"/>
  <c r="L63" i="74"/>
  <c r="D98" i="74"/>
  <c r="Q55" i="74"/>
  <c r="U55" i="74"/>
  <c r="M90" i="74"/>
  <c r="L55" i="74"/>
  <c r="H72" i="74"/>
  <c r="G90" i="74"/>
  <c r="I72" i="74"/>
  <c r="K87" i="76"/>
  <c r="K67" i="76"/>
  <c r="G101" i="76"/>
  <c r="S21" i="76"/>
  <c r="U19" i="76"/>
  <c r="V19" i="76" s="1"/>
  <c r="S25" i="76"/>
  <c r="R27" i="76"/>
  <c r="S65" i="4"/>
  <c r="T65" i="4" s="1"/>
  <c r="U65" i="4" s="1"/>
  <c r="V65" i="4" s="1"/>
  <c r="W65" i="4" s="1"/>
  <c r="X65" i="4" s="1"/>
  <c r="Y65" i="4" s="1"/>
  <c r="Z65" i="4" s="1"/>
  <c r="AA65" i="4" s="1"/>
  <c r="AB65" i="4" s="1"/>
  <c r="Q61" i="4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Q63" i="4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J95" i="74"/>
  <c r="N96" i="74"/>
  <c r="M95" i="74"/>
  <c r="N85" i="74"/>
  <c r="O85" i="74" s="1"/>
  <c r="M83" i="74"/>
  <c r="N86" i="74"/>
  <c r="F95" i="74"/>
  <c r="G96" i="74"/>
  <c r="G95" i="74" s="1"/>
  <c r="E72" i="74"/>
  <c r="E98" i="74" s="1"/>
  <c r="L95" i="74"/>
  <c r="K95" i="74"/>
  <c r="J88" i="74"/>
  <c r="O90" i="74"/>
  <c r="Q24" i="74" l="1"/>
  <c r="P70" i="74"/>
  <c r="S18" i="74"/>
  <c r="R64" i="74"/>
  <c r="AI24" i="76"/>
  <c r="AJ24" i="76" s="1"/>
  <c r="AG22" i="76"/>
  <c r="AF65" i="76"/>
  <c r="AF45" i="76"/>
  <c r="AF85" i="76"/>
  <c r="O83" i="74"/>
  <c r="P85" i="74"/>
  <c r="P83" i="74" s="1"/>
  <c r="N17" i="74"/>
  <c r="M63" i="74"/>
  <c r="M19" i="74"/>
  <c r="L65" i="74"/>
  <c r="X17" i="74"/>
  <c r="W63" i="74"/>
  <c r="X68" i="74"/>
  <c r="X114" i="74" s="1"/>
  <c r="Y22" i="74"/>
  <c r="Z58" i="74"/>
  <c r="Y55" i="74"/>
  <c r="N83" i="74"/>
  <c r="M20" i="74"/>
  <c r="L66" i="74"/>
  <c r="Q88" i="74"/>
  <c r="R88" i="74" s="1"/>
  <c r="S88" i="74" s="1"/>
  <c r="P86" i="74"/>
  <c r="N23" i="74"/>
  <c r="M69" i="74"/>
  <c r="N21" i="74"/>
  <c r="M67" i="74"/>
  <c r="S27" i="76"/>
  <c r="T21" i="76"/>
  <c r="T25" i="76"/>
  <c r="W19" i="76"/>
  <c r="O96" i="74"/>
  <c r="P96" i="74" s="1"/>
  <c r="P95" i="74" s="1"/>
  <c r="N95" i="74"/>
  <c r="K88" i="74"/>
  <c r="K86" i="74" s="1"/>
  <c r="J86" i="74"/>
  <c r="T18" i="74" l="1"/>
  <c r="S64" i="74"/>
  <c r="R24" i="74"/>
  <c r="Q70" i="74"/>
  <c r="AF107" i="76"/>
  <c r="X155" i="74" s="1"/>
  <c r="AH22" i="76"/>
  <c r="AG65" i="76"/>
  <c r="AG85" i="76"/>
  <c r="AG45" i="76"/>
  <c r="O21" i="74"/>
  <c r="N67" i="74"/>
  <c r="AA58" i="74"/>
  <c r="Z55" i="74"/>
  <c r="N19" i="74"/>
  <c r="M65" i="74"/>
  <c r="N20" i="74"/>
  <c r="M66" i="74"/>
  <c r="Z22" i="74"/>
  <c r="Y68" i="74"/>
  <c r="Y114" i="74" s="1"/>
  <c r="Y17" i="74"/>
  <c r="X63" i="74"/>
  <c r="X109" i="74" s="1"/>
  <c r="O17" i="74"/>
  <c r="N63" i="74"/>
  <c r="O23" i="74"/>
  <c r="N69" i="74"/>
  <c r="U25" i="76"/>
  <c r="V25" i="76" s="1"/>
  <c r="X19" i="76"/>
  <c r="U21" i="76"/>
  <c r="V21" i="76" s="1"/>
  <c r="T27" i="76"/>
  <c r="W87" i="74"/>
  <c r="X87" i="74" s="1"/>
  <c r="O95" i="74"/>
  <c r="S24" i="74" l="1"/>
  <c r="R70" i="74"/>
  <c r="U18" i="74"/>
  <c r="T64" i="74"/>
  <c r="AG107" i="76"/>
  <c r="Y155" i="74" s="1"/>
  <c r="AI22" i="76"/>
  <c r="AJ22" i="76" s="1"/>
  <c r="AH65" i="76"/>
  <c r="AH85" i="76"/>
  <c r="AH45" i="76"/>
  <c r="P23" i="74"/>
  <c r="O69" i="74"/>
  <c r="AA55" i="74"/>
  <c r="Y63" i="74"/>
  <c r="Z17" i="74"/>
  <c r="Y109" i="74"/>
  <c r="AA22" i="74"/>
  <c r="Z68" i="74"/>
  <c r="Z114" i="74" s="1"/>
  <c r="O19" i="74"/>
  <c r="N65" i="74"/>
  <c r="P21" i="74"/>
  <c r="O67" i="74"/>
  <c r="Y87" i="74"/>
  <c r="P17" i="74"/>
  <c r="O63" i="74"/>
  <c r="O20" i="74"/>
  <c r="N66" i="74"/>
  <c r="U27" i="76"/>
  <c r="V27" i="76" s="1"/>
  <c r="W21" i="76"/>
  <c r="Y19" i="76"/>
  <c r="W25" i="76"/>
  <c r="V18" i="74" l="1"/>
  <c r="U64" i="74"/>
  <c r="T24" i="74"/>
  <c r="S70" i="74"/>
  <c r="AH107" i="76"/>
  <c r="Z155" i="74" s="1"/>
  <c r="AI45" i="76"/>
  <c r="AJ45" i="76" s="1"/>
  <c r="AI65" i="76"/>
  <c r="AJ65" i="76" s="1"/>
  <c r="AI85" i="76"/>
  <c r="AJ85" i="76" s="1"/>
  <c r="Q17" i="74"/>
  <c r="Q63" i="74" s="1"/>
  <c r="P63" i="74"/>
  <c r="Z87" i="74"/>
  <c r="Q21" i="74"/>
  <c r="P67" i="74"/>
  <c r="AA68" i="74"/>
  <c r="AA114" i="74"/>
  <c r="AA17" i="74"/>
  <c r="Z63" i="74"/>
  <c r="Z109" i="74" s="1"/>
  <c r="P20" i="74"/>
  <c r="O66" i="74"/>
  <c r="P19" i="74"/>
  <c r="O65" i="74"/>
  <c r="Q23" i="74"/>
  <c r="Q69" i="74" s="1"/>
  <c r="P69" i="74"/>
  <c r="Z19" i="76"/>
  <c r="AA19" i="76" s="1"/>
  <c r="W27" i="76"/>
  <c r="X21" i="76"/>
  <c r="X25" i="76"/>
  <c r="U24" i="74" l="1"/>
  <c r="T70" i="74"/>
  <c r="W18" i="74"/>
  <c r="V64" i="74"/>
  <c r="AJ107" i="76"/>
  <c r="AI107" i="76"/>
  <c r="AA155" i="74" s="1"/>
  <c r="Q20" i="74"/>
  <c r="P66" i="74"/>
  <c r="AA87" i="74"/>
  <c r="Q19" i="74"/>
  <c r="P65" i="74"/>
  <c r="AA63" i="74"/>
  <c r="AA109" i="74" s="1"/>
  <c r="Q67" i="74"/>
  <c r="R21" i="74"/>
  <c r="Y25" i="76"/>
  <c r="Y21" i="76"/>
  <c r="X27" i="76"/>
  <c r="AB19" i="76"/>
  <c r="X18" i="74" l="1"/>
  <c r="W64" i="74"/>
  <c r="V24" i="74"/>
  <c r="U70" i="74"/>
  <c r="S21" i="74"/>
  <c r="R67" i="74"/>
  <c r="R19" i="74"/>
  <c r="Q65" i="74"/>
  <c r="Q66" i="74"/>
  <c r="R20" i="74"/>
  <c r="Y27" i="76"/>
  <c r="Z21" i="76"/>
  <c r="AA21" i="76" s="1"/>
  <c r="Z25" i="76"/>
  <c r="AA25" i="76" s="1"/>
  <c r="AC19" i="76"/>
  <c r="W24" i="74" l="1"/>
  <c r="V70" i="74"/>
  <c r="X64" i="74"/>
  <c r="X110" i="74"/>
  <c r="Y18" i="74"/>
  <c r="T21" i="74"/>
  <c r="S67" i="74"/>
  <c r="S20" i="74"/>
  <c r="R66" i="74"/>
  <c r="S19" i="74"/>
  <c r="R65" i="74"/>
  <c r="AB25" i="76"/>
  <c r="AD19" i="76"/>
  <c r="AF19" i="76" s="1"/>
  <c r="Z27" i="76"/>
  <c r="AA27" i="76" s="1"/>
  <c r="AB21" i="76"/>
  <c r="Z18" i="74" l="1"/>
  <c r="Y64" i="74"/>
  <c r="Y110" i="74"/>
  <c r="X24" i="74"/>
  <c r="W70" i="74"/>
  <c r="AG19" i="76"/>
  <c r="T20" i="74"/>
  <c r="S66" i="74"/>
  <c r="T19" i="74"/>
  <c r="S65" i="74"/>
  <c r="U21" i="74"/>
  <c r="T67" i="74"/>
  <c r="AC21" i="76"/>
  <c r="AB27" i="76"/>
  <c r="AE19" i="76"/>
  <c r="AC25" i="76"/>
  <c r="Y24" i="74" l="1"/>
  <c r="X70" i="74"/>
  <c r="X116" i="74" s="1"/>
  <c r="AA18" i="74"/>
  <c r="AA64" i="74" s="1"/>
  <c r="AA110" i="74" s="1"/>
  <c r="Z64" i="74"/>
  <c r="Z110" i="74" s="1"/>
  <c r="AH19" i="76"/>
  <c r="U19" i="74"/>
  <c r="T65" i="74"/>
  <c r="V21" i="74"/>
  <c r="U67" i="74"/>
  <c r="U20" i="74"/>
  <c r="T66" i="74"/>
  <c r="AD21" i="76"/>
  <c r="AF21" i="76" s="1"/>
  <c r="AD25" i="76"/>
  <c r="AF25" i="76" s="1"/>
  <c r="AC27" i="76"/>
  <c r="Z24" i="74" l="1"/>
  <c r="Y70" i="74"/>
  <c r="Y116" i="74" s="1"/>
  <c r="AF43" i="76"/>
  <c r="AF63" i="76"/>
  <c r="AG25" i="76"/>
  <c r="AF83" i="76"/>
  <c r="AI19" i="76"/>
  <c r="AJ19" i="76" s="1"/>
  <c r="AG21" i="76"/>
  <c r="AF44" i="76"/>
  <c r="AF64" i="76"/>
  <c r="AF84" i="76"/>
  <c r="W21" i="74"/>
  <c r="V67" i="74"/>
  <c r="V20" i="74"/>
  <c r="U66" i="74"/>
  <c r="V19" i="74"/>
  <c r="U65" i="74"/>
  <c r="AD27" i="76"/>
  <c r="AF27" i="76" s="1"/>
  <c r="AE25" i="76"/>
  <c r="AE21" i="76"/>
  <c r="AA24" i="74" l="1"/>
  <c r="Z70" i="74"/>
  <c r="Z116" i="74"/>
  <c r="AF46" i="76"/>
  <c r="AG27" i="76"/>
  <c r="AF86" i="76"/>
  <c r="AF87" i="76" s="1"/>
  <c r="AF66" i="76"/>
  <c r="AG63" i="76"/>
  <c r="AG83" i="76"/>
  <c r="AG43" i="76"/>
  <c r="AH25" i="76"/>
  <c r="AF106" i="76"/>
  <c r="X154" i="74" s="1"/>
  <c r="AH21" i="76"/>
  <c r="AG64" i="76"/>
  <c r="AG84" i="76"/>
  <c r="AG44" i="76"/>
  <c r="AF105" i="76"/>
  <c r="X153" i="74" s="1"/>
  <c r="W20" i="74"/>
  <c r="V66" i="74"/>
  <c r="W19" i="74"/>
  <c r="V65" i="74"/>
  <c r="X21" i="74"/>
  <c r="W67" i="74"/>
  <c r="AE27" i="76"/>
  <c r="AA70" i="74" l="1"/>
  <c r="AA116" i="74"/>
  <c r="AF67" i="76"/>
  <c r="AF47" i="76"/>
  <c r="AF101" i="76" s="1"/>
  <c r="AH63" i="76"/>
  <c r="AH83" i="76"/>
  <c r="AH43" i="76"/>
  <c r="AI25" i="76"/>
  <c r="AJ25" i="76" s="1"/>
  <c r="AI21" i="76"/>
  <c r="AJ21" i="76" s="1"/>
  <c r="AH64" i="76"/>
  <c r="AH84" i="76"/>
  <c r="AH44" i="76"/>
  <c r="AG105" i="76"/>
  <c r="Y153" i="74" s="1"/>
  <c r="AG106" i="76"/>
  <c r="Y154" i="74" s="1"/>
  <c r="AG66" i="76"/>
  <c r="AG86" i="76"/>
  <c r="AG87" i="76" s="1"/>
  <c r="AG46" i="76"/>
  <c r="AG108" i="76" s="1"/>
  <c r="Y156" i="74" s="1"/>
  <c r="AH27" i="76"/>
  <c r="AG67" i="76"/>
  <c r="AF108" i="76"/>
  <c r="X156" i="74" s="1"/>
  <c r="X19" i="74"/>
  <c r="W65" i="74"/>
  <c r="Y21" i="74"/>
  <c r="X67" i="74"/>
  <c r="X113" i="74" s="1"/>
  <c r="X20" i="74"/>
  <c r="W66" i="74"/>
  <c r="O3" i="76"/>
  <c r="O45" i="76" s="1"/>
  <c r="O4" i="76"/>
  <c r="O65" i="76" s="1"/>
  <c r="O5" i="76"/>
  <c r="O85" i="76" s="1"/>
  <c r="N5" i="76"/>
  <c r="N85" i="76" s="1"/>
  <c r="N4" i="76"/>
  <c r="N65" i="76" s="1"/>
  <c r="N107" i="76" s="1"/>
  <c r="J155" i="74" s="1"/>
  <c r="P85" i="76" l="1"/>
  <c r="AH105" i="76"/>
  <c r="Z153" i="74" s="1"/>
  <c r="AI43" i="76"/>
  <c r="AJ43" i="76" s="1"/>
  <c r="AI83" i="76"/>
  <c r="AJ83" i="76" s="1"/>
  <c r="AI63" i="76"/>
  <c r="AJ63" i="76" s="1"/>
  <c r="AG47" i="76"/>
  <c r="AI44" i="76"/>
  <c r="AJ44" i="76" s="1"/>
  <c r="AI64" i="76"/>
  <c r="AJ64" i="76" s="1"/>
  <c r="AI84" i="76"/>
  <c r="AJ84" i="76" s="1"/>
  <c r="AH66" i="76"/>
  <c r="AH86" i="76"/>
  <c r="AH87" i="76" s="1"/>
  <c r="AI27" i="76"/>
  <c r="AJ27" i="76" s="1"/>
  <c r="AH46" i="76"/>
  <c r="AH106" i="76"/>
  <c r="Z154" i="74" s="1"/>
  <c r="AH67" i="76"/>
  <c r="P45" i="76"/>
  <c r="O107" i="76"/>
  <c r="K155" i="74" s="1"/>
  <c r="Z21" i="74"/>
  <c r="Y67" i="74"/>
  <c r="Y113" i="74" s="1"/>
  <c r="Y20" i="74"/>
  <c r="X66" i="74"/>
  <c r="X112" i="74" s="1"/>
  <c r="Y19" i="74"/>
  <c r="X65" i="74"/>
  <c r="X111" i="74" s="1"/>
  <c r="P65" i="76"/>
  <c r="N64" i="76"/>
  <c r="N63" i="76"/>
  <c r="O44" i="76"/>
  <c r="O43" i="76"/>
  <c r="N84" i="76"/>
  <c r="N83" i="76"/>
  <c r="O84" i="76"/>
  <c r="O83" i="76"/>
  <c r="O64" i="76"/>
  <c r="O63" i="76"/>
  <c r="G107" i="74"/>
  <c r="H107" i="74"/>
  <c r="AJ106" i="76" l="1"/>
  <c r="AJ105" i="76"/>
  <c r="AG101" i="76"/>
  <c r="AI106" i="76"/>
  <c r="AA154" i="74" s="1"/>
  <c r="AI105" i="76"/>
  <c r="AA153" i="74" s="1"/>
  <c r="AH108" i="76"/>
  <c r="Z156" i="74" s="1"/>
  <c r="AH47" i="76"/>
  <c r="AH101" i="76" s="1"/>
  <c r="AI46" i="76"/>
  <c r="AJ46" i="76" s="1"/>
  <c r="AI66" i="76"/>
  <c r="AI67" i="76" s="1"/>
  <c r="AJ67" i="76" s="1"/>
  <c r="AI86" i="76"/>
  <c r="AI87" i="76" s="1"/>
  <c r="AJ87" i="76" s="1"/>
  <c r="N106" i="76"/>
  <c r="J154" i="74" s="1"/>
  <c r="O105" i="76"/>
  <c r="K153" i="74" s="1"/>
  <c r="P44" i="76"/>
  <c r="O106" i="76"/>
  <c r="K154" i="74" s="1"/>
  <c r="N105" i="76"/>
  <c r="J153" i="74" s="1"/>
  <c r="P107" i="76"/>
  <c r="Y65" i="74"/>
  <c r="Y111" i="74"/>
  <c r="Z19" i="74"/>
  <c r="AA21" i="74"/>
  <c r="Z67" i="74"/>
  <c r="Z113" i="74" s="1"/>
  <c r="Z20" i="74"/>
  <c r="Y66" i="74"/>
  <c r="Y112" i="74" s="1"/>
  <c r="P63" i="76"/>
  <c r="P84" i="76"/>
  <c r="P83" i="76"/>
  <c r="P43" i="76"/>
  <c r="P64" i="76"/>
  <c r="N65" i="77"/>
  <c r="M65" i="77"/>
  <c r="L65" i="77"/>
  <c r="K65" i="77"/>
  <c r="J65" i="77"/>
  <c r="I65" i="77"/>
  <c r="H65" i="77"/>
  <c r="G65" i="77"/>
  <c r="F65" i="77"/>
  <c r="E65" i="77"/>
  <c r="D65" i="77"/>
  <c r="C65" i="77"/>
  <c r="N63" i="77"/>
  <c r="M63" i="77"/>
  <c r="L63" i="77"/>
  <c r="K63" i="77"/>
  <c r="J63" i="77"/>
  <c r="I63" i="77"/>
  <c r="H63" i="77"/>
  <c r="G63" i="77"/>
  <c r="F63" i="77"/>
  <c r="E63" i="77"/>
  <c r="D63" i="77"/>
  <c r="C63" i="77"/>
  <c r="N59" i="77"/>
  <c r="M59" i="77"/>
  <c r="L59" i="77"/>
  <c r="K59" i="77"/>
  <c r="J59" i="77"/>
  <c r="I59" i="77"/>
  <c r="H59" i="77"/>
  <c r="G59" i="77"/>
  <c r="F59" i="77"/>
  <c r="E59" i="77"/>
  <c r="D59" i="77"/>
  <c r="C59" i="77"/>
  <c r="N48" i="77"/>
  <c r="N49" i="77" s="1"/>
  <c r="N50" i="77" s="1"/>
  <c r="M48" i="77"/>
  <c r="M49" i="77" s="1"/>
  <c r="M50" i="77" s="1"/>
  <c r="L48" i="77"/>
  <c r="L49" i="77" s="1"/>
  <c r="L50" i="77" s="1"/>
  <c r="K48" i="77"/>
  <c r="K49" i="77" s="1"/>
  <c r="K50" i="77" s="1"/>
  <c r="J48" i="77"/>
  <c r="J49" i="77" s="1"/>
  <c r="J50" i="77" s="1"/>
  <c r="I48" i="77"/>
  <c r="I49" i="77" s="1"/>
  <c r="I50" i="77" s="1"/>
  <c r="H48" i="77"/>
  <c r="H49" i="77" s="1"/>
  <c r="H50" i="77" s="1"/>
  <c r="G48" i="77"/>
  <c r="G49" i="77" s="1"/>
  <c r="G50" i="77" s="1"/>
  <c r="F48" i="77"/>
  <c r="F49" i="77" s="1"/>
  <c r="F50" i="77" s="1"/>
  <c r="E48" i="77"/>
  <c r="E49" i="77" s="1"/>
  <c r="E50" i="77" s="1"/>
  <c r="D48" i="77"/>
  <c r="D49" i="77" s="1"/>
  <c r="D50" i="77" s="1"/>
  <c r="C48" i="77"/>
  <c r="C49" i="77" s="1"/>
  <c r="N44" i="77"/>
  <c r="M44" i="77"/>
  <c r="L44" i="77"/>
  <c r="K44" i="77"/>
  <c r="J44" i="77"/>
  <c r="I44" i="77"/>
  <c r="H44" i="77"/>
  <c r="G44" i="77"/>
  <c r="F44" i="77"/>
  <c r="E44" i="77"/>
  <c r="D44" i="77"/>
  <c r="C44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N41" i="77"/>
  <c r="N68" i="77" s="1"/>
  <c r="M41" i="77"/>
  <c r="M68" i="77" s="1"/>
  <c r="L41" i="77"/>
  <c r="L68" i="77" s="1"/>
  <c r="K41" i="77"/>
  <c r="K68" i="77" s="1"/>
  <c r="J41" i="77"/>
  <c r="J68" i="77" s="1"/>
  <c r="I41" i="77"/>
  <c r="I68" i="77" s="1"/>
  <c r="H41" i="77"/>
  <c r="H68" i="77" s="1"/>
  <c r="G41" i="77"/>
  <c r="G68" i="77" s="1"/>
  <c r="F41" i="77"/>
  <c r="F68" i="77" s="1"/>
  <c r="E41" i="77"/>
  <c r="E68" i="77" s="1"/>
  <c r="D41" i="77"/>
  <c r="D68" i="77" s="1"/>
  <c r="C41" i="77"/>
  <c r="N40" i="77"/>
  <c r="M40" i="77"/>
  <c r="L40" i="77"/>
  <c r="K40" i="77"/>
  <c r="J40" i="77"/>
  <c r="I40" i="77"/>
  <c r="H40" i="77"/>
  <c r="G40" i="77"/>
  <c r="F40" i="77"/>
  <c r="E40" i="77"/>
  <c r="D40" i="77"/>
  <c r="C40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N38" i="77"/>
  <c r="M38" i="77"/>
  <c r="L38" i="77"/>
  <c r="K38" i="77"/>
  <c r="J38" i="77"/>
  <c r="I38" i="77"/>
  <c r="H38" i="77"/>
  <c r="G38" i="77"/>
  <c r="F38" i="77"/>
  <c r="E38" i="77"/>
  <c r="D38" i="77"/>
  <c r="C38" i="77"/>
  <c r="N37" i="77"/>
  <c r="M37" i="77"/>
  <c r="L37" i="77"/>
  <c r="K37" i="77"/>
  <c r="J37" i="77"/>
  <c r="I37" i="77"/>
  <c r="H37" i="77"/>
  <c r="G37" i="77"/>
  <c r="F37" i="77"/>
  <c r="E37" i="77"/>
  <c r="D37" i="77"/>
  <c r="C37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N35" i="77"/>
  <c r="N64" i="77" s="1"/>
  <c r="M35" i="77"/>
  <c r="M64" i="77" s="1"/>
  <c r="L35" i="77"/>
  <c r="L64" i="77" s="1"/>
  <c r="K35" i="77"/>
  <c r="K64" i="77" s="1"/>
  <c r="J35" i="77"/>
  <c r="J64" i="77" s="1"/>
  <c r="I35" i="77"/>
  <c r="I64" i="77" s="1"/>
  <c r="H35" i="77"/>
  <c r="H64" i="77" s="1"/>
  <c r="G35" i="77"/>
  <c r="G64" i="77" s="1"/>
  <c r="F35" i="77"/>
  <c r="F64" i="77" s="1"/>
  <c r="E35" i="77"/>
  <c r="E64" i="77" s="1"/>
  <c r="D35" i="77"/>
  <c r="D64" i="77" s="1"/>
  <c r="C35" i="77"/>
  <c r="C64" i="77" s="1"/>
  <c r="N34" i="77"/>
  <c r="M34" i="77"/>
  <c r="L34" i="77"/>
  <c r="K34" i="77"/>
  <c r="J34" i="77"/>
  <c r="I34" i="77"/>
  <c r="H34" i="77"/>
  <c r="G34" i="77"/>
  <c r="F34" i="77"/>
  <c r="E34" i="77"/>
  <c r="D34" i="77"/>
  <c r="C34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N32" i="77"/>
  <c r="N61" i="77" s="1"/>
  <c r="M32" i="77"/>
  <c r="M61" i="77" s="1"/>
  <c r="L32" i="77"/>
  <c r="L61" i="77" s="1"/>
  <c r="K32" i="77"/>
  <c r="K61" i="77" s="1"/>
  <c r="J32" i="77"/>
  <c r="J61" i="77" s="1"/>
  <c r="I32" i="77"/>
  <c r="I61" i="77" s="1"/>
  <c r="H32" i="77"/>
  <c r="H61" i="77" s="1"/>
  <c r="G32" i="77"/>
  <c r="G61" i="77" s="1"/>
  <c r="F32" i="77"/>
  <c r="F61" i="77" s="1"/>
  <c r="E32" i="77"/>
  <c r="E61" i="77" s="1"/>
  <c r="D32" i="77"/>
  <c r="D61" i="77" s="1"/>
  <c r="C32" i="77"/>
  <c r="N31" i="77"/>
  <c r="N62" i="77" s="1"/>
  <c r="M31" i="77"/>
  <c r="M62" i="77" s="1"/>
  <c r="L31" i="77"/>
  <c r="L62" i="77" s="1"/>
  <c r="K31" i="77"/>
  <c r="K62" i="77" s="1"/>
  <c r="J31" i="77"/>
  <c r="J62" i="77" s="1"/>
  <c r="I31" i="77"/>
  <c r="I62" i="77" s="1"/>
  <c r="H31" i="77"/>
  <c r="H62" i="77" s="1"/>
  <c r="G31" i="77"/>
  <c r="G62" i="77" s="1"/>
  <c r="F31" i="77"/>
  <c r="F62" i="77" s="1"/>
  <c r="E31" i="77"/>
  <c r="E62" i="77" s="1"/>
  <c r="D31" i="77"/>
  <c r="D62" i="77" s="1"/>
  <c r="C31" i="77"/>
  <c r="C62" i="77" s="1"/>
  <c r="N30" i="77"/>
  <c r="M30" i="77"/>
  <c r="L30" i="77"/>
  <c r="K30" i="77"/>
  <c r="J30" i="77"/>
  <c r="I30" i="77"/>
  <c r="H30" i="77"/>
  <c r="G30" i="77"/>
  <c r="F30" i="77"/>
  <c r="E30" i="77"/>
  <c r="D30" i="77"/>
  <c r="C30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N26" i="77"/>
  <c r="M26" i="77"/>
  <c r="L26" i="77"/>
  <c r="K26" i="77"/>
  <c r="J26" i="77"/>
  <c r="I26" i="77"/>
  <c r="H26" i="77"/>
  <c r="G26" i="77"/>
  <c r="F26" i="77"/>
  <c r="E26" i="77"/>
  <c r="D26" i="77"/>
  <c r="C26" i="77"/>
  <c r="N25" i="77"/>
  <c r="N66" i="77" s="1"/>
  <c r="M25" i="77"/>
  <c r="M66" i="77" s="1"/>
  <c r="L25" i="77"/>
  <c r="L66" i="77" s="1"/>
  <c r="K25" i="77"/>
  <c r="K66" i="77" s="1"/>
  <c r="J25" i="77"/>
  <c r="J66" i="77" s="1"/>
  <c r="I25" i="77"/>
  <c r="I66" i="77" s="1"/>
  <c r="H25" i="77"/>
  <c r="H66" i="77" s="1"/>
  <c r="G25" i="77"/>
  <c r="G66" i="77" s="1"/>
  <c r="F25" i="77"/>
  <c r="F66" i="77" s="1"/>
  <c r="E25" i="77"/>
  <c r="E66" i="77" s="1"/>
  <c r="D25" i="77"/>
  <c r="D66" i="77" s="1"/>
  <c r="C25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N22" i="77"/>
  <c r="M22" i="77"/>
  <c r="L22" i="77"/>
  <c r="K22" i="77"/>
  <c r="J22" i="77"/>
  <c r="I22" i="77"/>
  <c r="H22" i="77"/>
  <c r="G22" i="77"/>
  <c r="F22" i="77"/>
  <c r="E22" i="77"/>
  <c r="D22" i="77"/>
  <c r="C22" i="77"/>
  <c r="N21" i="77"/>
  <c r="M21" i="77"/>
  <c r="L21" i="77"/>
  <c r="K21" i="77"/>
  <c r="J21" i="77"/>
  <c r="I21" i="77"/>
  <c r="H21" i="77"/>
  <c r="G21" i="77"/>
  <c r="F21" i="77"/>
  <c r="E21" i="77"/>
  <c r="D21" i="77"/>
  <c r="C21" i="77"/>
  <c r="N20" i="77"/>
  <c r="N60" i="77" s="1"/>
  <c r="M20" i="77"/>
  <c r="M60" i="77" s="1"/>
  <c r="L20" i="77"/>
  <c r="K20" i="77"/>
  <c r="K60" i="77" s="1"/>
  <c r="J20" i="77"/>
  <c r="J60" i="77" s="1"/>
  <c r="I20" i="77"/>
  <c r="I60" i="77" s="1"/>
  <c r="H20" i="77"/>
  <c r="G20" i="77"/>
  <c r="G60" i="77" s="1"/>
  <c r="F20" i="77"/>
  <c r="F60" i="77" s="1"/>
  <c r="E20" i="77"/>
  <c r="E60" i="77" s="1"/>
  <c r="D20" i="77"/>
  <c r="C20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N14" i="77"/>
  <c r="N18" i="77" s="1"/>
  <c r="M14" i="77"/>
  <c r="M18" i="77" s="1"/>
  <c r="L14" i="77"/>
  <c r="L18" i="77" s="1"/>
  <c r="K14" i="77"/>
  <c r="K18" i="77" s="1"/>
  <c r="J14" i="77"/>
  <c r="J18" i="77" s="1"/>
  <c r="I14" i="77"/>
  <c r="I18" i="77" s="1"/>
  <c r="H14" i="77"/>
  <c r="H18" i="77" s="1"/>
  <c r="G14" i="77"/>
  <c r="G18" i="77" s="1"/>
  <c r="F14" i="77"/>
  <c r="F18" i="77" s="1"/>
  <c r="E14" i="77"/>
  <c r="E18" i="77" s="1"/>
  <c r="D14" i="77"/>
  <c r="D18" i="77" s="1"/>
  <c r="C14" i="77"/>
  <c r="C18" i="77" s="1"/>
  <c r="N13" i="77"/>
  <c r="N67" i="77" s="1"/>
  <c r="M13" i="77"/>
  <c r="M67" i="77" s="1"/>
  <c r="L13" i="77"/>
  <c r="K13" i="77"/>
  <c r="J13" i="77"/>
  <c r="J67" i="77" s="1"/>
  <c r="I13" i="77"/>
  <c r="I67" i="77" s="1"/>
  <c r="H13" i="77"/>
  <c r="G13" i="77"/>
  <c r="F13" i="77"/>
  <c r="F67" i="77" s="1"/>
  <c r="E13" i="77"/>
  <c r="E67" i="77" s="1"/>
  <c r="D13" i="77"/>
  <c r="C13" i="77"/>
  <c r="N9" i="77"/>
  <c r="N69" i="77" s="1"/>
  <c r="M9" i="77"/>
  <c r="M69" i="77" s="1"/>
  <c r="L9" i="77"/>
  <c r="K9" i="77"/>
  <c r="K10" i="77" s="1"/>
  <c r="K11" i="77" s="1"/>
  <c r="J9" i="77"/>
  <c r="J69" i="77" s="1"/>
  <c r="I9" i="77"/>
  <c r="I69" i="77" s="1"/>
  <c r="H9" i="77"/>
  <c r="G9" i="77"/>
  <c r="G10" i="77" s="1"/>
  <c r="G11" i="77" s="1"/>
  <c r="F9" i="77"/>
  <c r="F69" i="77" s="1"/>
  <c r="E9" i="77"/>
  <c r="E69" i="77" s="1"/>
  <c r="D9" i="77"/>
  <c r="C9" i="77"/>
  <c r="O7" i="77"/>
  <c r="I107" i="74"/>
  <c r="S59" i="77" l="1"/>
  <c r="S63" i="77"/>
  <c r="O65" i="77"/>
  <c r="S65" i="77"/>
  <c r="H72" i="4" s="1"/>
  <c r="O15" i="77"/>
  <c r="O16" i="77"/>
  <c r="O17" i="77"/>
  <c r="O19" i="77"/>
  <c r="O20" i="77"/>
  <c r="O21" i="77"/>
  <c r="O22" i="77"/>
  <c r="O23" i="77"/>
  <c r="O24" i="77"/>
  <c r="O25" i="77"/>
  <c r="O26" i="77"/>
  <c r="O62" i="77"/>
  <c r="O64" i="77"/>
  <c r="O44" i="77"/>
  <c r="R59" i="77"/>
  <c r="R63" i="77"/>
  <c r="R65" i="77"/>
  <c r="G72" i="4" s="1"/>
  <c r="O63" i="77"/>
  <c r="AJ86" i="76"/>
  <c r="AJ66" i="76"/>
  <c r="AI108" i="76"/>
  <c r="AA156" i="74" s="1"/>
  <c r="AI47" i="76"/>
  <c r="AJ47" i="76" s="1"/>
  <c r="P105" i="76"/>
  <c r="P106" i="76"/>
  <c r="AA19" i="74"/>
  <c r="Z65" i="74"/>
  <c r="Z111" i="74" s="1"/>
  <c r="AA67" i="74"/>
  <c r="AA113" i="74" s="1"/>
  <c r="AA20" i="74"/>
  <c r="Z66" i="74"/>
  <c r="Z112" i="74" s="1"/>
  <c r="H69" i="77"/>
  <c r="L69" i="77"/>
  <c r="S69" i="77" s="1"/>
  <c r="H76" i="4" s="1"/>
  <c r="R60" i="77"/>
  <c r="G49" i="4" s="1"/>
  <c r="R66" i="77"/>
  <c r="G73" i="4" s="1"/>
  <c r="K27" i="77"/>
  <c r="Q62" i="77"/>
  <c r="F57" i="4" s="1"/>
  <c r="Q61" i="77"/>
  <c r="F50" i="4" s="1"/>
  <c r="Q64" i="77"/>
  <c r="F71" i="4" s="1"/>
  <c r="Q68" i="77"/>
  <c r="F75" i="4" s="1"/>
  <c r="C27" i="77"/>
  <c r="D69" i="77"/>
  <c r="O28" i="77"/>
  <c r="O29" i="77"/>
  <c r="O30" i="77"/>
  <c r="O32" i="77"/>
  <c r="O33" i="77"/>
  <c r="O34" i="77"/>
  <c r="O36" i="77"/>
  <c r="O37" i="77"/>
  <c r="O38" i="77"/>
  <c r="O39" i="77"/>
  <c r="O40" i="77"/>
  <c r="O41" i="77"/>
  <c r="O42" i="77"/>
  <c r="C43" i="77"/>
  <c r="C45" i="77" s="1"/>
  <c r="D43" i="77"/>
  <c r="H43" i="77"/>
  <c r="L43" i="77"/>
  <c r="G43" i="77"/>
  <c r="Q59" i="77"/>
  <c r="Q63" i="77"/>
  <c r="Q65" i="77"/>
  <c r="F72" i="4" s="1"/>
  <c r="O9" i="77"/>
  <c r="G69" i="77"/>
  <c r="K69" i="77"/>
  <c r="R69" i="77" s="1"/>
  <c r="G76" i="4" s="1"/>
  <c r="C10" i="77"/>
  <c r="C11" i="77" s="1"/>
  <c r="D60" i="77"/>
  <c r="H60" i="77"/>
  <c r="Q60" i="77" s="1"/>
  <c r="F49" i="4" s="1"/>
  <c r="L60" i="77"/>
  <c r="S60" i="77" s="1"/>
  <c r="H49" i="4" s="1"/>
  <c r="S66" i="77"/>
  <c r="H73" i="4" s="1"/>
  <c r="D27" i="77"/>
  <c r="D45" i="77" s="1"/>
  <c r="H27" i="77"/>
  <c r="H45" i="77" s="1"/>
  <c r="L27" i="77"/>
  <c r="L45" i="77" s="1"/>
  <c r="G27" i="77"/>
  <c r="R62" i="77"/>
  <c r="G57" i="4" s="1"/>
  <c r="R61" i="77"/>
  <c r="G50" i="4" s="1"/>
  <c r="R64" i="77"/>
  <c r="G71" i="4" s="1"/>
  <c r="R68" i="77"/>
  <c r="G75" i="4" s="1"/>
  <c r="K43" i="77"/>
  <c r="P59" i="77"/>
  <c r="P63" i="77"/>
  <c r="E67" i="4" s="1"/>
  <c r="P65" i="77"/>
  <c r="E72" i="4" s="1"/>
  <c r="O59" i="77"/>
  <c r="C50" i="77"/>
  <c r="O50" i="77" s="1"/>
  <c r="O49" i="77"/>
  <c r="Q66" i="77"/>
  <c r="F73" i="4" s="1"/>
  <c r="P62" i="77"/>
  <c r="E57" i="4" s="1"/>
  <c r="P64" i="77"/>
  <c r="E71" i="4" s="1"/>
  <c r="Q69" i="77"/>
  <c r="F76" i="4" s="1"/>
  <c r="O18" i="77"/>
  <c r="S62" i="77"/>
  <c r="H57" i="4" s="1"/>
  <c r="S61" i="77"/>
  <c r="H50" i="4" s="1"/>
  <c r="S64" i="77"/>
  <c r="H71" i="4" s="1"/>
  <c r="S68" i="77"/>
  <c r="H75" i="4" s="1"/>
  <c r="O31" i="77"/>
  <c r="O35" i="77"/>
  <c r="O48" i="77"/>
  <c r="C60" i="77"/>
  <c r="C61" i="77"/>
  <c r="C66" i="77"/>
  <c r="C67" i="77"/>
  <c r="G67" i="77"/>
  <c r="K67" i="77"/>
  <c r="R67" i="77" s="1"/>
  <c r="G74" i="4" s="1"/>
  <c r="C68" i="77"/>
  <c r="C69" i="77"/>
  <c r="D10" i="77"/>
  <c r="D11" i="77" s="1"/>
  <c r="H10" i="77"/>
  <c r="H11" i="77" s="1"/>
  <c r="L10" i="77"/>
  <c r="L11" i="77" s="1"/>
  <c r="D67" i="77"/>
  <c r="H67" i="77"/>
  <c r="L67" i="77"/>
  <c r="S67" i="77" s="1"/>
  <c r="H74" i="4" s="1"/>
  <c r="E10" i="77"/>
  <c r="E11" i="77" s="1"/>
  <c r="I10" i="77"/>
  <c r="I11" i="77" s="1"/>
  <c r="M10" i="77"/>
  <c r="M11" i="77" s="1"/>
  <c r="O13" i="77"/>
  <c r="E27" i="77"/>
  <c r="I27" i="77"/>
  <c r="M27" i="77"/>
  <c r="E43" i="77"/>
  <c r="I43" i="77"/>
  <c r="M43" i="77"/>
  <c r="F10" i="77"/>
  <c r="F11" i="77" s="1"/>
  <c r="J10" i="77"/>
  <c r="J11" i="77" s="1"/>
  <c r="N10" i="77"/>
  <c r="N11" i="77" s="1"/>
  <c r="O14" i="77"/>
  <c r="F27" i="77"/>
  <c r="J27" i="77"/>
  <c r="N27" i="77"/>
  <c r="F43" i="77"/>
  <c r="J43" i="77"/>
  <c r="N43" i="77"/>
  <c r="N45" i="77" l="1"/>
  <c r="I45" i="77"/>
  <c r="C46" i="77"/>
  <c r="K45" i="77"/>
  <c r="K46" i="77" s="1"/>
  <c r="K51" i="77" s="1"/>
  <c r="AJ108" i="76"/>
  <c r="F45" i="77"/>
  <c r="M45" i="77"/>
  <c r="D46" i="77"/>
  <c r="D51" i="77" s="1"/>
  <c r="E24" i="75"/>
  <c r="G45" i="77"/>
  <c r="G46" i="77" s="1"/>
  <c r="G51" i="77" s="1"/>
  <c r="E23" i="75"/>
  <c r="E13" i="75"/>
  <c r="E14" i="75" s="1"/>
  <c r="AJ101" i="76"/>
  <c r="H78" i="4"/>
  <c r="AI101" i="76"/>
  <c r="AA66" i="74"/>
  <c r="AA112" i="74" s="1"/>
  <c r="AA65" i="74"/>
  <c r="AA111" i="74"/>
  <c r="G78" i="4"/>
  <c r="P69" i="77"/>
  <c r="O69" i="77"/>
  <c r="P67" i="77"/>
  <c r="E74" i="4" s="1"/>
  <c r="O67" i="77"/>
  <c r="Q67" i="77"/>
  <c r="F74" i="4" s="1"/>
  <c r="O27" i="77"/>
  <c r="L46" i="77"/>
  <c r="L51" i="77" s="1"/>
  <c r="P66" i="77"/>
  <c r="O66" i="77"/>
  <c r="P60" i="77"/>
  <c r="E49" i="4" s="1"/>
  <c r="E20" i="75" s="1"/>
  <c r="O60" i="77"/>
  <c r="O43" i="77"/>
  <c r="P68" i="77"/>
  <c r="O68" i="77"/>
  <c r="J45" i="77"/>
  <c r="J46" i="77" s="1"/>
  <c r="J51" i="77" s="1"/>
  <c r="H46" i="77"/>
  <c r="H51" i="77" s="1"/>
  <c r="P61" i="77"/>
  <c r="E50" i="4" s="1"/>
  <c r="E21" i="75" s="1"/>
  <c r="O61" i="77"/>
  <c r="F46" i="77"/>
  <c r="F51" i="77" s="1"/>
  <c r="M46" i="77"/>
  <c r="M51" i="77" s="1"/>
  <c r="N46" i="77"/>
  <c r="N51" i="77" s="1"/>
  <c r="O10" i="77"/>
  <c r="O11" i="77"/>
  <c r="I46" i="77"/>
  <c r="I51" i="77" s="1"/>
  <c r="E45" i="77"/>
  <c r="C51" i="77"/>
  <c r="E75" i="4" l="1"/>
  <c r="E28" i="75" s="1"/>
  <c r="E73" i="4"/>
  <c r="E25" i="75" s="1"/>
  <c r="E76" i="4"/>
  <c r="E29" i="75" s="1"/>
  <c r="O45" i="77"/>
  <c r="E46" i="77"/>
  <c r="E51" i="77" s="1"/>
  <c r="O51" i="77" s="1"/>
  <c r="O46" i="77" l="1"/>
  <c r="W25" i="4"/>
  <c r="X25" i="4" s="1"/>
  <c r="K25" i="4"/>
  <c r="O25" i="4"/>
  <c r="S25" i="4"/>
  <c r="W8" i="4"/>
  <c r="W10" i="4" s="1"/>
  <c r="S8" i="4"/>
  <c r="O8" i="4"/>
  <c r="K8" i="4"/>
  <c r="K10" i="4" s="1"/>
  <c r="W27" i="4"/>
  <c r="K24" i="4"/>
  <c r="W24" i="4"/>
  <c r="W26" i="4" s="1"/>
  <c r="S24" i="4"/>
  <c r="S26" i="4" s="1"/>
  <c r="O24" i="4"/>
  <c r="O26" i="4" s="1"/>
  <c r="K7" i="4"/>
  <c r="W7" i="4"/>
  <c r="W9" i="4" s="1"/>
  <c r="S7" i="4"/>
  <c r="S9" i="4" s="1"/>
  <c r="O7" i="4"/>
  <c r="O9" i="4" s="1"/>
  <c r="X27" i="4" l="1"/>
  <c r="Y25" i="4"/>
  <c r="Q8" i="4"/>
  <c r="Q10" i="4" s="1"/>
  <c r="L24" i="4"/>
  <c r="L26" i="4" s="1"/>
  <c r="R25" i="4"/>
  <c r="R27" i="4" s="1"/>
  <c r="W28" i="4"/>
  <c r="U25" i="4"/>
  <c r="U27" i="4" s="1"/>
  <c r="M25" i="4"/>
  <c r="M27" i="4" s="1"/>
  <c r="N25" i="4"/>
  <c r="N27" i="4" s="1"/>
  <c r="P25" i="4"/>
  <c r="P27" i="4" s="1"/>
  <c r="Q25" i="4"/>
  <c r="Q27" i="4" s="1"/>
  <c r="T25" i="4"/>
  <c r="T27" i="4" s="1"/>
  <c r="S27" i="4"/>
  <c r="S28" i="4" s="1"/>
  <c r="L25" i="4"/>
  <c r="L27" i="4" s="1"/>
  <c r="V25" i="4"/>
  <c r="V27" i="4" s="1"/>
  <c r="O27" i="4"/>
  <c r="O28" i="4" s="1"/>
  <c r="L7" i="4"/>
  <c r="L9" i="4" s="1"/>
  <c r="X8" i="4"/>
  <c r="K9" i="4"/>
  <c r="K11" i="4" s="1"/>
  <c r="W11" i="4"/>
  <c r="T8" i="4"/>
  <c r="T10" i="4" s="1"/>
  <c r="M8" i="4"/>
  <c r="M10" i="4" s="1"/>
  <c r="P8" i="4"/>
  <c r="P10" i="4" s="1"/>
  <c r="L8" i="4"/>
  <c r="L10" i="4" s="1"/>
  <c r="S10" i="4"/>
  <c r="S11" i="4" s="1"/>
  <c r="O10" i="4"/>
  <c r="O11" i="4" s="1"/>
  <c r="R8" i="4"/>
  <c r="R10" i="4" s="1"/>
  <c r="U8" i="4"/>
  <c r="U10" i="4" s="1"/>
  <c r="V8" i="4"/>
  <c r="V10" i="4" s="1"/>
  <c r="N8" i="4"/>
  <c r="N10" i="4" s="1"/>
  <c r="L11" i="64"/>
  <c r="J9" i="57" s="1"/>
  <c r="L28" i="4" l="1"/>
  <c r="Z25" i="4"/>
  <c r="Y27" i="4"/>
  <c r="X10" i="4"/>
  <c r="Y8" i="4"/>
  <c r="L11" i="4"/>
  <c r="M94" i="76"/>
  <c r="N17" i="76"/>
  <c r="N11" i="76"/>
  <c r="P11" i="76" s="1"/>
  <c r="N12" i="76"/>
  <c r="P12" i="76" s="1"/>
  <c r="N13" i="76"/>
  <c r="O13" i="76" s="1"/>
  <c r="P13" i="76" s="1"/>
  <c r="Q13" i="76" s="1"/>
  <c r="R13" i="76" s="1"/>
  <c r="S13" i="76" s="1"/>
  <c r="T13" i="76" s="1"/>
  <c r="U13" i="76" s="1"/>
  <c r="V13" i="76" s="1"/>
  <c r="N14" i="76"/>
  <c r="N15" i="76"/>
  <c r="N81" i="76" s="1"/>
  <c r="N16" i="76"/>
  <c r="N10" i="76"/>
  <c r="P10" i="76" s="1"/>
  <c r="N9" i="76"/>
  <c r="N8" i="76"/>
  <c r="N7" i="76"/>
  <c r="N6" i="76"/>
  <c r="N51" i="76" s="1"/>
  <c r="F8" i="75"/>
  <c r="AA5" i="76"/>
  <c r="AA85" i="76" s="1"/>
  <c r="AA12" i="76"/>
  <c r="AB5" i="76"/>
  <c r="AB85" i="76" s="1"/>
  <c r="AB12" i="76"/>
  <c r="AC5" i="76"/>
  <c r="AC85" i="76" s="1"/>
  <c r="AC6" i="76"/>
  <c r="AD6" i="76" s="1"/>
  <c r="AF6" i="76" s="1"/>
  <c r="AC12" i="76"/>
  <c r="AD5" i="76"/>
  <c r="AD85" i="76" s="1"/>
  <c r="AD12" i="76"/>
  <c r="V5" i="76"/>
  <c r="V85" i="76" s="1"/>
  <c r="V12" i="76"/>
  <c r="W5" i="76"/>
  <c r="W85" i="76" s="1"/>
  <c r="W6" i="76"/>
  <c r="X6" i="76" s="1"/>
  <c r="W12" i="76"/>
  <c r="X5" i="76"/>
  <c r="X85" i="76" s="1"/>
  <c r="X12" i="76"/>
  <c r="Y5" i="76"/>
  <c r="Y85" i="76" s="1"/>
  <c r="Y12" i="76"/>
  <c r="Q5" i="76"/>
  <c r="Q85" i="76" s="1"/>
  <c r="Q12" i="76"/>
  <c r="R5" i="76"/>
  <c r="R85" i="76" s="1"/>
  <c r="R12" i="76"/>
  <c r="S5" i="76"/>
  <c r="S85" i="76" s="1"/>
  <c r="S12" i="76"/>
  <c r="T5" i="76"/>
  <c r="T85" i="76" s="1"/>
  <c r="T12" i="76"/>
  <c r="L71" i="76"/>
  <c r="L76" i="76" s="1"/>
  <c r="P5" i="76"/>
  <c r="H71" i="76"/>
  <c r="H76" i="76" s="1"/>
  <c r="I71" i="76"/>
  <c r="I76" i="76" s="1"/>
  <c r="J71" i="76"/>
  <c r="G71" i="76"/>
  <c r="G76" i="76" s="1"/>
  <c r="AD4" i="76"/>
  <c r="AD65" i="76" s="1"/>
  <c r="AD11" i="76"/>
  <c r="AC4" i="76"/>
  <c r="AC65" i="76" s="1"/>
  <c r="AC11" i="76"/>
  <c r="AB4" i="76"/>
  <c r="AB65" i="76" s="1"/>
  <c r="AB11" i="76"/>
  <c r="AA4" i="76"/>
  <c r="AA65" i="76" s="1"/>
  <c r="AA11" i="76"/>
  <c r="Y4" i="76"/>
  <c r="Y65" i="76" s="1"/>
  <c r="Y11" i="76"/>
  <c r="X4" i="76"/>
  <c r="X65" i="76" s="1"/>
  <c r="X11" i="76"/>
  <c r="W4" i="76"/>
  <c r="W65" i="76" s="1"/>
  <c r="W11" i="76"/>
  <c r="V4" i="76"/>
  <c r="V65" i="76" s="1"/>
  <c r="V11" i="76"/>
  <c r="T4" i="76"/>
  <c r="T65" i="76" s="1"/>
  <c r="T11" i="76"/>
  <c r="S4" i="76"/>
  <c r="S65" i="76" s="1"/>
  <c r="S11" i="76"/>
  <c r="R4" i="76"/>
  <c r="R65" i="76" s="1"/>
  <c r="R11" i="76"/>
  <c r="Q4" i="76"/>
  <c r="Q65" i="76" s="1"/>
  <c r="Q11" i="76"/>
  <c r="L51" i="76"/>
  <c r="L56" i="76" s="1"/>
  <c r="H51" i="76"/>
  <c r="H56" i="76" s="1"/>
  <c r="I51" i="76"/>
  <c r="J51" i="76"/>
  <c r="J56" i="76" s="1"/>
  <c r="G51" i="76"/>
  <c r="AD3" i="76"/>
  <c r="AD45" i="76" s="1"/>
  <c r="AD10" i="76"/>
  <c r="AC3" i="76"/>
  <c r="AC43" i="76" s="1"/>
  <c r="AC10" i="76"/>
  <c r="AB3" i="76"/>
  <c r="AB45" i="76" s="1"/>
  <c r="AB10" i="76"/>
  <c r="AA3" i="76"/>
  <c r="AA45" i="76" s="1"/>
  <c r="AA10" i="76"/>
  <c r="Y3" i="76"/>
  <c r="Y10" i="76"/>
  <c r="X3" i="76"/>
  <c r="X10" i="76"/>
  <c r="W3" i="76"/>
  <c r="W10" i="76"/>
  <c r="V3" i="76"/>
  <c r="V10" i="76"/>
  <c r="T3" i="76"/>
  <c r="T45" i="76" s="1"/>
  <c r="T10" i="76"/>
  <c r="S3" i="76"/>
  <c r="S45" i="76" s="1"/>
  <c r="S10" i="76"/>
  <c r="R3" i="76"/>
  <c r="R45" i="76" s="1"/>
  <c r="R10" i="76"/>
  <c r="Q3" i="76"/>
  <c r="Q45" i="76" s="1"/>
  <c r="Q10" i="76"/>
  <c r="P3" i="76"/>
  <c r="L31" i="76"/>
  <c r="H31" i="76"/>
  <c r="I31" i="76"/>
  <c r="J31" i="76"/>
  <c r="J36" i="76" s="1"/>
  <c r="G31" i="76"/>
  <c r="G36" i="76" s="1"/>
  <c r="AB9" i="76"/>
  <c r="AC9" i="76" s="1"/>
  <c r="W8" i="76"/>
  <c r="AB7" i="76"/>
  <c r="AC7" i="76" s="1"/>
  <c r="W9" i="76"/>
  <c r="X9" i="76" s="1"/>
  <c r="Y9" i="76" s="1"/>
  <c r="W7" i="76"/>
  <c r="M47" i="76"/>
  <c r="L52" i="76"/>
  <c r="L57" i="76" s="1"/>
  <c r="L53" i="76"/>
  <c r="L58" i="76" s="1"/>
  <c r="L54" i="76"/>
  <c r="L59" i="76" s="1"/>
  <c r="M53" i="76"/>
  <c r="M58" i="76" s="1"/>
  <c r="M54" i="76"/>
  <c r="M59" i="76" s="1"/>
  <c r="G52" i="76"/>
  <c r="G53" i="76"/>
  <c r="G58" i="76" s="1"/>
  <c r="G54" i="76"/>
  <c r="G59" i="76" s="1"/>
  <c r="H52" i="76"/>
  <c r="H53" i="76"/>
  <c r="H58" i="76" s="1"/>
  <c r="H54" i="76"/>
  <c r="H59" i="76" s="1"/>
  <c r="I52" i="76"/>
  <c r="I57" i="76" s="1"/>
  <c r="I53" i="76"/>
  <c r="I58" i="76" s="1"/>
  <c r="I54" i="76"/>
  <c r="I59" i="76" s="1"/>
  <c r="J52" i="76"/>
  <c r="J57" i="76" s="1"/>
  <c r="J53" i="76"/>
  <c r="J54" i="76"/>
  <c r="J59" i="76" s="1"/>
  <c r="U10" i="76"/>
  <c r="Z10" i="76"/>
  <c r="AE10" i="76"/>
  <c r="U11" i="76"/>
  <c r="Z11" i="76"/>
  <c r="AE11" i="76"/>
  <c r="U12" i="76"/>
  <c r="Z12" i="76"/>
  <c r="AE12" i="76"/>
  <c r="L72" i="76"/>
  <c r="L73" i="76"/>
  <c r="L78" i="76" s="1"/>
  <c r="L74" i="76"/>
  <c r="L79" i="76" s="1"/>
  <c r="M72" i="76"/>
  <c r="M77" i="76" s="1"/>
  <c r="M73" i="76"/>
  <c r="M78" i="76" s="1"/>
  <c r="M74" i="76"/>
  <c r="M79" i="76" s="1"/>
  <c r="G72" i="76"/>
  <c r="G77" i="76" s="1"/>
  <c r="G73" i="76"/>
  <c r="G78" i="76" s="1"/>
  <c r="G74" i="76"/>
  <c r="G79" i="76" s="1"/>
  <c r="H72" i="76"/>
  <c r="H73" i="76"/>
  <c r="H78" i="76" s="1"/>
  <c r="H74" i="76"/>
  <c r="H79" i="76" s="1"/>
  <c r="I72" i="76"/>
  <c r="I77" i="76" s="1"/>
  <c r="I73" i="76"/>
  <c r="I78" i="76" s="1"/>
  <c r="I74" i="76"/>
  <c r="I79" i="76" s="1"/>
  <c r="J72" i="76"/>
  <c r="J77" i="76" s="1"/>
  <c r="J73" i="76"/>
  <c r="J78" i="76" s="1"/>
  <c r="J74" i="76"/>
  <c r="L32" i="76"/>
  <c r="L37" i="76" s="1"/>
  <c r="L33" i="76"/>
  <c r="L38" i="76" s="1"/>
  <c r="L34" i="76"/>
  <c r="L39" i="76" s="1"/>
  <c r="M32" i="76"/>
  <c r="M37" i="76" s="1"/>
  <c r="M33" i="76"/>
  <c r="M38" i="76" s="1"/>
  <c r="M34" i="76"/>
  <c r="H32" i="76"/>
  <c r="H37" i="76" s="1"/>
  <c r="H33" i="76"/>
  <c r="H38" i="76" s="1"/>
  <c r="H34" i="76"/>
  <c r="H39" i="76" s="1"/>
  <c r="J33" i="76"/>
  <c r="J38" i="76" s="1"/>
  <c r="J34" i="76"/>
  <c r="I32" i="76"/>
  <c r="I37" i="76" s="1"/>
  <c r="I33" i="76"/>
  <c r="I34" i="76"/>
  <c r="G33" i="76"/>
  <c r="G34" i="76"/>
  <c r="G39" i="76" s="1"/>
  <c r="J32" i="76"/>
  <c r="J37" i="76" s="1"/>
  <c r="G32" i="76"/>
  <c r="G37" i="76" s="1"/>
  <c r="B47" i="76"/>
  <c r="V17" i="76" s="1"/>
  <c r="AA16" i="76"/>
  <c r="AB16" i="76"/>
  <c r="AC16" i="76"/>
  <c r="AD16" i="76"/>
  <c r="AA15" i="76"/>
  <c r="AB15" i="76"/>
  <c r="AC15" i="76"/>
  <c r="AD15" i="76"/>
  <c r="V16" i="76"/>
  <c r="W16" i="76"/>
  <c r="X16" i="76"/>
  <c r="Y16" i="76"/>
  <c r="V15" i="76"/>
  <c r="W15" i="76"/>
  <c r="X15" i="76"/>
  <c r="Y15" i="76"/>
  <c r="Q16" i="76"/>
  <c r="R16" i="76"/>
  <c r="S16" i="76"/>
  <c r="T16" i="76"/>
  <c r="Q15" i="76"/>
  <c r="R15" i="76"/>
  <c r="S15" i="76"/>
  <c r="T15" i="76"/>
  <c r="O16" i="76"/>
  <c r="O17" i="76"/>
  <c r="L81" i="76"/>
  <c r="O15" i="76"/>
  <c r="L61" i="76"/>
  <c r="L47" i="76"/>
  <c r="L41" i="76"/>
  <c r="G81" i="76"/>
  <c r="H81" i="76"/>
  <c r="I81" i="76"/>
  <c r="J81" i="76"/>
  <c r="G61" i="76"/>
  <c r="H61" i="76"/>
  <c r="I61" i="76"/>
  <c r="J61" i="76"/>
  <c r="G41" i="76"/>
  <c r="H41" i="76"/>
  <c r="I41" i="76"/>
  <c r="J41" i="76"/>
  <c r="I47" i="76"/>
  <c r="J47" i="76"/>
  <c r="D99" i="4"/>
  <c r="K5" i="1"/>
  <c r="K6" i="1"/>
  <c r="L5" i="1"/>
  <c r="L38" i="4"/>
  <c r="M6" i="1" s="1"/>
  <c r="L40" i="4"/>
  <c r="H142" i="74"/>
  <c r="H143" i="74"/>
  <c r="K40" i="4"/>
  <c r="K41" i="4"/>
  <c r="K42" i="4"/>
  <c r="K44" i="4" s="1"/>
  <c r="M31" i="4"/>
  <c r="N31" i="4"/>
  <c r="O31" i="4"/>
  <c r="P31" i="4"/>
  <c r="Q31" i="4"/>
  <c r="R31" i="4"/>
  <c r="S31" i="4"/>
  <c r="T31" i="4"/>
  <c r="L52" i="4"/>
  <c r="L54" i="4" s="1"/>
  <c r="L56" i="4" s="1"/>
  <c r="R75" i="4"/>
  <c r="I28" i="75" s="1"/>
  <c r="G11" i="64"/>
  <c r="D91" i="4"/>
  <c r="G5" i="64" s="1"/>
  <c r="J5" i="64" s="1"/>
  <c r="U31" i="4"/>
  <c r="V31" i="4"/>
  <c r="W31" i="4"/>
  <c r="X31" i="4"/>
  <c r="K38" i="4"/>
  <c r="L6" i="1" s="1"/>
  <c r="J5" i="1"/>
  <c r="J6" i="1"/>
  <c r="E5" i="1"/>
  <c r="E6" i="1"/>
  <c r="F5" i="1"/>
  <c r="F6" i="1"/>
  <c r="G5" i="1"/>
  <c r="G6" i="1"/>
  <c r="H5" i="1"/>
  <c r="H6" i="1"/>
  <c r="AD93" i="76"/>
  <c r="AD95" i="76" s="1"/>
  <c r="AC93" i="76"/>
  <c r="AC94" i="76" s="1"/>
  <c r="AB93" i="76"/>
  <c r="AB94" i="76" s="1"/>
  <c r="AA93" i="76"/>
  <c r="Y93" i="76"/>
  <c r="Y95" i="76" s="1"/>
  <c r="X93" i="76"/>
  <c r="W93" i="76"/>
  <c r="W95" i="76" s="1"/>
  <c r="V93" i="76"/>
  <c r="V94" i="76" s="1"/>
  <c r="T93" i="76"/>
  <c r="T95" i="76" s="1"/>
  <c r="S93" i="76"/>
  <c r="R93" i="76"/>
  <c r="Q93" i="76"/>
  <c r="Q95" i="76" s="1"/>
  <c r="O93" i="76"/>
  <c r="O94" i="76" s="1"/>
  <c r="N95" i="76"/>
  <c r="H96" i="76"/>
  <c r="I96" i="76"/>
  <c r="J96" i="76"/>
  <c r="G96" i="76"/>
  <c r="M95" i="76"/>
  <c r="M96" i="76" s="1"/>
  <c r="AA95" i="76"/>
  <c r="K95" i="76"/>
  <c r="K94" i="76"/>
  <c r="K93" i="76"/>
  <c r="AE17" i="76"/>
  <c r="T7" i="4"/>
  <c r="T9" i="4" s="1"/>
  <c r="T11" i="4" s="1"/>
  <c r="K52" i="4"/>
  <c r="K54" i="4" s="1"/>
  <c r="K55" i="4" s="1"/>
  <c r="L75" i="4"/>
  <c r="J72" i="4"/>
  <c r="G25" i="75"/>
  <c r="N75" i="4"/>
  <c r="O75" i="4" s="1"/>
  <c r="P75" i="4" s="1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I52" i="4"/>
  <c r="I53" i="4"/>
  <c r="J53" i="4"/>
  <c r="G51" i="4"/>
  <c r="G52" i="4"/>
  <c r="H52" i="4"/>
  <c r="G53" i="4"/>
  <c r="H53" i="4"/>
  <c r="E58" i="4"/>
  <c r="F58" i="4"/>
  <c r="G58" i="4"/>
  <c r="F59" i="4"/>
  <c r="G59" i="4"/>
  <c r="E60" i="4"/>
  <c r="F60" i="4"/>
  <c r="G60" i="4"/>
  <c r="E61" i="4"/>
  <c r="F61" i="4"/>
  <c r="G61" i="4"/>
  <c r="E62" i="4"/>
  <c r="F62" i="4"/>
  <c r="G62" i="4"/>
  <c r="E63" i="4"/>
  <c r="F63" i="4"/>
  <c r="G63" i="4"/>
  <c r="E64" i="4"/>
  <c r="F64" i="4"/>
  <c r="G64" i="4"/>
  <c r="E65" i="4"/>
  <c r="F65" i="4"/>
  <c r="G65" i="4"/>
  <c r="E66" i="4"/>
  <c r="F66" i="4"/>
  <c r="G66" i="4"/>
  <c r="E68" i="4"/>
  <c r="F68" i="4"/>
  <c r="G68" i="4"/>
  <c r="AD11" i="64"/>
  <c r="AC9" i="57" s="1"/>
  <c r="AD5" i="64"/>
  <c r="Y11" i="64"/>
  <c r="Y5" i="64"/>
  <c r="T11" i="64"/>
  <c r="T5" i="64"/>
  <c r="O11" i="64"/>
  <c r="E5" i="64"/>
  <c r="E7" i="64" s="1"/>
  <c r="F4" i="64" s="1"/>
  <c r="D9" i="57"/>
  <c r="D8" i="57"/>
  <c r="F9" i="57"/>
  <c r="F8" i="57" s="1"/>
  <c r="G9" i="57"/>
  <c r="G8" i="57" s="1"/>
  <c r="I9" i="57"/>
  <c r="I8" i="57" s="1"/>
  <c r="J8" i="57"/>
  <c r="K9" i="57"/>
  <c r="K8" i="57" s="1"/>
  <c r="L9" i="57"/>
  <c r="L8" i="57" s="1"/>
  <c r="N9" i="57"/>
  <c r="N8" i="57" s="1"/>
  <c r="O9" i="57"/>
  <c r="P9" i="57"/>
  <c r="P8" i="57" s="1"/>
  <c r="Q9" i="57"/>
  <c r="Q8" i="57" s="1"/>
  <c r="S9" i="57"/>
  <c r="T9" i="57"/>
  <c r="T8" i="57" s="1"/>
  <c r="U9" i="57"/>
  <c r="U8" i="57" s="1"/>
  <c r="V9" i="57"/>
  <c r="V8" i="57" s="1"/>
  <c r="X9" i="57"/>
  <c r="X8" i="57" s="1"/>
  <c r="Y9" i="57"/>
  <c r="Y8" i="57" s="1"/>
  <c r="Z9" i="57"/>
  <c r="Z8" i="57" s="1"/>
  <c r="AA9" i="57"/>
  <c r="AA8" i="57" s="1"/>
  <c r="E6" i="57"/>
  <c r="F6" i="57"/>
  <c r="G6" i="57"/>
  <c r="I6" i="57"/>
  <c r="J6" i="57"/>
  <c r="K6" i="57"/>
  <c r="L6" i="57"/>
  <c r="N6" i="57"/>
  <c r="O6" i="57"/>
  <c r="P6" i="57"/>
  <c r="S6" i="57"/>
  <c r="T6" i="57"/>
  <c r="U6" i="57"/>
  <c r="V6" i="57"/>
  <c r="X6" i="57"/>
  <c r="Y6" i="57"/>
  <c r="Z6" i="57"/>
  <c r="AA6" i="57"/>
  <c r="D6" i="57"/>
  <c r="D88" i="4"/>
  <c r="E6" i="64" s="1"/>
  <c r="G102" i="74"/>
  <c r="G103" i="74"/>
  <c r="G104" i="74"/>
  <c r="G106" i="74"/>
  <c r="G108" i="74"/>
  <c r="G109" i="74"/>
  <c r="G110" i="74"/>
  <c r="G111" i="74"/>
  <c r="G112" i="74"/>
  <c r="G113" i="74"/>
  <c r="G114" i="74"/>
  <c r="G116" i="74"/>
  <c r="G117" i="74"/>
  <c r="G119" i="74"/>
  <c r="F28" i="74"/>
  <c r="G122" i="74"/>
  <c r="F31" i="74"/>
  <c r="F77" i="74" s="1"/>
  <c r="G124" i="74"/>
  <c r="G125" i="74"/>
  <c r="G126" i="74"/>
  <c r="G127" i="74"/>
  <c r="G128" i="74"/>
  <c r="G133" i="74"/>
  <c r="G134" i="74"/>
  <c r="G135" i="74"/>
  <c r="G137" i="74"/>
  <c r="G138" i="74"/>
  <c r="G48" i="74"/>
  <c r="G139" i="74" s="1"/>
  <c r="F49" i="74"/>
  <c r="G49" i="74" s="1"/>
  <c r="G140" i="74" s="1"/>
  <c r="G147" i="74"/>
  <c r="H51" i="4" s="1"/>
  <c r="H102" i="74"/>
  <c r="H103" i="74"/>
  <c r="H104" i="74"/>
  <c r="H12" i="74"/>
  <c r="H60" i="74" s="1"/>
  <c r="H59" i="74" s="1"/>
  <c r="H98" i="74" s="1"/>
  <c r="H15" i="74"/>
  <c r="H108" i="74" s="1"/>
  <c r="H109" i="74"/>
  <c r="H111" i="74"/>
  <c r="H112" i="74"/>
  <c r="H113" i="74"/>
  <c r="H114" i="74"/>
  <c r="H115" i="74"/>
  <c r="H116" i="74"/>
  <c r="H117" i="74"/>
  <c r="H119" i="74"/>
  <c r="H121" i="74"/>
  <c r="H122" i="74"/>
  <c r="H123" i="74"/>
  <c r="H125" i="74"/>
  <c r="H126" i="74"/>
  <c r="H127" i="74"/>
  <c r="H128" i="74"/>
  <c r="H133" i="74"/>
  <c r="H134" i="74"/>
  <c r="H135" i="74"/>
  <c r="H137" i="74"/>
  <c r="H138" i="74"/>
  <c r="H139" i="74"/>
  <c r="H140" i="74"/>
  <c r="H130" i="74"/>
  <c r="H131" i="74"/>
  <c r="I102" i="74"/>
  <c r="I103" i="74"/>
  <c r="I104" i="74"/>
  <c r="I109" i="74"/>
  <c r="I111" i="74"/>
  <c r="I112" i="74"/>
  <c r="I113" i="74"/>
  <c r="I116" i="74"/>
  <c r="I117" i="74"/>
  <c r="I119" i="74"/>
  <c r="I120" i="74"/>
  <c r="I121" i="74"/>
  <c r="I122" i="74"/>
  <c r="I125" i="74"/>
  <c r="I126" i="74"/>
  <c r="I127" i="74"/>
  <c r="I128" i="74"/>
  <c r="I133" i="74"/>
  <c r="I43" i="74"/>
  <c r="J43" i="74" s="1"/>
  <c r="K43" i="74" s="1"/>
  <c r="I135" i="74"/>
  <c r="I137" i="74"/>
  <c r="I138" i="74"/>
  <c r="I48" i="74"/>
  <c r="J48" i="74" s="1"/>
  <c r="J139" i="74" s="1"/>
  <c r="I49" i="74"/>
  <c r="I140" i="74" s="1"/>
  <c r="I39" i="74"/>
  <c r="I130" i="74" s="1"/>
  <c r="I40" i="74"/>
  <c r="I131" i="74" s="1"/>
  <c r="I148" i="74"/>
  <c r="J52" i="4" s="1"/>
  <c r="J103" i="74"/>
  <c r="J104" i="74"/>
  <c r="J108" i="74"/>
  <c r="J109" i="74"/>
  <c r="J111" i="74"/>
  <c r="J112" i="74"/>
  <c r="J113" i="74"/>
  <c r="J115" i="74"/>
  <c r="J116" i="74"/>
  <c r="J117" i="74"/>
  <c r="J27" i="74"/>
  <c r="K120" i="74"/>
  <c r="J29" i="74"/>
  <c r="J122" i="74"/>
  <c r="J31" i="74"/>
  <c r="J124" i="74"/>
  <c r="J125" i="74"/>
  <c r="J34" i="74"/>
  <c r="J35" i="74"/>
  <c r="J37" i="74"/>
  <c r="J42" i="74"/>
  <c r="J133" i="74" s="1"/>
  <c r="J135" i="74"/>
  <c r="J137" i="74"/>
  <c r="J138" i="74"/>
  <c r="J130" i="74"/>
  <c r="J131" i="74"/>
  <c r="K8" i="74"/>
  <c r="K102" i="74" s="1"/>
  <c r="K9" i="74"/>
  <c r="K103" i="74" s="1"/>
  <c r="K104" i="74"/>
  <c r="K15" i="74"/>
  <c r="K108" i="74" s="1"/>
  <c r="K109" i="74"/>
  <c r="K111" i="74"/>
  <c r="K112" i="74"/>
  <c r="K113" i="74"/>
  <c r="K116" i="74"/>
  <c r="K117" i="74"/>
  <c r="K122" i="74"/>
  <c r="K124" i="74"/>
  <c r="K33" i="74"/>
  <c r="K135" i="74"/>
  <c r="K137" i="74"/>
  <c r="K138" i="74"/>
  <c r="K39" i="74"/>
  <c r="K130" i="74" s="1"/>
  <c r="K40" i="74"/>
  <c r="L40" i="74" s="1"/>
  <c r="L103" i="74"/>
  <c r="L104" i="74"/>
  <c r="L15" i="74"/>
  <c r="M15" i="74" s="1"/>
  <c r="L110" i="74"/>
  <c r="L111" i="74"/>
  <c r="L112" i="74"/>
  <c r="L113" i="74"/>
  <c r="L117" i="74"/>
  <c r="L122" i="74"/>
  <c r="L123" i="74"/>
  <c r="L124" i="74"/>
  <c r="L127" i="74"/>
  <c r="L133" i="74"/>
  <c r="L134" i="74"/>
  <c r="L135" i="74"/>
  <c r="L137" i="74"/>
  <c r="L138" i="74"/>
  <c r="M103" i="74"/>
  <c r="M104" i="74"/>
  <c r="M111" i="74"/>
  <c r="M112" i="74"/>
  <c r="M113" i="74"/>
  <c r="M25" i="74"/>
  <c r="M71" i="74" s="1"/>
  <c r="M119" i="74"/>
  <c r="M120" i="74"/>
  <c r="M30" i="74"/>
  <c r="M31" i="74"/>
  <c r="M32" i="74"/>
  <c r="M35" i="74"/>
  <c r="M42" i="74"/>
  <c r="M133" i="74" s="1"/>
  <c r="M43" i="74"/>
  <c r="M135" i="74"/>
  <c r="M137" i="74"/>
  <c r="M47" i="74"/>
  <c r="M138" i="74" s="1"/>
  <c r="N10" i="74"/>
  <c r="O10" i="74" s="1"/>
  <c r="O104" i="74" s="1"/>
  <c r="N112" i="74"/>
  <c r="N117" i="74"/>
  <c r="N119" i="74"/>
  <c r="N120" i="74"/>
  <c r="N122" i="74"/>
  <c r="N127" i="74"/>
  <c r="N42" i="74"/>
  <c r="N133" i="74" s="1"/>
  <c r="N135" i="74"/>
  <c r="N137" i="74"/>
  <c r="N139" i="74"/>
  <c r="N140" i="74"/>
  <c r="O102" i="74"/>
  <c r="O112" i="74"/>
  <c r="O25" i="74"/>
  <c r="O27" i="74"/>
  <c r="P28" i="74"/>
  <c r="O30" i="74"/>
  <c r="P30" i="74" s="1"/>
  <c r="O126" i="74"/>
  <c r="O127" i="74"/>
  <c r="O44" i="74"/>
  <c r="O137" i="74"/>
  <c r="O47" i="74"/>
  <c r="O138" i="74"/>
  <c r="O48" i="74"/>
  <c r="P48" i="74" s="1"/>
  <c r="O49" i="74"/>
  <c r="O140" i="74" s="1"/>
  <c r="Q6" i="57"/>
  <c r="P8" i="74"/>
  <c r="P9" i="74"/>
  <c r="T9" i="74" s="1"/>
  <c r="U9" i="74" s="1"/>
  <c r="P10" i="74"/>
  <c r="P104" i="74" s="1"/>
  <c r="P34" i="74"/>
  <c r="Q12" i="74"/>
  <c r="Q35" i="74"/>
  <c r="Q81" i="74" s="1"/>
  <c r="Q47" i="74"/>
  <c r="R47" i="74" s="1"/>
  <c r="S47" i="74" s="1"/>
  <c r="Q49" i="74"/>
  <c r="R49" i="74" s="1"/>
  <c r="S49" i="74" s="1"/>
  <c r="R116" i="74"/>
  <c r="R122" i="74"/>
  <c r="S30" i="74"/>
  <c r="S76" i="74" s="1"/>
  <c r="S35" i="74"/>
  <c r="S46" i="74"/>
  <c r="T46" i="74" s="1"/>
  <c r="U46" i="74" s="1"/>
  <c r="V46" i="74" s="1"/>
  <c r="W46" i="74" s="1"/>
  <c r="X46" i="74" s="1"/>
  <c r="Y46" i="74" s="1"/>
  <c r="Z46" i="74" s="1"/>
  <c r="AA46" i="74" s="1"/>
  <c r="T49" i="74"/>
  <c r="U49" i="74" s="1"/>
  <c r="V49" i="74" s="1"/>
  <c r="W49" i="74" s="1"/>
  <c r="X49" i="74" s="1"/>
  <c r="Y49" i="74" s="1"/>
  <c r="Z49" i="74" s="1"/>
  <c r="AA49" i="74" s="1"/>
  <c r="U40" i="74"/>
  <c r="V40" i="74" s="1"/>
  <c r="W40" i="74" s="1"/>
  <c r="X40" i="74" s="1"/>
  <c r="Y40" i="74" s="1"/>
  <c r="Z40" i="74" s="1"/>
  <c r="AA40" i="74" s="1"/>
  <c r="U12" i="74"/>
  <c r="U60" i="74" s="1"/>
  <c r="W30" i="74"/>
  <c r="W42" i="74"/>
  <c r="X42" i="74" s="1"/>
  <c r="D4" i="59"/>
  <c r="G4" i="59" s="1"/>
  <c r="F5" i="59"/>
  <c r="C4" i="59"/>
  <c r="O5" i="64"/>
  <c r="H6" i="64"/>
  <c r="I6" i="64"/>
  <c r="K6" i="64"/>
  <c r="L6" i="64"/>
  <c r="O6" i="64" s="1"/>
  <c r="M6" i="64"/>
  <c r="N6" i="64"/>
  <c r="P6" i="64"/>
  <c r="Q6" i="64"/>
  <c r="R6" i="64"/>
  <c r="S6" i="64"/>
  <c r="U6" i="64"/>
  <c r="V6" i="64"/>
  <c r="W6" i="64"/>
  <c r="X6" i="64"/>
  <c r="Z6" i="64"/>
  <c r="AA6" i="64"/>
  <c r="AB6" i="64"/>
  <c r="AC6" i="64"/>
  <c r="F6" i="64"/>
  <c r="E6" i="56"/>
  <c r="F102" i="74"/>
  <c r="F104" i="74"/>
  <c r="F106" i="74"/>
  <c r="F108" i="74"/>
  <c r="F109" i="74"/>
  <c r="F110" i="74"/>
  <c r="F111" i="74"/>
  <c r="F112" i="74"/>
  <c r="F113" i="74"/>
  <c r="F114" i="74"/>
  <c r="F115" i="74"/>
  <c r="F116" i="74"/>
  <c r="F117" i="74"/>
  <c r="F119" i="74"/>
  <c r="F121" i="74"/>
  <c r="F122" i="74"/>
  <c r="F126" i="74"/>
  <c r="F127" i="74"/>
  <c r="F133" i="74"/>
  <c r="F134" i="74"/>
  <c r="F135" i="74"/>
  <c r="F137" i="74"/>
  <c r="F138" i="74"/>
  <c r="F139" i="74"/>
  <c r="F140" i="74"/>
  <c r="E102" i="74"/>
  <c r="E104" i="74"/>
  <c r="E106" i="74"/>
  <c r="E108" i="74"/>
  <c r="E109" i="74"/>
  <c r="E110" i="74"/>
  <c r="E111" i="74"/>
  <c r="E112" i="74"/>
  <c r="E113" i="74"/>
  <c r="E114" i="74"/>
  <c r="E115" i="74"/>
  <c r="E116" i="74"/>
  <c r="E117" i="74"/>
  <c r="E119" i="74"/>
  <c r="E120" i="74"/>
  <c r="E121" i="74"/>
  <c r="E122" i="74"/>
  <c r="E123" i="74"/>
  <c r="E126" i="74"/>
  <c r="E127" i="74"/>
  <c r="E133" i="74"/>
  <c r="E134" i="74"/>
  <c r="E135" i="74"/>
  <c r="E137" i="74"/>
  <c r="E138" i="74"/>
  <c r="E139" i="74"/>
  <c r="E140" i="74"/>
  <c r="D102" i="74"/>
  <c r="D104" i="74"/>
  <c r="D106" i="74"/>
  <c r="D108" i="74"/>
  <c r="D109" i="74"/>
  <c r="D110" i="74"/>
  <c r="D111" i="74"/>
  <c r="D112" i="74"/>
  <c r="D113" i="74"/>
  <c r="D114" i="74"/>
  <c r="D115" i="74"/>
  <c r="D116" i="74"/>
  <c r="D117" i="74"/>
  <c r="D119" i="74"/>
  <c r="D120" i="74"/>
  <c r="D121" i="74"/>
  <c r="D122" i="74"/>
  <c r="D123" i="74"/>
  <c r="D126" i="74"/>
  <c r="D127" i="74"/>
  <c r="D133" i="74"/>
  <c r="D134" i="74"/>
  <c r="D135" i="74"/>
  <c r="D137" i="74"/>
  <c r="D138" i="74"/>
  <c r="D139" i="74"/>
  <c r="D140" i="74"/>
  <c r="O38" i="74"/>
  <c r="P38" i="74" s="1"/>
  <c r="Q38" i="74" s="1"/>
  <c r="R38" i="74" s="1"/>
  <c r="S38" i="74" s="1"/>
  <c r="T38" i="74" s="1"/>
  <c r="U38" i="74" s="1"/>
  <c r="V38" i="74" s="1"/>
  <c r="W38" i="74" s="1"/>
  <c r="X38" i="74" s="1"/>
  <c r="Y38" i="74" s="1"/>
  <c r="Z38" i="74" s="1"/>
  <c r="AA38" i="74" s="1"/>
  <c r="D128" i="74"/>
  <c r="E128" i="74"/>
  <c r="F128" i="74"/>
  <c r="E143" i="74"/>
  <c r="F143" i="74"/>
  <c r="G143" i="74"/>
  <c r="D142" i="74"/>
  <c r="E142" i="74"/>
  <c r="E141" i="74" s="1"/>
  <c r="F142" i="74"/>
  <c r="F141" i="74" s="1"/>
  <c r="G142" i="74"/>
  <c r="G141" i="74" s="1"/>
  <c r="D131" i="74"/>
  <c r="E131" i="74"/>
  <c r="F131" i="74"/>
  <c r="G131" i="74"/>
  <c r="D130" i="74"/>
  <c r="D129" i="74" s="1"/>
  <c r="E130" i="74"/>
  <c r="E129" i="74" s="1"/>
  <c r="F130" i="74"/>
  <c r="F129" i="74" s="1"/>
  <c r="G130" i="74"/>
  <c r="G129" i="74" s="1"/>
  <c r="J38" i="74"/>
  <c r="K38" i="74" s="1"/>
  <c r="L38" i="74" s="1"/>
  <c r="M38" i="74" s="1"/>
  <c r="F29" i="72"/>
  <c r="G30" i="72" s="1"/>
  <c r="B29" i="72"/>
  <c r="C30" i="72" s="1"/>
  <c r="C20" i="72"/>
  <c r="D20" i="72"/>
  <c r="E20" i="72"/>
  <c r="F20" i="72"/>
  <c r="G20" i="72"/>
  <c r="H20" i="72"/>
  <c r="I20" i="72"/>
  <c r="J20" i="72"/>
  <c r="K20" i="72"/>
  <c r="L20" i="72"/>
  <c r="M20" i="72"/>
  <c r="X24" i="4"/>
  <c r="D8" i="72"/>
  <c r="E8" i="72"/>
  <c r="F8" i="72"/>
  <c r="C8" i="72"/>
  <c r="G7" i="72"/>
  <c r="H7" i="72"/>
  <c r="I7" i="72"/>
  <c r="J7" i="72"/>
  <c r="K7" i="72"/>
  <c r="L7" i="72"/>
  <c r="M7" i="72"/>
  <c r="N7" i="72"/>
  <c r="O7" i="72"/>
  <c r="P7" i="72"/>
  <c r="Q7" i="72"/>
  <c r="R7" i="72"/>
  <c r="S7" i="72"/>
  <c r="T7" i="72"/>
  <c r="U7" i="72"/>
  <c r="V7" i="72"/>
  <c r="W7" i="72"/>
  <c r="X7" i="72"/>
  <c r="Y7" i="72"/>
  <c r="Z7" i="72"/>
  <c r="AA7" i="72"/>
  <c r="AB7" i="72"/>
  <c r="AC7" i="72"/>
  <c r="AD7" i="72"/>
  <c r="AE7" i="72"/>
  <c r="AF7" i="72"/>
  <c r="AG7" i="72"/>
  <c r="AH7" i="72"/>
  <c r="AI7" i="72"/>
  <c r="AJ7" i="72"/>
  <c r="D7" i="72"/>
  <c r="E7" i="72"/>
  <c r="F7" i="72"/>
  <c r="C7" i="72"/>
  <c r="I35" i="69"/>
  <c r="C3" i="69" s="1"/>
  <c r="C4" i="69" s="1"/>
  <c r="B4" i="66"/>
  <c r="B8" i="66" s="1"/>
  <c r="B3" i="66"/>
  <c r="C10" i="68"/>
  <c r="A18" i="66"/>
  <c r="B2" i="65"/>
  <c r="C5" i="65" s="1"/>
  <c r="E3" i="56"/>
  <c r="M117" i="74"/>
  <c r="J120" i="74"/>
  <c r="O113" i="74"/>
  <c r="I134" i="74"/>
  <c r="G115" i="74"/>
  <c r="H110" i="74"/>
  <c r="O8" i="57"/>
  <c r="R9" i="57"/>
  <c r="S8" i="57"/>
  <c r="B3" i="69" l="1"/>
  <c r="B4" i="69" s="1"/>
  <c r="I15" i="74"/>
  <c r="I108" i="74" s="1"/>
  <c r="Q107" i="76"/>
  <c r="L155" i="74" s="1"/>
  <c r="S107" i="76"/>
  <c r="N155" i="74" s="1"/>
  <c r="J49" i="74"/>
  <c r="J140" i="74" s="1"/>
  <c r="L39" i="74"/>
  <c r="H106" i="74"/>
  <c r="AC8" i="57"/>
  <c r="AG8" i="57" s="1"/>
  <c r="AG9" i="57"/>
  <c r="X26" i="4"/>
  <c r="X28" i="4" s="1"/>
  <c r="Y24" i="4"/>
  <c r="AA25" i="4"/>
  <c r="Z27" i="4"/>
  <c r="Z8" i="4"/>
  <c r="Y10" i="4"/>
  <c r="AC45" i="76"/>
  <c r="AC107" i="76" s="1"/>
  <c r="V155" i="74" s="1"/>
  <c r="AC42" i="76"/>
  <c r="AF31" i="76"/>
  <c r="AG6" i="76"/>
  <c r="AF71" i="76"/>
  <c r="AF51" i="76"/>
  <c r="AA107" i="76"/>
  <c r="T155" i="74" s="1"/>
  <c r="R107" i="76"/>
  <c r="M155" i="74" s="1"/>
  <c r="T107" i="76"/>
  <c r="O155" i="74" s="1"/>
  <c r="AB107" i="76"/>
  <c r="U155" i="74" s="1"/>
  <c r="AD107" i="76"/>
  <c r="W155" i="74" s="1"/>
  <c r="Y42" i="74"/>
  <c r="X133" i="74"/>
  <c r="M81" i="74"/>
  <c r="M127" i="74" s="1"/>
  <c r="K29" i="74"/>
  <c r="J75" i="74"/>
  <c r="J121" i="74" s="1"/>
  <c r="X30" i="74"/>
  <c r="W76" i="74"/>
  <c r="Q30" i="74"/>
  <c r="P76" i="74"/>
  <c r="AA8" i="74"/>
  <c r="AA102" i="74" s="1"/>
  <c r="X8" i="74"/>
  <c r="X102" i="74" s="1"/>
  <c r="Y8" i="74"/>
  <c r="Y102" i="74" s="1"/>
  <c r="Z8" i="74"/>
  <c r="Z102" i="74" s="1"/>
  <c r="T28" i="74"/>
  <c r="P74" i="74"/>
  <c r="M78" i="74"/>
  <c r="M124" i="74" s="1"/>
  <c r="K42" i="74"/>
  <c r="K133" i="74" s="1"/>
  <c r="K37" i="74"/>
  <c r="J82" i="74"/>
  <c r="J128" i="74" s="1"/>
  <c r="T35" i="74"/>
  <c r="S81" i="74"/>
  <c r="Q34" i="74"/>
  <c r="Q80" i="74" s="1"/>
  <c r="P80" i="74"/>
  <c r="F123" i="74"/>
  <c r="F101" i="74"/>
  <c r="T30" i="74"/>
  <c r="P27" i="74"/>
  <c r="P73" i="74" s="1"/>
  <c r="O73" i="74"/>
  <c r="N31" i="74"/>
  <c r="N77" i="74" s="1"/>
  <c r="N123" i="74" s="1"/>
  <c r="M77" i="74"/>
  <c r="K79" i="74"/>
  <c r="K125" i="74" s="1"/>
  <c r="J81" i="74"/>
  <c r="J127" i="74" s="1"/>
  <c r="K31" i="74"/>
  <c r="K77" i="74" s="1"/>
  <c r="K123" i="74" s="1"/>
  <c r="J77" i="74"/>
  <c r="J73" i="74"/>
  <c r="I12" i="74"/>
  <c r="G28" i="74"/>
  <c r="G74" i="74" s="1"/>
  <c r="G120" i="74" s="1"/>
  <c r="F74" i="74"/>
  <c r="R12" i="74"/>
  <c r="Q60" i="74"/>
  <c r="O76" i="74"/>
  <c r="O122" i="74" s="1"/>
  <c r="P25" i="74"/>
  <c r="O71" i="74"/>
  <c r="M76" i="74"/>
  <c r="M122" i="74" s="1"/>
  <c r="K34" i="74"/>
  <c r="K80" i="74" s="1"/>
  <c r="K126" i="74" s="1"/>
  <c r="J80" i="74"/>
  <c r="G31" i="74"/>
  <c r="G77" i="74" s="1"/>
  <c r="AB6" i="57"/>
  <c r="AB8" i="57"/>
  <c r="W8" i="57"/>
  <c r="H6" i="57"/>
  <c r="U45" i="76"/>
  <c r="K131" i="74"/>
  <c r="O117" i="74"/>
  <c r="K27" i="74"/>
  <c r="N47" i="74"/>
  <c r="J148" i="74"/>
  <c r="K148" i="74" s="1"/>
  <c r="L148" i="74" s="1"/>
  <c r="M148" i="74" s="1"/>
  <c r="N148" i="74" s="1"/>
  <c r="O148" i="74" s="1"/>
  <c r="L130" i="74"/>
  <c r="M39" i="74"/>
  <c r="N113" i="74"/>
  <c r="D101" i="74"/>
  <c r="N32" i="74"/>
  <c r="M123" i="74"/>
  <c r="K115" i="74"/>
  <c r="L108" i="74"/>
  <c r="Q48" i="74"/>
  <c r="R48" i="74" s="1"/>
  <c r="S48" i="74" s="1"/>
  <c r="T48" i="74"/>
  <c r="U48" i="74" s="1"/>
  <c r="V48" i="74" s="1"/>
  <c r="W48" i="74" s="1"/>
  <c r="X48" i="74" s="1"/>
  <c r="Y48" i="74" s="1"/>
  <c r="Z48" i="74" s="1"/>
  <c r="AA48" i="74" s="1"/>
  <c r="S116" i="74"/>
  <c r="M40" i="74"/>
  <c r="L131" i="74"/>
  <c r="L129" i="74" s="1"/>
  <c r="N15" i="74"/>
  <c r="M108" i="74"/>
  <c r="O31" i="74"/>
  <c r="O77" i="74" s="1"/>
  <c r="K49" i="74"/>
  <c r="AB9" i="57"/>
  <c r="D3" i="69"/>
  <c r="D4" i="69" s="1"/>
  <c r="Q28" i="74"/>
  <c r="N111" i="74"/>
  <c r="L33" i="74"/>
  <c r="L79" i="74" s="1"/>
  <c r="J129" i="74"/>
  <c r="J126" i="74"/>
  <c r="J123" i="74"/>
  <c r="L120" i="74"/>
  <c r="I115" i="74"/>
  <c r="H147" i="74"/>
  <c r="R6" i="57"/>
  <c r="M6" i="57"/>
  <c r="T10" i="74"/>
  <c r="Q37" i="74"/>
  <c r="Q82" i="74" s="1"/>
  <c r="K35" i="74"/>
  <c r="K129" i="74"/>
  <c r="R8" i="57"/>
  <c r="N104" i="74"/>
  <c r="W9" i="57"/>
  <c r="Q10" i="74"/>
  <c r="O42" i="74"/>
  <c r="O111" i="74"/>
  <c r="AE85" i="76"/>
  <c r="V46" i="76"/>
  <c r="V45" i="76"/>
  <c r="V107" i="76" s="1"/>
  <c r="P155" i="74" s="1"/>
  <c r="X45" i="76"/>
  <c r="X107" i="76" s="1"/>
  <c r="R155" i="74" s="1"/>
  <c r="X46" i="76"/>
  <c r="U65" i="76"/>
  <c r="Z65" i="76"/>
  <c r="AE65" i="76"/>
  <c r="U85" i="76"/>
  <c r="W45" i="76"/>
  <c r="W107" i="76" s="1"/>
  <c r="Q155" i="74" s="1"/>
  <c r="W46" i="76"/>
  <c r="Y45" i="76"/>
  <c r="Y107" i="76" s="1"/>
  <c r="S155" i="74" s="1"/>
  <c r="Y46" i="76"/>
  <c r="Z85" i="76"/>
  <c r="M102" i="76"/>
  <c r="J70" i="4" s="1"/>
  <c r="H102" i="76"/>
  <c r="F70" i="4" s="1"/>
  <c r="I102" i="76"/>
  <c r="G70" i="4" s="1"/>
  <c r="G102" i="76"/>
  <c r="E70" i="4" s="1"/>
  <c r="J102" i="76"/>
  <c r="H70" i="4" s="1"/>
  <c r="N46" i="76"/>
  <c r="N42" i="76"/>
  <c r="O46" i="76"/>
  <c r="O66" i="76"/>
  <c r="O82" i="76"/>
  <c r="O42" i="76"/>
  <c r="O86" i="76"/>
  <c r="O62" i="76"/>
  <c r="O67" i="76" s="1"/>
  <c r="R63" i="76"/>
  <c r="R64" i="76"/>
  <c r="R66" i="76"/>
  <c r="T63" i="76"/>
  <c r="T64" i="76"/>
  <c r="T66" i="76"/>
  <c r="W64" i="76"/>
  <c r="W63" i="76"/>
  <c r="W66" i="76"/>
  <c r="Y64" i="76"/>
  <c r="Y63" i="76"/>
  <c r="Y66" i="76"/>
  <c r="AB62" i="76"/>
  <c r="AB64" i="76"/>
  <c r="AB63" i="76"/>
  <c r="AB66" i="76"/>
  <c r="AD62" i="76"/>
  <c r="AD63" i="76"/>
  <c r="AD64" i="76"/>
  <c r="AD66" i="76"/>
  <c r="T84" i="76"/>
  <c r="T83" i="76"/>
  <c r="T86" i="76"/>
  <c r="R83" i="76"/>
  <c r="R84" i="76"/>
  <c r="R86" i="76"/>
  <c r="Y83" i="76"/>
  <c r="Y84" i="76"/>
  <c r="Y86" i="76"/>
  <c r="AC82" i="76"/>
  <c r="AC83" i="76"/>
  <c r="AC84" i="76"/>
  <c r="AC86" i="76"/>
  <c r="AA71" i="76"/>
  <c r="AA82" i="76"/>
  <c r="AA83" i="76"/>
  <c r="AA84" i="76"/>
  <c r="AA86" i="76"/>
  <c r="Q43" i="76"/>
  <c r="Q44" i="76"/>
  <c r="Q46" i="76"/>
  <c r="S44" i="76"/>
  <c r="S43" i="76"/>
  <c r="S46" i="76"/>
  <c r="V44" i="76"/>
  <c r="V43" i="76"/>
  <c r="X43" i="76"/>
  <c r="X44" i="76"/>
  <c r="AA42" i="76"/>
  <c r="AA43" i="76"/>
  <c r="AA44" i="76"/>
  <c r="AA46" i="76"/>
  <c r="AC44" i="76"/>
  <c r="AC46" i="76"/>
  <c r="W83" i="76"/>
  <c r="W84" i="76"/>
  <c r="W86" i="76"/>
  <c r="AD82" i="76"/>
  <c r="AD84" i="76"/>
  <c r="AD83" i="76"/>
  <c r="AD86" i="76"/>
  <c r="Q64" i="76"/>
  <c r="Q63" i="76"/>
  <c r="Q66" i="76"/>
  <c r="S64" i="76"/>
  <c r="S63" i="76"/>
  <c r="S66" i="76"/>
  <c r="V53" i="76"/>
  <c r="V58" i="76" s="1"/>
  <c r="V64" i="76"/>
  <c r="V63" i="76"/>
  <c r="V66" i="76"/>
  <c r="X63" i="76"/>
  <c r="X64" i="76"/>
  <c r="X66" i="76"/>
  <c r="AA54" i="76"/>
  <c r="AA59" i="76" s="1"/>
  <c r="AA62" i="76"/>
  <c r="AA64" i="76"/>
  <c r="AA63" i="76"/>
  <c r="AA66" i="76"/>
  <c r="AC62" i="76"/>
  <c r="AC64" i="76"/>
  <c r="AC63" i="76"/>
  <c r="AC66" i="76"/>
  <c r="S84" i="76"/>
  <c r="S83" i="76"/>
  <c r="S86" i="76"/>
  <c r="Q83" i="76"/>
  <c r="Q84" i="76"/>
  <c r="Q86" i="76"/>
  <c r="X84" i="76"/>
  <c r="X83" i="76"/>
  <c r="X86" i="76"/>
  <c r="AB82" i="76"/>
  <c r="AB83" i="76"/>
  <c r="AB84" i="76"/>
  <c r="AB86" i="76"/>
  <c r="R44" i="76"/>
  <c r="R43" i="76"/>
  <c r="R46" i="76"/>
  <c r="T44" i="76"/>
  <c r="T43" i="76"/>
  <c r="T46" i="76"/>
  <c r="W44" i="76"/>
  <c r="W43" i="76"/>
  <c r="Y44" i="76"/>
  <c r="Y43" i="76"/>
  <c r="Y105" i="76" s="1"/>
  <c r="S153" i="74" s="1"/>
  <c r="AB42" i="76"/>
  <c r="AB44" i="76"/>
  <c r="AB106" i="76" s="1"/>
  <c r="U154" i="74" s="1"/>
  <c r="AB43" i="76"/>
  <c r="AB46" i="76"/>
  <c r="AD42" i="76"/>
  <c r="AD43" i="76"/>
  <c r="AD105" i="76" s="1"/>
  <c r="W153" i="74" s="1"/>
  <c r="AD44" i="76"/>
  <c r="AD46" i="76"/>
  <c r="V71" i="76"/>
  <c r="V83" i="76"/>
  <c r="V84" i="76"/>
  <c r="V86" i="76"/>
  <c r="N62" i="76"/>
  <c r="N86" i="76"/>
  <c r="N82" i="76"/>
  <c r="N66" i="76"/>
  <c r="M101" i="76"/>
  <c r="J101" i="76"/>
  <c r="G146" i="74" s="1"/>
  <c r="I101" i="76"/>
  <c r="F146" i="74" s="1"/>
  <c r="L101" i="76"/>
  <c r="V62" i="76"/>
  <c r="V42" i="76"/>
  <c r="V82" i="76"/>
  <c r="Y94" i="76"/>
  <c r="K42" i="76"/>
  <c r="H47" i="76"/>
  <c r="AC31" i="76"/>
  <c r="AC41" i="76"/>
  <c r="Y34" i="76"/>
  <c r="Y39" i="76" s="1"/>
  <c r="W94" i="76"/>
  <c r="W96" i="76" s="1"/>
  <c r="AB95" i="76"/>
  <c r="AB96" i="76" s="1"/>
  <c r="R95" i="76"/>
  <c r="R94" i="76"/>
  <c r="N34" i="76"/>
  <c r="AA94" i="76"/>
  <c r="AA96" i="76" s="1"/>
  <c r="V95" i="76"/>
  <c r="V96" i="76" s="1"/>
  <c r="W17" i="76"/>
  <c r="N31" i="76"/>
  <c r="N36" i="76" s="1"/>
  <c r="Q94" i="76"/>
  <c r="Q96" i="76" s="1"/>
  <c r="U93" i="76"/>
  <c r="N32" i="76"/>
  <c r="N37" i="76" s="1"/>
  <c r="N52" i="76"/>
  <c r="N57" i="76" s="1"/>
  <c r="N73" i="76"/>
  <c r="N78" i="76" s="1"/>
  <c r="N33" i="76"/>
  <c r="N38" i="76" s="1"/>
  <c r="N53" i="76"/>
  <c r="N61" i="76"/>
  <c r="N41" i="76"/>
  <c r="D136" i="74"/>
  <c r="J136" i="74"/>
  <c r="I132" i="74"/>
  <c r="F132" i="74"/>
  <c r="H136" i="74"/>
  <c r="G101" i="74"/>
  <c r="F136" i="74"/>
  <c r="H105" i="74"/>
  <c r="G105" i="74"/>
  <c r="G132" i="74"/>
  <c r="D105" i="74"/>
  <c r="I129" i="74"/>
  <c r="G136" i="74"/>
  <c r="D118" i="74"/>
  <c r="E136" i="74"/>
  <c r="E132" i="74" s="1"/>
  <c r="E101" i="74"/>
  <c r="H132" i="74"/>
  <c r="H101" i="74"/>
  <c r="U3" i="76"/>
  <c r="F25" i="75"/>
  <c r="K101" i="74"/>
  <c r="N103" i="74"/>
  <c r="J101" i="74"/>
  <c r="I101" i="74"/>
  <c r="L101" i="74"/>
  <c r="M9" i="57"/>
  <c r="T24" i="4"/>
  <c r="T26" i="4" s="1"/>
  <c r="T28" i="4" s="1"/>
  <c r="V61" i="76"/>
  <c r="X41" i="76"/>
  <c r="W53" i="76"/>
  <c r="W58" i="76" s="1"/>
  <c r="Z15" i="76"/>
  <c r="V74" i="76"/>
  <c r="V79" i="76" s="1"/>
  <c r="AA72" i="76"/>
  <c r="AA81" i="76"/>
  <c r="O8" i="76"/>
  <c r="O53" i="76" s="1"/>
  <c r="O58" i="76" s="1"/>
  <c r="P15" i="76"/>
  <c r="AA74" i="76"/>
  <c r="AA79" i="76" s="1"/>
  <c r="W32" i="76"/>
  <c r="AB31" i="76"/>
  <c r="W52" i="76"/>
  <c r="AB41" i="76"/>
  <c r="T94" i="76"/>
  <c r="T96" i="76" s="1"/>
  <c r="AD51" i="76"/>
  <c r="D146" i="74"/>
  <c r="V81" i="76"/>
  <c r="Z16" i="76"/>
  <c r="V73" i="76"/>
  <c r="V78" i="76" s="1"/>
  <c r="P17" i="76"/>
  <c r="T41" i="76"/>
  <c r="Y61" i="76"/>
  <c r="K53" i="76"/>
  <c r="Y54" i="76"/>
  <c r="Y59" i="76" s="1"/>
  <c r="W71" i="76"/>
  <c r="U15" i="76"/>
  <c r="AE16" i="76"/>
  <c r="O81" i="76"/>
  <c r="T81" i="76"/>
  <c r="I55" i="76"/>
  <c r="W73" i="76"/>
  <c r="W78" i="76" s="1"/>
  <c r="J58" i="76"/>
  <c r="J60" i="76" s="1"/>
  <c r="J68" i="76" s="1"/>
  <c r="X31" i="76"/>
  <c r="AB61" i="76"/>
  <c r="T61" i="76"/>
  <c r="H35" i="76"/>
  <c r="X34" i="76"/>
  <c r="X39" i="76" s="1"/>
  <c r="AE15" i="76"/>
  <c r="K54" i="76"/>
  <c r="R41" i="76"/>
  <c r="W61" i="76"/>
  <c r="AB34" i="76"/>
  <c r="AB39" i="76" s="1"/>
  <c r="W74" i="76"/>
  <c r="W79" i="76" s="1"/>
  <c r="V72" i="76"/>
  <c r="V77" i="76" s="1"/>
  <c r="N74" i="76"/>
  <c r="N79" i="76" s="1"/>
  <c r="O9" i="76"/>
  <c r="O34" i="76" s="1"/>
  <c r="O39" i="76" s="1"/>
  <c r="Z9" i="76"/>
  <c r="W34" i="76"/>
  <c r="W39" i="76" s="1"/>
  <c r="W41" i="76"/>
  <c r="U16" i="76"/>
  <c r="W81" i="76"/>
  <c r="Y41" i="76"/>
  <c r="K78" i="76"/>
  <c r="I80" i="76"/>
  <c r="S41" i="76"/>
  <c r="M8" i="57"/>
  <c r="X8" i="76"/>
  <c r="X33" i="76" s="1"/>
  <c r="W33" i="76"/>
  <c r="W38" i="76" s="1"/>
  <c r="V33" i="76"/>
  <c r="V38" i="76" s="1"/>
  <c r="Z3" i="76"/>
  <c r="V34" i="76"/>
  <c r="AA61" i="76"/>
  <c r="AE4" i="76"/>
  <c r="J76" i="76"/>
  <c r="K76" i="76" s="1"/>
  <c r="J75" i="76"/>
  <c r="R81" i="76"/>
  <c r="U5" i="76"/>
  <c r="Z5" i="76"/>
  <c r="Y74" i="76"/>
  <c r="Y79" i="76" s="1"/>
  <c r="AC71" i="76"/>
  <c r="AC81" i="76"/>
  <c r="AE5" i="76"/>
  <c r="O7" i="76"/>
  <c r="O72" i="76" s="1"/>
  <c r="O77" i="76" s="1"/>
  <c r="N72" i="76"/>
  <c r="N77" i="76" s="1"/>
  <c r="K34" i="76"/>
  <c r="I39" i="76"/>
  <c r="J35" i="76"/>
  <c r="G57" i="76"/>
  <c r="K52" i="76"/>
  <c r="AA52" i="76"/>
  <c r="AA31" i="76"/>
  <c r="AA32" i="76"/>
  <c r="AA34" i="76"/>
  <c r="AA39" i="76" s="1"/>
  <c r="AE3" i="76"/>
  <c r="AD31" i="76"/>
  <c r="I56" i="76"/>
  <c r="I60" i="76" s="1"/>
  <c r="I68" i="76" s="1"/>
  <c r="K51" i="76"/>
  <c r="P4" i="76"/>
  <c r="R61" i="76"/>
  <c r="U4" i="76"/>
  <c r="J39" i="76"/>
  <c r="J40" i="76" s="1"/>
  <c r="J48" i="76" s="1"/>
  <c r="K71" i="76"/>
  <c r="V41" i="76"/>
  <c r="AA41" i="76"/>
  <c r="AC61" i="76"/>
  <c r="O61" i="76"/>
  <c r="I35" i="76"/>
  <c r="K73" i="76"/>
  <c r="AD41" i="76"/>
  <c r="AB51" i="76"/>
  <c r="AB54" i="76"/>
  <c r="AB59" i="76" s="1"/>
  <c r="AD61" i="76"/>
  <c r="K32" i="76"/>
  <c r="K72" i="76"/>
  <c r="K81" i="76"/>
  <c r="Y81" i="76"/>
  <c r="V32" i="76"/>
  <c r="V37" i="76" s="1"/>
  <c r="K74" i="76"/>
  <c r="J79" i="76"/>
  <c r="H75" i="76"/>
  <c r="H77" i="76"/>
  <c r="H80" i="76" s="1"/>
  <c r="K59" i="76"/>
  <c r="H36" i="76"/>
  <c r="K31" i="76"/>
  <c r="V31" i="76"/>
  <c r="V51" i="76"/>
  <c r="V54" i="76"/>
  <c r="V52" i="76"/>
  <c r="V57" i="76" s="1"/>
  <c r="Z4" i="76"/>
  <c r="X54" i="76"/>
  <c r="X59" i="76" s="1"/>
  <c r="X61" i="76"/>
  <c r="AA51" i="76"/>
  <c r="AE6" i="76"/>
  <c r="AC51" i="76"/>
  <c r="K61" i="76"/>
  <c r="K62" i="76"/>
  <c r="J55" i="76"/>
  <c r="W51" i="76"/>
  <c r="L55" i="76"/>
  <c r="W54" i="76"/>
  <c r="W59" i="76" s="1"/>
  <c r="W31" i="76"/>
  <c r="M52" i="4"/>
  <c r="N52" i="4" s="1"/>
  <c r="R52" i="4" s="1"/>
  <c r="R17" i="76"/>
  <c r="Y17" i="76"/>
  <c r="S17" i="76"/>
  <c r="T17" i="76"/>
  <c r="Q17" i="76"/>
  <c r="X17" i="76"/>
  <c r="L41" i="4"/>
  <c r="F9" i="75"/>
  <c r="G5" i="59"/>
  <c r="F6" i="59" s="1"/>
  <c r="F10" i="75"/>
  <c r="D92" i="4"/>
  <c r="F28" i="75"/>
  <c r="H28" i="75"/>
  <c r="R7" i="4"/>
  <c r="R9" i="4" s="1"/>
  <c r="R11" i="4" s="1"/>
  <c r="D7" i="59"/>
  <c r="E4" i="59" s="1"/>
  <c r="E7" i="59" s="1"/>
  <c r="M7" i="4"/>
  <c r="Q7" i="4"/>
  <c r="Q9" i="4" s="1"/>
  <c r="Q11" i="4" s="1"/>
  <c r="N7" i="4"/>
  <c r="U7" i="4"/>
  <c r="U9" i="4" s="1"/>
  <c r="U11" i="4" s="1"/>
  <c r="V24" i="4"/>
  <c r="V26" i="4" s="1"/>
  <c r="V28" i="4" s="1"/>
  <c r="V7" i="4"/>
  <c r="V9" i="4" s="1"/>
  <c r="V11" i="4" s="1"/>
  <c r="X7" i="4"/>
  <c r="K56" i="4"/>
  <c r="K50" i="4" s="1"/>
  <c r="K78" i="4" s="1"/>
  <c r="G28" i="75"/>
  <c r="L55" i="4"/>
  <c r="L50" i="4" s="1"/>
  <c r="P7" i="4"/>
  <c r="P9" i="4" s="1"/>
  <c r="P11" i="4" s="1"/>
  <c r="I5" i="1"/>
  <c r="N6" i="1"/>
  <c r="I6" i="1"/>
  <c r="G6" i="64"/>
  <c r="H4" i="1"/>
  <c r="H3" i="1" s="1"/>
  <c r="I11" i="56" s="1"/>
  <c r="A5" i="65"/>
  <c r="E5" i="65"/>
  <c r="C6" i="59"/>
  <c r="G4" i="1"/>
  <c r="G3" i="1" s="1"/>
  <c r="G7" i="1" s="1"/>
  <c r="E4" i="1"/>
  <c r="E3" i="1" s="1"/>
  <c r="H141" i="74"/>
  <c r="B5" i="65"/>
  <c r="E11" i="64"/>
  <c r="E12" i="64" s="1"/>
  <c r="D11" i="57" s="1"/>
  <c r="H11" i="57" s="1"/>
  <c r="E9" i="57"/>
  <c r="E8" i="57" s="1"/>
  <c r="H8" i="57" s="1"/>
  <c r="J11" i="64"/>
  <c r="D5" i="65"/>
  <c r="C8" i="66"/>
  <c r="B12" i="66"/>
  <c r="B13" i="66" s="1"/>
  <c r="B14" i="66" s="1"/>
  <c r="C2" i="68" s="1"/>
  <c r="C3" i="68" s="1"/>
  <c r="D7" i="68" s="1"/>
  <c r="U24" i="4"/>
  <c r="U26" i="4" s="1"/>
  <c r="U28" i="4" s="1"/>
  <c r="F4" i="1"/>
  <c r="F3" i="1" s="1"/>
  <c r="K4" i="1"/>
  <c r="K3" i="1" s="1"/>
  <c r="K7" i="1" s="1"/>
  <c r="O14" i="76"/>
  <c r="P14" i="76" s="1"/>
  <c r="Q14" i="76" s="1"/>
  <c r="R14" i="76" s="1"/>
  <c r="S14" i="76" s="1"/>
  <c r="T14" i="76" s="1"/>
  <c r="U14" i="76" s="1"/>
  <c r="V14" i="76" s="1"/>
  <c r="W14" i="76" s="1"/>
  <c r="X14" i="76" s="1"/>
  <c r="Y14" i="76" s="1"/>
  <c r="Z14" i="76" s="1"/>
  <c r="AA14" i="76" s="1"/>
  <c r="AB14" i="76" s="1"/>
  <c r="R24" i="4"/>
  <c r="R26" i="4" s="1"/>
  <c r="R28" i="4" s="1"/>
  <c r="Q24" i="4"/>
  <c r="Q26" i="4" s="1"/>
  <c r="Q28" i="4" s="1"/>
  <c r="M24" i="4"/>
  <c r="M26" i="4" s="1"/>
  <c r="M28" i="4" s="1"/>
  <c r="M30" i="4" s="1"/>
  <c r="M34" i="4" s="1"/>
  <c r="M36" i="4" s="1"/>
  <c r="M38" i="4" s="1"/>
  <c r="O6" i="1" s="1"/>
  <c r="N24" i="4"/>
  <c r="N26" i="4" s="1"/>
  <c r="N28" i="4" s="1"/>
  <c r="P24" i="4"/>
  <c r="P26" i="4" s="1"/>
  <c r="P28" i="4" s="1"/>
  <c r="F7" i="64"/>
  <c r="G4" i="64" s="1"/>
  <c r="G7" i="64" s="1"/>
  <c r="H4" i="64" s="1"/>
  <c r="H7" i="64" s="1"/>
  <c r="I4" i="64" s="1"/>
  <c r="I7" i="64" s="1"/>
  <c r="J4" i="64"/>
  <c r="Q8" i="74"/>
  <c r="Q102" i="74" s="1"/>
  <c r="R8" i="74"/>
  <c r="R102" i="74" s="1"/>
  <c r="U8" i="74"/>
  <c r="U102" i="74" s="1"/>
  <c r="S8" i="74"/>
  <c r="S102" i="74" s="1"/>
  <c r="T8" i="74"/>
  <c r="T102" i="74" s="1"/>
  <c r="W8" i="74"/>
  <c r="W102" i="74" s="1"/>
  <c r="V8" i="74"/>
  <c r="V102" i="74" s="1"/>
  <c r="L49" i="74"/>
  <c r="K140" i="74"/>
  <c r="N102" i="74"/>
  <c r="D143" i="74"/>
  <c r="D141" i="74" s="1"/>
  <c r="V9" i="74"/>
  <c r="U103" i="74"/>
  <c r="F105" i="74"/>
  <c r="D132" i="74"/>
  <c r="E105" i="74"/>
  <c r="T103" i="74"/>
  <c r="T116" i="74"/>
  <c r="O119" i="74"/>
  <c r="N138" i="74"/>
  <c r="N136" i="74" s="1"/>
  <c r="I123" i="74"/>
  <c r="I110" i="74"/>
  <c r="G121" i="74"/>
  <c r="E118" i="74"/>
  <c r="F79" i="4" s="1"/>
  <c r="V12" i="74"/>
  <c r="V60" i="74" s="1"/>
  <c r="O139" i="74"/>
  <c r="O136" i="74" s="1"/>
  <c r="P44" i="74"/>
  <c r="Q44" i="74" s="1"/>
  <c r="O135" i="74"/>
  <c r="M110" i="74"/>
  <c r="P102" i="74"/>
  <c r="O103" i="74"/>
  <c r="O101" i="74" s="1"/>
  <c r="M134" i="74"/>
  <c r="M132" i="74" s="1"/>
  <c r="N43" i="74"/>
  <c r="M102" i="74"/>
  <c r="M101" i="74" s="1"/>
  <c r="L109" i="74"/>
  <c r="Q52" i="4"/>
  <c r="Q54" i="4" s="1"/>
  <c r="Q9" i="74"/>
  <c r="P103" i="74"/>
  <c r="O120" i="74"/>
  <c r="H129" i="74"/>
  <c r="G123" i="74"/>
  <c r="S122" i="74"/>
  <c r="L132" i="74"/>
  <c r="K48" i="74"/>
  <c r="L48" i="74" s="1"/>
  <c r="J107" i="74"/>
  <c r="K13" i="74"/>
  <c r="I139" i="74"/>
  <c r="I136" i="74" s="1"/>
  <c r="P16" i="76"/>
  <c r="W6" i="57"/>
  <c r="N94" i="76"/>
  <c r="P94" i="76" s="1"/>
  <c r="P93" i="76"/>
  <c r="S95" i="76"/>
  <c r="U95" i="76" s="1"/>
  <c r="S94" i="76"/>
  <c r="X94" i="76"/>
  <c r="Z93" i="76"/>
  <c r="X95" i="76"/>
  <c r="AC95" i="76"/>
  <c r="AE93" i="76"/>
  <c r="K51" i="74"/>
  <c r="Y96" i="76"/>
  <c r="J4" i="1"/>
  <c r="AC54" i="76"/>
  <c r="AD9" i="76"/>
  <c r="AC34" i="76"/>
  <c r="AC39" i="76" s="1"/>
  <c r="AC74" i="76"/>
  <c r="AC79" i="76" s="1"/>
  <c r="L36" i="76"/>
  <c r="L35" i="76"/>
  <c r="AD71" i="76"/>
  <c r="AD81" i="76"/>
  <c r="AD94" i="76"/>
  <c r="AD96" i="76" s="1"/>
  <c r="O95" i="76"/>
  <c r="P95" i="76" s="1"/>
  <c r="K96" i="76"/>
  <c r="K102" i="76" s="1"/>
  <c r="I143" i="74"/>
  <c r="G80" i="76"/>
  <c r="Q81" i="76"/>
  <c r="Q41" i="76"/>
  <c r="Q61" i="76"/>
  <c r="I142" i="74"/>
  <c r="S81" i="76"/>
  <c r="S61" i="76"/>
  <c r="M5" i="1"/>
  <c r="L42" i="4"/>
  <c r="K41" i="76"/>
  <c r="L4" i="1"/>
  <c r="L3" i="1" s="1"/>
  <c r="K37" i="76"/>
  <c r="K82" i="76"/>
  <c r="M81" i="76"/>
  <c r="M61" i="76"/>
  <c r="M41" i="76"/>
  <c r="K33" i="76"/>
  <c r="G35" i="76"/>
  <c r="G38" i="76"/>
  <c r="L77" i="76"/>
  <c r="L75" i="76"/>
  <c r="H57" i="76"/>
  <c r="H55" i="76"/>
  <c r="G56" i="76"/>
  <c r="G55" i="76"/>
  <c r="X71" i="76"/>
  <c r="X81" i="76"/>
  <c r="AB71" i="76"/>
  <c r="AB72" i="76"/>
  <c r="AB74" i="76"/>
  <c r="AB81" i="76"/>
  <c r="M39" i="76"/>
  <c r="O41" i="76"/>
  <c r="I75" i="76"/>
  <c r="G75" i="76"/>
  <c r="X74" i="76"/>
  <c r="X79" i="76" s="1"/>
  <c r="W13" i="76"/>
  <c r="X7" i="76"/>
  <c r="X72" i="76" s="1"/>
  <c r="W72" i="76"/>
  <c r="AD7" i="76"/>
  <c r="AC52" i="76"/>
  <c r="AC72" i="76"/>
  <c r="AC32" i="76"/>
  <c r="N54" i="76"/>
  <c r="M71" i="76"/>
  <c r="M51" i="76"/>
  <c r="M31" i="76"/>
  <c r="AB52" i="76"/>
  <c r="M52" i="76"/>
  <c r="L60" i="76"/>
  <c r="L68" i="76" s="1"/>
  <c r="AB32" i="76"/>
  <c r="Y6" i="76"/>
  <c r="X51" i="76"/>
  <c r="T106" i="76" l="1"/>
  <c r="O154" i="74" s="1"/>
  <c r="AE45" i="76"/>
  <c r="J72" i="74"/>
  <c r="H146" i="74"/>
  <c r="X9" i="4"/>
  <c r="X11" i="4" s="1"/>
  <c r="Y7" i="4"/>
  <c r="AA27" i="4"/>
  <c r="AB25" i="4"/>
  <c r="AB27" i="4" s="1"/>
  <c r="Z24" i="4"/>
  <c r="Y26" i="4"/>
  <c r="Y28" i="4" s="1"/>
  <c r="Z10" i="4"/>
  <c r="AA8" i="4"/>
  <c r="R96" i="76"/>
  <c r="T108" i="76"/>
  <c r="O156" i="74" s="1"/>
  <c r="W108" i="76"/>
  <c r="Q156" i="74" s="1"/>
  <c r="AD108" i="76"/>
  <c r="W156" i="74" s="1"/>
  <c r="AB108" i="76"/>
  <c r="U156" i="74" s="1"/>
  <c r="R105" i="76"/>
  <c r="M153" i="74" s="1"/>
  <c r="AC108" i="76"/>
  <c r="V156" i="74" s="1"/>
  <c r="X105" i="76"/>
  <c r="R153" i="74" s="1"/>
  <c r="Q105" i="76"/>
  <c r="L153" i="74" s="1"/>
  <c r="AE107" i="76"/>
  <c r="AA108" i="76"/>
  <c r="T156" i="74" s="1"/>
  <c r="AD106" i="76"/>
  <c r="W154" i="74" s="1"/>
  <c r="R106" i="76"/>
  <c r="M154" i="74" s="1"/>
  <c r="AE9" i="76"/>
  <c r="AF9" i="76"/>
  <c r="AG51" i="76"/>
  <c r="AG31" i="76"/>
  <c r="AH6" i="76"/>
  <c r="AG71" i="76"/>
  <c r="AE7" i="76"/>
  <c r="AF7" i="76"/>
  <c r="AB105" i="76"/>
  <c r="U153" i="74" s="1"/>
  <c r="Y106" i="76"/>
  <c r="S154" i="74" s="1"/>
  <c r="T105" i="76"/>
  <c r="O153" i="74" s="1"/>
  <c r="AC105" i="76"/>
  <c r="V153" i="74" s="1"/>
  <c r="AA106" i="76"/>
  <c r="T154" i="74" s="1"/>
  <c r="S105" i="76"/>
  <c r="N153" i="74" s="1"/>
  <c r="O108" i="76"/>
  <c r="K156" i="74" s="1"/>
  <c r="V108" i="76"/>
  <c r="P156" i="74" s="1"/>
  <c r="X106" i="76"/>
  <c r="R154" i="74" s="1"/>
  <c r="Q106" i="76"/>
  <c r="L154" i="74" s="1"/>
  <c r="W105" i="76"/>
  <c r="Q153" i="74" s="1"/>
  <c r="AC106" i="76"/>
  <c r="V154" i="74" s="1"/>
  <c r="AA105" i="76"/>
  <c r="T153" i="74" s="1"/>
  <c r="V105" i="76"/>
  <c r="P153" i="74" s="1"/>
  <c r="S106" i="76"/>
  <c r="N154" i="74" s="1"/>
  <c r="O104" i="76"/>
  <c r="K152" i="74" s="1"/>
  <c r="N104" i="76"/>
  <c r="J152" i="74" s="1"/>
  <c r="Y108" i="76"/>
  <c r="S156" i="74" s="1"/>
  <c r="X108" i="76"/>
  <c r="R156" i="74" s="1"/>
  <c r="U107" i="76"/>
  <c r="S108" i="76"/>
  <c r="N156" i="74" s="1"/>
  <c r="K104" i="76"/>
  <c r="AD104" i="76"/>
  <c r="W152" i="74" s="1"/>
  <c r="AB104" i="76"/>
  <c r="U152" i="74" s="1"/>
  <c r="W106" i="76"/>
  <c r="Q154" i="74" s="1"/>
  <c r="R108" i="76"/>
  <c r="M156" i="74" s="1"/>
  <c r="AC104" i="76"/>
  <c r="V152" i="74" s="1"/>
  <c r="AA104" i="76"/>
  <c r="T152" i="74" s="1"/>
  <c r="V106" i="76"/>
  <c r="P154" i="74" s="1"/>
  <c r="Q108" i="76"/>
  <c r="L156" i="74" s="1"/>
  <c r="N108" i="76"/>
  <c r="J156" i="74" s="1"/>
  <c r="Q25" i="74"/>
  <c r="P71" i="74"/>
  <c r="P59" i="74" s="1"/>
  <c r="U30" i="74"/>
  <c r="U76" i="74" s="1"/>
  <c r="U122" i="74" s="1"/>
  <c r="T76" i="74"/>
  <c r="T122" i="74" s="1"/>
  <c r="L37" i="74"/>
  <c r="K82" i="74"/>
  <c r="K128" i="74" s="1"/>
  <c r="L34" i="74"/>
  <c r="L80" i="74" s="1"/>
  <c r="L126" i="74" s="1"/>
  <c r="E18" i="75"/>
  <c r="V104" i="76"/>
  <c r="P152" i="74" s="1"/>
  <c r="O32" i="74"/>
  <c r="N78" i="74"/>
  <c r="N124" i="74" s="1"/>
  <c r="L27" i="74"/>
  <c r="K73" i="74"/>
  <c r="F72" i="74"/>
  <c r="F98" i="74" s="1"/>
  <c r="F120" i="74"/>
  <c r="F118" i="74" s="1"/>
  <c r="G79" i="4" s="1"/>
  <c r="J119" i="74"/>
  <c r="U28" i="74"/>
  <c r="T74" i="74"/>
  <c r="Y30" i="74"/>
  <c r="X76" i="74"/>
  <c r="X122" i="74" s="1"/>
  <c r="S12" i="74"/>
  <c r="S60" i="74" s="1"/>
  <c r="R60" i="74"/>
  <c r="K81" i="74"/>
  <c r="K127" i="74" s="1"/>
  <c r="R34" i="74"/>
  <c r="R80" i="74" s="1"/>
  <c r="R126" i="74" s="1"/>
  <c r="G72" i="74"/>
  <c r="G98" i="74" s="1"/>
  <c r="U35" i="74"/>
  <c r="T81" i="74"/>
  <c r="O52" i="4"/>
  <c r="O54" i="4" s="1"/>
  <c r="O56" i="4" s="1"/>
  <c r="R28" i="74"/>
  <c r="Q74" i="74"/>
  <c r="E19" i="75"/>
  <c r="J12" i="74"/>
  <c r="I60" i="74"/>
  <c r="I59" i="74" s="1"/>
  <c r="I98" i="74" s="1"/>
  <c r="Q76" i="74"/>
  <c r="Q122" i="74" s="1"/>
  <c r="L29" i="74"/>
  <c r="K75" i="74"/>
  <c r="K121" i="74" s="1"/>
  <c r="Z42" i="74"/>
  <c r="Y133" i="74"/>
  <c r="I50" i="4"/>
  <c r="I78" i="4" s="1"/>
  <c r="M130" i="74"/>
  <c r="N39" i="74"/>
  <c r="J118" i="74"/>
  <c r="K79" i="4" s="1"/>
  <c r="M54" i="4"/>
  <c r="M56" i="4" s="1"/>
  <c r="L115" i="74"/>
  <c r="S34" i="74"/>
  <c r="S80" i="74" s="1"/>
  <c r="P31" i="74"/>
  <c r="P77" i="74" s="1"/>
  <c r="O123" i="74"/>
  <c r="P52" i="4"/>
  <c r="P54" i="4" s="1"/>
  <c r="P55" i="4" s="1"/>
  <c r="P42" i="74"/>
  <c r="O133" i="74"/>
  <c r="R37" i="74"/>
  <c r="R82" i="74" s="1"/>
  <c r="Q128" i="74"/>
  <c r="I51" i="4"/>
  <c r="I147" i="74"/>
  <c r="N108" i="74"/>
  <c r="O15" i="74"/>
  <c r="R10" i="74"/>
  <c r="Q104" i="74"/>
  <c r="T104" i="74"/>
  <c r="T101" i="74" s="1"/>
  <c r="U10" i="74"/>
  <c r="AE95" i="76"/>
  <c r="N54" i="4"/>
  <c r="N55" i="4" s="1"/>
  <c r="E79" i="4"/>
  <c r="Z46" i="76"/>
  <c r="I114" i="74"/>
  <c r="M33" i="74"/>
  <c r="M79" i="74" s="1"/>
  <c r="L125" i="74"/>
  <c r="M131" i="74"/>
  <c r="N40" i="74"/>
  <c r="Z45" i="76"/>
  <c r="Z107" i="76" s="1"/>
  <c r="V47" i="76"/>
  <c r="U84" i="76"/>
  <c r="N47" i="76"/>
  <c r="Z94" i="76"/>
  <c r="T102" i="76"/>
  <c r="P70" i="4" s="1"/>
  <c r="V102" i="76"/>
  <c r="Q70" i="4" s="1"/>
  <c r="Y102" i="76"/>
  <c r="T70" i="4" s="1"/>
  <c r="AD102" i="76"/>
  <c r="X70" i="4" s="1"/>
  <c r="O74" i="76"/>
  <c r="O79" i="76" s="1"/>
  <c r="P79" i="76" s="1"/>
  <c r="AA102" i="76"/>
  <c r="U70" i="4" s="1"/>
  <c r="AB102" i="76"/>
  <c r="V70" i="4" s="1"/>
  <c r="U63" i="76"/>
  <c r="R102" i="76"/>
  <c r="N70" i="4" s="1"/>
  <c r="W102" i="76"/>
  <c r="R70" i="4" s="1"/>
  <c r="Q102" i="76"/>
  <c r="M70" i="4" s="1"/>
  <c r="U83" i="76"/>
  <c r="Z83" i="76"/>
  <c r="Z63" i="76"/>
  <c r="U43" i="76"/>
  <c r="Z86" i="76"/>
  <c r="AE66" i="76"/>
  <c r="AD67" i="76"/>
  <c r="Z64" i="76"/>
  <c r="O47" i="76"/>
  <c r="U46" i="76"/>
  <c r="O87" i="76"/>
  <c r="Z44" i="76"/>
  <c r="U86" i="76"/>
  <c r="V87" i="76"/>
  <c r="N87" i="76"/>
  <c r="P82" i="76"/>
  <c r="N67" i="76"/>
  <c r="P67" i="76" s="1"/>
  <c r="P62" i="76"/>
  <c r="AB87" i="76"/>
  <c r="AE44" i="76"/>
  <c r="AE82" i="76"/>
  <c r="AA87" i="76"/>
  <c r="Z84" i="76"/>
  <c r="AE64" i="76"/>
  <c r="AB67" i="76"/>
  <c r="P42" i="76"/>
  <c r="AC67" i="76"/>
  <c r="U66" i="76"/>
  <c r="AE86" i="76"/>
  <c r="AD87" i="76"/>
  <c r="AE43" i="76"/>
  <c r="Z43" i="76"/>
  <c r="U44" i="76"/>
  <c r="AE84" i="76"/>
  <c r="AE63" i="76"/>
  <c r="Z66" i="76"/>
  <c r="P66" i="76"/>
  <c r="AE42" i="76"/>
  <c r="V67" i="76"/>
  <c r="AE46" i="76"/>
  <c r="AA67" i="76"/>
  <c r="AE62" i="76"/>
  <c r="AE83" i="76"/>
  <c r="AC87" i="76"/>
  <c r="U64" i="76"/>
  <c r="P86" i="76"/>
  <c r="P46" i="76"/>
  <c r="I88" i="76"/>
  <c r="G88" i="76"/>
  <c r="H88" i="76"/>
  <c r="K47" i="76"/>
  <c r="H101" i="76"/>
  <c r="E146" i="74" s="1"/>
  <c r="Q82" i="76"/>
  <c r="Q87" i="76" s="1"/>
  <c r="Q42" i="76"/>
  <c r="Q62" i="76"/>
  <c r="Q67" i="76" s="1"/>
  <c r="T62" i="76"/>
  <c r="T67" i="76" s="1"/>
  <c r="T82" i="76"/>
  <c r="T87" i="76" s="1"/>
  <c r="T42" i="76"/>
  <c r="R62" i="76"/>
  <c r="R67" i="76" s="1"/>
  <c r="R82" i="76"/>
  <c r="R87" i="76" s="1"/>
  <c r="R42" i="76"/>
  <c r="Y82" i="76"/>
  <c r="Y87" i="76" s="1"/>
  <c r="Y62" i="76"/>
  <c r="Y67" i="76" s="1"/>
  <c r="Y42" i="76"/>
  <c r="W62" i="76"/>
  <c r="W67" i="76" s="1"/>
  <c r="W42" i="76"/>
  <c r="W82" i="76"/>
  <c r="X42" i="76"/>
  <c r="X82" i="76"/>
  <c r="X87" i="76" s="1"/>
  <c r="X62" i="76"/>
  <c r="X67" i="76" s="1"/>
  <c r="S82" i="76"/>
  <c r="S87" i="76" s="1"/>
  <c r="S42" i="76"/>
  <c r="S62" i="76"/>
  <c r="S67" i="76" s="1"/>
  <c r="Z95" i="76"/>
  <c r="AA47" i="76"/>
  <c r="AD47" i="76"/>
  <c r="AC47" i="76"/>
  <c r="AB47" i="76"/>
  <c r="U94" i="76"/>
  <c r="AC96" i="76"/>
  <c r="L96" i="76"/>
  <c r="O73" i="76"/>
  <c r="O78" i="76" s="1"/>
  <c r="P78" i="76" s="1"/>
  <c r="X73" i="76"/>
  <c r="X75" i="76" s="1"/>
  <c r="O33" i="76"/>
  <c r="O38" i="76" s="1"/>
  <c r="P38" i="76" s="1"/>
  <c r="P8" i="76"/>
  <c r="Q8" i="76" s="1"/>
  <c r="Q73" i="76" s="1"/>
  <c r="P34" i="76"/>
  <c r="O54" i="76"/>
  <c r="O59" i="76" s="1"/>
  <c r="N39" i="76"/>
  <c r="N40" i="76" s="1"/>
  <c r="P81" i="76"/>
  <c r="AE94" i="76"/>
  <c r="D144" i="74"/>
  <c r="E48" i="4" s="1"/>
  <c r="G7" i="59"/>
  <c r="H4" i="59" s="1"/>
  <c r="N30" i="4"/>
  <c r="O30" i="4" s="1"/>
  <c r="O34" i="4" s="1"/>
  <c r="O36" i="4" s="1"/>
  <c r="E144" i="74"/>
  <c r="F48" i="4" s="1"/>
  <c r="N101" i="74"/>
  <c r="M9" i="4"/>
  <c r="M11" i="4" s="1"/>
  <c r="M13" i="4" s="1"/>
  <c r="N9" i="4"/>
  <c r="N11" i="4" s="1"/>
  <c r="AE61" i="76"/>
  <c r="P61" i="76"/>
  <c r="W35" i="76"/>
  <c r="V75" i="76"/>
  <c r="P7" i="76"/>
  <c r="Q7" i="76" s="1"/>
  <c r="Q52" i="76" s="1"/>
  <c r="O32" i="76"/>
  <c r="P32" i="76" s="1"/>
  <c r="AB36" i="76"/>
  <c r="Z81" i="76"/>
  <c r="Z34" i="76"/>
  <c r="O52" i="76"/>
  <c r="O57" i="76" s="1"/>
  <c r="Z61" i="76"/>
  <c r="U41" i="76"/>
  <c r="Z41" i="76"/>
  <c r="H40" i="76"/>
  <c r="H48" i="76" s="1"/>
  <c r="K57" i="76"/>
  <c r="AE81" i="76"/>
  <c r="K35" i="76"/>
  <c r="K77" i="76"/>
  <c r="Z79" i="76"/>
  <c r="V55" i="76"/>
  <c r="J80" i="76"/>
  <c r="AE41" i="76"/>
  <c r="K58" i="76"/>
  <c r="P9" i="76"/>
  <c r="Q9" i="76" s="1"/>
  <c r="W36" i="76"/>
  <c r="K39" i="76"/>
  <c r="G40" i="76"/>
  <c r="G48" i="76" s="1"/>
  <c r="AE31" i="76"/>
  <c r="K79" i="76"/>
  <c r="Z74" i="76"/>
  <c r="H60" i="76"/>
  <c r="H68" i="76" s="1"/>
  <c r="W55" i="76"/>
  <c r="AE51" i="76"/>
  <c r="V35" i="76"/>
  <c r="V39" i="76"/>
  <c r="Z39" i="76" s="1"/>
  <c r="P41" i="76"/>
  <c r="P72" i="76"/>
  <c r="Z54" i="76"/>
  <c r="V59" i="76"/>
  <c r="Z59" i="76" s="1"/>
  <c r="X53" i="76"/>
  <c r="X58" i="76" s="1"/>
  <c r="Y8" i="76"/>
  <c r="U17" i="76"/>
  <c r="Z17" i="76"/>
  <c r="H11" i="56"/>
  <c r="G4" i="58" s="1"/>
  <c r="G3" i="58" s="1"/>
  <c r="H9" i="57"/>
  <c r="H7" i="1"/>
  <c r="F10" i="64"/>
  <c r="J10" i="64" s="1"/>
  <c r="I141" i="74"/>
  <c r="L11" i="56"/>
  <c r="J4" i="58" s="1"/>
  <c r="J3" i="58" s="1"/>
  <c r="G11" i="56"/>
  <c r="F4" i="58" s="1"/>
  <c r="F3" i="58" s="1"/>
  <c r="F7" i="1"/>
  <c r="I4" i="1"/>
  <c r="I3" i="1" s="1"/>
  <c r="E7" i="68"/>
  <c r="D8" i="68"/>
  <c r="C12" i="66"/>
  <c r="C13" i="66" s="1"/>
  <c r="C14" i="66" s="1"/>
  <c r="C13" i="68" s="1"/>
  <c r="D8" i="66"/>
  <c r="D12" i="66" s="1"/>
  <c r="D13" i="66" s="1"/>
  <c r="D14" i="66" s="1"/>
  <c r="C24" i="68" s="1"/>
  <c r="V36" i="76"/>
  <c r="W56" i="76"/>
  <c r="AA56" i="76"/>
  <c r="V56" i="76"/>
  <c r="AA76" i="76"/>
  <c r="V76" i="76"/>
  <c r="V80" i="76" s="1"/>
  <c r="X36" i="76"/>
  <c r="W76" i="76"/>
  <c r="AA36" i="76"/>
  <c r="Y51" i="76"/>
  <c r="Y31" i="76"/>
  <c r="Z6" i="76"/>
  <c r="N58" i="76"/>
  <c r="P58" i="76" s="1"/>
  <c r="P53" i="76"/>
  <c r="L44" i="4"/>
  <c r="F29" i="75" s="1"/>
  <c r="U61" i="76"/>
  <c r="J3" i="1"/>
  <c r="H124" i="74"/>
  <c r="O43" i="74"/>
  <c r="N134" i="74"/>
  <c r="N132" i="74" s="1"/>
  <c r="L116" i="74"/>
  <c r="N59" i="76"/>
  <c r="X76" i="76"/>
  <c r="O96" i="76"/>
  <c r="M109" i="74"/>
  <c r="K142" i="74"/>
  <c r="N110" i="74"/>
  <c r="V133" i="74"/>
  <c r="W9" i="74"/>
  <c r="V103" i="74"/>
  <c r="R127" i="74"/>
  <c r="X38" i="76"/>
  <c r="K55" i="76"/>
  <c r="E7" i="1"/>
  <c r="F11" i="56"/>
  <c r="E4" i="58" s="1"/>
  <c r="E3" i="58" s="1"/>
  <c r="U81" i="76"/>
  <c r="K52" i="74"/>
  <c r="AD54" i="76"/>
  <c r="AD59" i="76" s="1"/>
  <c r="AD34" i="76"/>
  <c r="X96" i="76"/>
  <c r="X102" i="76" s="1"/>
  <c r="S96" i="76"/>
  <c r="S102" i="76" s="1"/>
  <c r="L13" i="74"/>
  <c r="K107" i="74"/>
  <c r="M48" i="74"/>
  <c r="M139" i="74" s="1"/>
  <c r="L139" i="74"/>
  <c r="N109" i="74"/>
  <c r="O109" i="74"/>
  <c r="R9" i="74"/>
  <c r="Q103" i="74"/>
  <c r="W12" i="74"/>
  <c r="Q27" i="74"/>
  <c r="Q73" i="74" s="1"/>
  <c r="U116" i="74"/>
  <c r="G118" i="74"/>
  <c r="E27" i="75" s="1"/>
  <c r="E26" i="75" s="1"/>
  <c r="P148" i="74"/>
  <c r="J7" i="64"/>
  <c r="K4" i="64"/>
  <c r="M36" i="76"/>
  <c r="M40" i="76" s="1"/>
  <c r="M48" i="76" s="1"/>
  <c r="M35" i="76"/>
  <c r="W75" i="76"/>
  <c r="W77" i="76"/>
  <c r="AB76" i="76"/>
  <c r="AE71" i="76"/>
  <c r="L7" i="1"/>
  <c r="M11" i="56"/>
  <c r="K4" i="58" s="1"/>
  <c r="K3" i="58" s="1"/>
  <c r="L51" i="74"/>
  <c r="J134" i="74"/>
  <c r="J132" i="74" s="1"/>
  <c r="R54" i="4"/>
  <c r="S52" i="4"/>
  <c r="S54" i="4" s="1"/>
  <c r="V52" i="4"/>
  <c r="U52" i="4"/>
  <c r="U54" i="4" s="1"/>
  <c r="T52" i="4"/>
  <c r="T54" i="4" s="1"/>
  <c r="P101" i="74"/>
  <c r="H120" i="74"/>
  <c r="M56" i="76"/>
  <c r="M55" i="76"/>
  <c r="M4" i="1"/>
  <c r="M3" i="1" s="1"/>
  <c r="N5" i="1"/>
  <c r="L140" i="74"/>
  <c r="M49" i="74"/>
  <c r="M140" i="74" s="1"/>
  <c r="M57" i="76"/>
  <c r="M76" i="76"/>
  <c r="M75" i="76"/>
  <c r="Y7" i="76"/>
  <c r="X32" i="76"/>
  <c r="X52" i="76"/>
  <c r="AB79" i="76"/>
  <c r="X56" i="76"/>
  <c r="O6" i="76"/>
  <c r="P6" i="76" s="1"/>
  <c r="Q6" i="76" s="1"/>
  <c r="N71" i="76"/>
  <c r="AD52" i="76"/>
  <c r="AE52" i="76" s="1"/>
  <c r="AD32" i="76"/>
  <c r="AE32" i="76" s="1"/>
  <c r="X13" i="76"/>
  <c r="Y13" i="76" s="1"/>
  <c r="Z13" i="76" s="1"/>
  <c r="AA13" i="76" s="1"/>
  <c r="W37" i="76"/>
  <c r="K75" i="76"/>
  <c r="Y71" i="76"/>
  <c r="W57" i="76"/>
  <c r="G60" i="76"/>
  <c r="G68" i="76" s="1"/>
  <c r="K56" i="76"/>
  <c r="P77" i="76"/>
  <c r="L80" i="76"/>
  <c r="AD74" i="76"/>
  <c r="AD79" i="76" s="1"/>
  <c r="AD72" i="76"/>
  <c r="AE72" i="76" s="1"/>
  <c r="L40" i="76"/>
  <c r="L48" i="76" s="1"/>
  <c r="AC59" i="76"/>
  <c r="J142" i="74"/>
  <c r="N96" i="76"/>
  <c r="N102" i="76" s="1"/>
  <c r="Q55" i="4"/>
  <c r="Q56" i="4"/>
  <c r="J11" i="56"/>
  <c r="H4" i="58"/>
  <c r="H3" i="58" s="1"/>
  <c r="V122" i="74"/>
  <c r="W122" i="74"/>
  <c r="K110" i="74"/>
  <c r="J110" i="74"/>
  <c r="M116" i="74"/>
  <c r="K139" i="74"/>
  <c r="K136" i="74" s="1"/>
  <c r="AC14" i="76"/>
  <c r="AB56" i="76"/>
  <c r="P104" i="76" l="1"/>
  <c r="I146" i="74"/>
  <c r="J50" i="4" s="1"/>
  <c r="I106" i="74"/>
  <c r="I105" i="74" s="1"/>
  <c r="E53" i="75"/>
  <c r="M17" i="4"/>
  <c r="N13" i="4"/>
  <c r="N17" i="4" s="1"/>
  <c r="Z26" i="4"/>
  <c r="Z28" i="4" s="1"/>
  <c r="AA24" i="4"/>
  <c r="Z7" i="4"/>
  <c r="Y9" i="4"/>
  <c r="Y11" i="4" s="1"/>
  <c r="AB8" i="4"/>
  <c r="AB10" i="4" s="1"/>
  <c r="AA10" i="4"/>
  <c r="Z106" i="76"/>
  <c r="N56" i="4"/>
  <c r="E17" i="75"/>
  <c r="O55" i="4"/>
  <c r="O50" i="4" s="1"/>
  <c r="AF32" i="76"/>
  <c r="AG7" i="76"/>
  <c r="AF52" i="76"/>
  <c r="AF72" i="76"/>
  <c r="Q104" i="76"/>
  <c r="L152" i="74" s="1"/>
  <c r="AE104" i="76"/>
  <c r="U108" i="76"/>
  <c r="AF34" i="76"/>
  <c r="AG9" i="76"/>
  <c r="AF74" i="76"/>
  <c r="AF54" i="76"/>
  <c r="AH71" i="76"/>
  <c r="AI6" i="76"/>
  <c r="AJ6" i="76" s="1"/>
  <c r="AH31" i="76"/>
  <c r="AH51" i="76"/>
  <c r="U106" i="76"/>
  <c r="AE108" i="76"/>
  <c r="Z105" i="76"/>
  <c r="AE106" i="76"/>
  <c r="U105" i="76"/>
  <c r="P108" i="76"/>
  <c r="AE105" i="76"/>
  <c r="Z108" i="76"/>
  <c r="W47" i="76"/>
  <c r="W104" i="76"/>
  <c r="Q152" i="74" s="1"/>
  <c r="R47" i="76"/>
  <c r="R101" i="76" s="1"/>
  <c r="R104" i="76"/>
  <c r="M152" i="74" s="1"/>
  <c r="M29" i="74"/>
  <c r="L75" i="74"/>
  <c r="L121" i="74" s="1"/>
  <c r="O78" i="74"/>
  <c r="O124" i="74" s="1"/>
  <c r="P32" i="74"/>
  <c r="Y52" i="4"/>
  <c r="Y54" i="4" s="1"/>
  <c r="Z52" i="4"/>
  <c r="Z54" i="4" s="1"/>
  <c r="AB52" i="4"/>
  <c r="AB54" i="4" s="1"/>
  <c r="AA52" i="4"/>
  <c r="AA54" i="4" s="1"/>
  <c r="X12" i="74"/>
  <c r="W60" i="74"/>
  <c r="F144" i="74"/>
  <c r="G48" i="4" s="1"/>
  <c r="S47" i="76"/>
  <c r="S101" i="76" s="1"/>
  <c r="S104" i="76"/>
  <c r="N152" i="74" s="1"/>
  <c r="X47" i="76"/>
  <c r="X101" i="76" s="1"/>
  <c r="X104" i="76"/>
  <c r="R152" i="74" s="1"/>
  <c r="Y47" i="76"/>
  <c r="Y101" i="76" s="1"/>
  <c r="Y104" i="76"/>
  <c r="S152" i="74" s="1"/>
  <c r="V35" i="74"/>
  <c r="U81" i="74"/>
  <c r="V28" i="74"/>
  <c r="U74" i="74"/>
  <c r="K72" i="74"/>
  <c r="K119" i="74"/>
  <c r="K118" i="74" s="1"/>
  <c r="L79" i="4" s="1"/>
  <c r="T47" i="76"/>
  <c r="T101" i="76" s="1"/>
  <c r="T104" i="76"/>
  <c r="O152" i="74" s="1"/>
  <c r="J60" i="74"/>
  <c r="J59" i="74" s="1"/>
  <c r="J98" i="74" s="1"/>
  <c r="K60" i="4" s="1"/>
  <c r="K12" i="74"/>
  <c r="M34" i="74"/>
  <c r="M80" i="74" s="1"/>
  <c r="Q101" i="74"/>
  <c r="W103" i="74"/>
  <c r="X9" i="74"/>
  <c r="AA42" i="74"/>
  <c r="AA133" i="74" s="1"/>
  <c r="Z133" i="74"/>
  <c r="S28" i="74"/>
  <c r="S74" i="74" s="1"/>
  <c r="R74" i="74"/>
  <c r="Z30" i="74"/>
  <c r="Y76" i="74"/>
  <c r="Y122" i="74" s="1"/>
  <c r="L73" i="74"/>
  <c r="L119" i="74" s="1"/>
  <c r="L82" i="74"/>
  <c r="L128" i="74" s="1"/>
  <c r="M37" i="74"/>
  <c r="R25" i="74"/>
  <c r="Q71" i="74"/>
  <c r="M129" i="74"/>
  <c r="M55" i="4"/>
  <c r="M50" i="4" s="1"/>
  <c r="O134" i="74"/>
  <c r="O132" i="74" s="1"/>
  <c r="P43" i="74"/>
  <c r="M115" i="74"/>
  <c r="O39" i="74"/>
  <c r="N130" i="74"/>
  <c r="T34" i="74"/>
  <c r="S126" i="74"/>
  <c r="E77" i="4"/>
  <c r="G144" i="74"/>
  <c r="H48" i="4" s="1"/>
  <c r="H79" i="4"/>
  <c r="S37" i="74"/>
  <c r="R128" i="74"/>
  <c r="P56" i="4"/>
  <c r="P50" i="4" s="1"/>
  <c r="H5" i="59"/>
  <c r="G9" i="59" s="1"/>
  <c r="G8" i="59" s="1"/>
  <c r="N33" i="74"/>
  <c r="N79" i="74" s="1"/>
  <c r="M125" i="74"/>
  <c r="S10" i="74"/>
  <c r="S104" i="74" s="1"/>
  <c r="R104" i="74"/>
  <c r="J51" i="4"/>
  <c r="J147" i="74"/>
  <c r="K147" i="74" s="1"/>
  <c r="Q31" i="74"/>
  <c r="Q77" i="74" s="1"/>
  <c r="J114" i="74"/>
  <c r="P15" i="74"/>
  <c r="O108" i="74"/>
  <c r="G18" i="75" s="1"/>
  <c r="H118" i="74"/>
  <c r="O40" i="74"/>
  <c r="N131" i="74"/>
  <c r="V10" i="74"/>
  <c r="U104" i="74"/>
  <c r="U101" i="74" s="1"/>
  <c r="Q42" i="74"/>
  <c r="N48" i="76"/>
  <c r="P47" i="76"/>
  <c r="P74" i="76"/>
  <c r="O101" i="76"/>
  <c r="K146" i="74" s="1"/>
  <c r="O102" i="76"/>
  <c r="L70" i="4" s="1"/>
  <c r="L102" i="76"/>
  <c r="I70" i="4" s="1"/>
  <c r="AE96" i="76"/>
  <c r="AE102" i="76" s="1"/>
  <c r="Y70" i="4" s="1"/>
  <c r="AC102" i="76"/>
  <c r="W70" i="4" s="1"/>
  <c r="P87" i="76"/>
  <c r="V101" i="76"/>
  <c r="N101" i="76"/>
  <c r="J146" i="74" s="1"/>
  <c r="AE87" i="76"/>
  <c r="Z67" i="76"/>
  <c r="U87" i="76"/>
  <c r="AE67" i="76"/>
  <c r="Z82" i="76"/>
  <c r="W87" i="76"/>
  <c r="Z87" i="76" s="1"/>
  <c r="U67" i="76"/>
  <c r="Z62" i="76"/>
  <c r="Z42" i="76"/>
  <c r="P30" i="4"/>
  <c r="Q30" i="4" s="1"/>
  <c r="O29" i="4"/>
  <c r="N29" i="4"/>
  <c r="N34" i="4"/>
  <c r="N36" i="4" s="1"/>
  <c r="N38" i="4" s="1"/>
  <c r="P6" i="1" s="1"/>
  <c r="G100" i="76"/>
  <c r="E69" i="4" s="1"/>
  <c r="H100" i="76"/>
  <c r="F69" i="4" s="1"/>
  <c r="F67" i="4" s="1"/>
  <c r="V88" i="76"/>
  <c r="J100" i="76"/>
  <c r="H69" i="4" s="1"/>
  <c r="H67" i="4" s="1"/>
  <c r="J88" i="76"/>
  <c r="J90" i="76" s="1"/>
  <c r="J98" i="76" s="1"/>
  <c r="L100" i="76"/>
  <c r="I69" i="4" s="1"/>
  <c r="L88" i="76"/>
  <c r="AD101" i="76"/>
  <c r="K101" i="76"/>
  <c r="AB101" i="76"/>
  <c r="AA101" i="76"/>
  <c r="AC101" i="76"/>
  <c r="U62" i="76"/>
  <c r="U42" i="76"/>
  <c r="U82" i="76"/>
  <c r="Q47" i="76"/>
  <c r="Q101" i="76" s="1"/>
  <c r="AE47" i="76"/>
  <c r="X78" i="76"/>
  <c r="P59" i="76"/>
  <c r="P54" i="76"/>
  <c r="AE59" i="76"/>
  <c r="P73" i="76"/>
  <c r="R8" i="76"/>
  <c r="S8" i="76" s="1"/>
  <c r="Q72" i="76"/>
  <c r="Q77" i="76" s="1"/>
  <c r="P39" i="76"/>
  <c r="O37" i="76"/>
  <c r="P37" i="76" s="1"/>
  <c r="Q33" i="76"/>
  <c r="Q38" i="76" s="1"/>
  <c r="X55" i="76"/>
  <c r="P33" i="76"/>
  <c r="Q32" i="76"/>
  <c r="Q37" i="76" s="1"/>
  <c r="R7" i="76"/>
  <c r="S7" i="76" s="1"/>
  <c r="Q53" i="76"/>
  <c r="Q58" i="76" s="1"/>
  <c r="P52" i="76"/>
  <c r="Q50" i="4"/>
  <c r="L78" i="4"/>
  <c r="P57" i="76"/>
  <c r="K80" i="76"/>
  <c r="P96" i="76"/>
  <c r="P102" i="76" s="1"/>
  <c r="K70" i="4"/>
  <c r="U96" i="76"/>
  <c r="U102" i="76" s="1"/>
  <c r="O70" i="4"/>
  <c r="Z96" i="76"/>
  <c r="Z102" i="76" s="1"/>
  <c r="S70" i="4"/>
  <c r="W80" i="76"/>
  <c r="V60" i="76"/>
  <c r="V68" i="76" s="1"/>
  <c r="V40" i="76"/>
  <c r="V48" i="76" s="1"/>
  <c r="AE54" i="76"/>
  <c r="Q34" i="76"/>
  <c r="Q39" i="76" s="1"/>
  <c r="R9" i="76"/>
  <c r="Q74" i="76"/>
  <c r="Q79" i="76" s="1"/>
  <c r="Q54" i="76"/>
  <c r="Q59" i="76" s="1"/>
  <c r="H90" i="76"/>
  <c r="H98" i="76" s="1"/>
  <c r="H7" i="59"/>
  <c r="Y73" i="76"/>
  <c r="Y53" i="76"/>
  <c r="Z8" i="76"/>
  <c r="AA8" i="76" s="1"/>
  <c r="Y33" i="76"/>
  <c r="N50" i="4"/>
  <c r="F12" i="64"/>
  <c r="G10" i="64" s="1"/>
  <c r="G12" i="64" s="1"/>
  <c r="J141" i="74"/>
  <c r="F7" i="68"/>
  <c r="E8" i="68"/>
  <c r="G8" i="68"/>
  <c r="B18" i="66"/>
  <c r="E18" i="66" s="1"/>
  <c r="X77" i="76"/>
  <c r="N76" i="76"/>
  <c r="N80" i="76" s="1"/>
  <c r="N75" i="76"/>
  <c r="Q57" i="76"/>
  <c r="X35" i="76"/>
  <c r="X37" i="76"/>
  <c r="X40" i="76" s="1"/>
  <c r="Q78" i="76"/>
  <c r="S56" i="4"/>
  <c r="S55" i="4"/>
  <c r="K134" i="74"/>
  <c r="K132" i="74" s="1"/>
  <c r="I124" i="74"/>
  <c r="I118" i="74" s="1"/>
  <c r="AD14" i="76"/>
  <c r="AF14" i="76" s="1"/>
  <c r="AC56" i="76"/>
  <c r="AC36" i="76"/>
  <c r="AC76" i="76"/>
  <c r="N116" i="74"/>
  <c r="O116" i="74"/>
  <c r="M126" i="74"/>
  <c r="N34" i="74"/>
  <c r="Y76" i="76"/>
  <c r="Z76" i="76" s="1"/>
  <c r="N56" i="76"/>
  <c r="N60" i="76" s="1"/>
  <c r="N68" i="76" s="1"/>
  <c r="N55" i="76"/>
  <c r="O71" i="76"/>
  <c r="O51" i="76"/>
  <c r="O31" i="76"/>
  <c r="P31" i="76" s="1"/>
  <c r="AE74" i="76"/>
  <c r="Y52" i="76"/>
  <c r="Y57" i="76" s="1"/>
  <c r="Y32" i="76"/>
  <c r="Y37" i="76" s="1"/>
  <c r="Y72" i="76"/>
  <c r="Z7" i="76"/>
  <c r="T55" i="4"/>
  <c r="T56" i="4"/>
  <c r="R56" i="4"/>
  <c r="R55" i="4"/>
  <c r="Q148" i="74"/>
  <c r="Q119" i="74"/>
  <c r="R27" i="74"/>
  <c r="R73" i="74" s="1"/>
  <c r="L147" i="74"/>
  <c r="M136" i="74"/>
  <c r="L142" i="74"/>
  <c r="Z71" i="76"/>
  <c r="R44" i="74"/>
  <c r="L136" i="74"/>
  <c r="I7" i="1"/>
  <c r="W133" i="74"/>
  <c r="Y56" i="76"/>
  <c r="K60" i="76"/>
  <c r="K68" i="76" s="1"/>
  <c r="AB13" i="76"/>
  <c r="AA77" i="76"/>
  <c r="AA37" i="76"/>
  <c r="AA57" i="76"/>
  <c r="Q51" i="76"/>
  <c r="R6" i="76"/>
  <c r="Q71" i="76"/>
  <c r="Q31" i="76"/>
  <c r="Z51" i="76"/>
  <c r="AE79" i="76"/>
  <c r="M80" i="76"/>
  <c r="U55" i="4"/>
  <c r="U56" i="4"/>
  <c r="W60" i="76"/>
  <c r="W68" i="76" s="1"/>
  <c r="V116" i="74"/>
  <c r="W116" i="74"/>
  <c r="R103" i="74"/>
  <c r="S9" i="74"/>
  <c r="S103" i="74" s="1"/>
  <c r="S127" i="74"/>
  <c r="J7" i="1"/>
  <c r="K11" i="56"/>
  <c r="I4" i="58" s="1"/>
  <c r="I3" i="58" s="1"/>
  <c r="AD39" i="76"/>
  <c r="AE39" i="76" s="1"/>
  <c r="AE34" i="76"/>
  <c r="O38" i="4"/>
  <c r="Q6" i="1" s="1"/>
  <c r="N35" i="76"/>
  <c r="X57" i="76"/>
  <c r="X60" i="76" s="1"/>
  <c r="X68" i="76" s="1"/>
  <c r="M7" i="1"/>
  <c r="N11" i="56"/>
  <c r="M60" i="76"/>
  <c r="M68" i="76" s="1"/>
  <c r="W52" i="4"/>
  <c r="W54" i="4" s="1"/>
  <c r="V54" i="4"/>
  <c r="X52" i="4"/>
  <c r="X54" i="4" s="1"/>
  <c r="M51" i="74"/>
  <c r="K7" i="64"/>
  <c r="L4" i="64" s="1"/>
  <c r="L7" i="64" s="1"/>
  <c r="M4" i="64" s="1"/>
  <c r="M7" i="64" s="1"/>
  <c r="N4" i="64" s="1"/>
  <c r="N7" i="64" s="1"/>
  <c r="O4" i="64"/>
  <c r="M13" i="74"/>
  <c r="L107" i="74"/>
  <c r="K143" i="74"/>
  <c r="K141" i="74" s="1"/>
  <c r="L52" i="74"/>
  <c r="W40" i="76"/>
  <c r="W48" i="76" s="1"/>
  <c r="O110" i="74"/>
  <c r="N4" i="1"/>
  <c r="N3" i="1" s="1"/>
  <c r="F12" i="75" s="1"/>
  <c r="Y36" i="76"/>
  <c r="Z31" i="76"/>
  <c r="F27" i="75" l="1"/>
  <c r="F26" i="75" s="1"/>
  <c r="L118" i="74"/>
  <c r="E52" i="75"/>
  <c r="J78" i="4"/>
  <c r="F21" i="75"/>
  <c r="E51" i="75"/>
  <c r="AA26" i="4"/>
  <c r="AA28" i="4" s="1"/>
  <c r="AB24" i="4"/>
  <c r="AB26" i="4" s="1"/>
  <c r="AB28" i="4" s="1"/>
  <c r="Z9" i="4"/>
  <c r="Z11" i="4" s="1"/>
  <c r="AA7" i="4"/>
  <c r="AF59" i="76"/>
  <c r="AF79" i="76"/>
  <c r="AF39" i="76"/>
  <c r="L146" i="74"/>
  <c r="M49" i="4" s="1"/>
  <c r="AI31" i="76"/>
  <c r="AJ31" i="76" s="1"/>
  <c r="AI51" i="76"/>
  <c r="AJ51" i="76" s="1"/>
  <c r="AI71" i="76"/>
  <c r="AJ71" i="76" s="1"/>
  <c r="AG54" i="76"/>
  <c r="AG59" i="76" s="1"/>
  <c r="AG34" i="76"/>
  <c r="AG39" i="76" s="1"/>
  <c r="AH9" i="76"/>
  <c r="AG74" i="76"/>
  <c r="AG79" i="76" s="1"/>
  <c r="AG14" i="76"/>
  <c r="AF56" i="76"/>
  <c r="AF36" i="76"/>
  <c r="AF76" i="76"/>
  <c r="AG52" i="76"/>
  <c r="AG32" i="76"/>
  <c r="AH7" i="76"/>
  <c r="AG72" i="76"/>
  <c r="O146" i="74"/>
  <c r="P49" i="4" s="1"/>
  <c r="N146" i="74"/>
  <c r="O49" i="4" s="1"/>
  <c r="P146" i="74"/>
  <c r="Q49" i="4" s="1"/>
  <c r="Z47" i="76"/>
  <c r="Z101" i="76" s="1"/>
  <c r="M79" i="4"/>
  <c r="S25" i="74"/>
  <c r="R71" i="74"/>
  <c r="R101" i="74"/>
  <c r="M82" i="74"/>
  <c r="M128" i="74" s="1"/>
  <c r="N37" i="74"/>
  <c r="X60" i="74"/>
  <c r="X106" i="74" s="1"/>
  <c r="Y12" i="74"/>
  <c r="Y55" i="4"/>
  <c r="Y56" i="4"/>
  <c r="N80" i="74"/>
  <c r="N126" i="74" s="1"/>
  <c r="Z104" i="76"/>
  <c r="AA30" i="74"/>
  <c r="AA76" i="74" s="1"/>
  <c r="AA122" i="74" s="1"/>
  <c r="Z76" i="74"/>
  <c r="Z122" i="74" s="1"/>
  <c r="J106" i="74"/>
  <c r="J105" i="74" s="1"/>
  <c r="J144" i="74" s="1"/>
  <c r="AA55" i="4"/>
  <c r="AA56" i="4"/>
  <c r="P78" i="74"/>
  <c r="Q32" i="74"/>
  <c r="T80" i="74"/>
  <c r="T126" i="74" s="1"/>
  <c r="K60" i="74"/>
  <c r="K59" i="74" s="1"/>
  <c r="L12" i="74"/>
  <c r="K106" i="74"/>
  <c r="Z55" i="4"/>
  <c r="Z56" i="4"/>
  <c r="W28" i="74"/>
  <c r="V74" i="74"/>
  <c r="N29" i="74"/>
  <c r="M75" i="74"/>
  <c r="F19" i="75"/>
  <c r="X48" i="76"/>
  <c r="U104" i="76"/>
  <c r="S82" i="74"/>
  <c r="S128" i="74" s="1"/>
  <c r="L72" i="74"/>
  <c r="X103" i="74"/>
  <c r="Y9" i="74"/>
  <c r="K98" i="74"/>
  <c r="L60" i="4" s="1"/>
  <c r="L57" i="4" s="1"/>
  <c r="W35" i="74"/>
  <c r="V81" i="74"/>
  <c r="AB55" i="4"/>
  <c r="AB56" i="4"/>
  <c r="E8" i="1"/>
  <c r="E9" i="1" s="1"/>
  <c r="E11" i="1" s="1"/>
  <c r="E12" i="1" s="1"/>
  <c r="N129" i="74"/>
  <c r="O130" i="74"/>
  <c r="P39" i="74"/>
  <c r="T37" i="74"/>
  <c r="T82" i="74" s="1"/>
  <c r="L49" i="4"/>
  <c r="R42" i="74"/>
  <c r="O131" i="74"/>
  <c r="P40" i="74"/>
  <c r="Q43" i="74"/>
  <c r="N115" i="74"/>
  <c r="U34" i="74"/>
  <c r="U80" i="74" s="1"/>
  <c r="S101" i="74"/>
  <c r="P101" i="76"/>
  <c r="W101" i="76"/>
  <c r="X80" i="76"/>
  <c r="X100" i="76" s="1"/>
  <c r="S69" i="4" s="1"/>
  <c r="S67" i="4" s="1"/>
  <c r="K49" i="4"/>
  <c r="K114" i="74"/>
  <c r="I144" i="74"/>
  <c r="J48" i="4" s="1"/>
  <c r="J79" i="4"/>
  <c r="V104" i="74"/>
  <c r="V101" i="74" s="1"/>
  <c r="W10" i="74"/>
  <c r="H144" i="74"/>
  <c r="I48" i="4" s="1"/>
  <c r="I79" i="4"/>
  <c r="O33" i="74"/>
  <c r="O79" i="74" s="1"/>
  <c r="N125" i="74"/>
  <c r="H77" i="4"/>
  <c r="T15" i="74"/>
  <c r="Q15" i="74"/>
  <c r="R31" i="74"/>
  <c r="R77" i="74" s="1"/>
  <c r="P34" i="4"/>
  <c r="P36" i="4" s="1"/>
  <c r="P38" i="4" s="1"/>
  <c r="R6" i="1" s="1"/>
  <c r="S6" i="1" s="1"/>
  <c r="P29" i="4"/>
  <c r="I67" i="4"/>
  <c r="V100" i="76"/>
  <c r="Q69" i="4" s="1"/>
  <c r="Q67" i="4" s="1"/>
  <c r="W100" i="76"/>
  <c r="R69" i="4" s="1"/>
  <c r="R67" i="4" s="1"/>
  <c r="W88" i="76"/>
  <c r="W90" i="76" s="1"/>
  <c r="W98" i="76" s="1"/>
  <c r="K88" i="76"/>
  <c r="M88" i="76"/>
  <c r="M100" i="76"/>
  <c r="J69" i="4" s="1"/>
  <c r="J67" i="4" s="1"/>
  <c r="N88" i="76"/>
  <c r="N90" i="76" s="1"/>
  <c r="N98" i="76" s="1"/>
  <c r="N100" i="76"/>
  <c r="K69" i="4" s="1"/>
  <c r="AE101" i="76"/>
  <c r="U47" i="76"/>
  <c r="R33" i="76"/>
  <c r="R38" i="76" s="1"/>
  <c r="R73" i="76"/>
  <c r="R78" i="76" s="1"/>
  <c r="R52" i="76"/>
  <c r="R57" i="76" s="1"/>
  <c r="R53" i="76"/>
  <c r="R58" i="76" s="1"/>
  <c r="R32" i="76"/>
  <c r="R37" i="76" s="1"/>
  <c r="R72" i="76"/>
  <c r="R77" i="76" s="1"/>
  <c r="F77" i="4"/>
  <c r="F8" i="1" s="1"/>
  <c r="F6" i="58" s="1"/>
  <c r="F5" i="58" s="1"/>
  <c r="F7" i="58" s="1"/>
  <c r="E6" i="58"/>
  <c r="E5" i="58" s="1"/>
  <c r="E7" i="58" s="1"/>
  <c r="D5" i="57" s="1"/>
  <c r="F3" i="56"/>
  <c r="Y35" i="76"/>
  <c r="Z35" i="76" s="1"/>
  <c r="V90" i="76"/>
  <c r="V98" i="76" s="1"/>
  <c r="Y55" i="76"/>
  <c r="Z55" i="76" s="1"/>
  <c r="Z32" i="76"/>
  <c r="R34" i="76"/>
  <c r="R39" i="76" s="1"/>
  <c r="R74" i="76"/>
  <c r="R79" i="76" s="1"/>
  <c r="S9" i="76"/>
  <c r="R54" i="76"/>
  <c r="R59" i="76" s="1"/>
  <c r="F6" i="56"/>
  <c r="G3" i="56"/>
  <c r="Z53" i="76"/>
  <c r="Y58" i="76"/>
  <c r="Z58" i="76" s="1"/>
  <c r="Y78" i="76"/>
  <c r="Z78" i="76" s="1"/>
  <c r="Z73" i="76"/>
  <c r="G90" i="76"/>
  <c r="G98" i="76" s="1"/>
  <c r="Y38" i="76"/>
  <c r="Z38" i="76" s="1"/>
  <c r="Z33" i="76"/>
  <c r="AB8" i="76"/>
  <c r="AA33" i="76"/>
  <c r="AA73" i="76"/>
  <c r="AA53" i="76"/>
  <c r="R50" i="4"/>
  <c r="S50" i="4"/>
  <c r="G21" i="75"/>
  <c r="T50" i="4"/>
  <c r="U50" i="4"/>
  <c r="C14" i="68"/>
  <c r="C18" i="68" s="1"/>
  <c r="F8" i="68"/>
  <c r="E9" i="68"/>
  <c r="C18" i="66"/>
  <c r="Z37" i="76"/>
  <c r="L143" i="74"/>
  <c r="L141" i="74" s="1"/>
  <c r="M52" i="74"/>
  <c r="R119" i="74"/>
  <c r="N7" i="1"/>
  <c r="M72" i="4"/>
  <c r="T8" i="76"/>
  <c r="S53" i="76"/>
  <c r="S73" i="76"/>
  <c r="S78" i="76" s="1"/>
  <c r="S33" i="76"/>
  <c r="S38" i="76" s="1"/>
  <c r="U8" i="76"/>
  <c r="O56" i="76"/>
  <c r="O60" i="76" s="1"/>
  <c r="O68" i="76" s="1"/>
  <c r="O55" i="76"/>
  <c r="P55" i="76" s="1"/>
  <c r="AE14" i="76"/>
  <c r="AD56" i="76"/>
  <c r="AE56" i="76" s="1"/>
  <c r="AD36" i="76"/>
  <c r="AE36" i="76" s="1"/>
  <c r="AD76" i="76"/>
  <c r="K72" i="4"/>
  <c r="R30" i="4"/>
  <c r="Q34" i="4"/>
  <c r="Q36" i="4" s="1"/>
  <c r="Q29" i="4"/>
  <c r="Z57" i="76"/>
  <c r="Q76" i="76"/>
  <c r="Q75" i="76"/>
  <c r="R148" i="74"/>
  <c r="R146" i="74" s="1"/>
  <c r="O35" i="76"/>
  <c r="P35" i="76" s="1"/>
  <c r="O36" i="76"/>
  <c r="O40" i="76" s="1"/>
  <c r="O48" i="76" s="1"/>
  <c r="Z52" i="76"/>
  <c r="L90" i="76"/>
  <c r="L98" i="76" s="1"/>
  <c r="X55" i="4"/>
  <c r="X56" i="4"/>
  <c r="Q56" i="76"/>
  <c r="Q55" i="76"/>
  <c r="AC13" i="76"/>
  <c r="AB37" i="76"/>
  <c r="AB57" i="76"/>
  <c r="AB77" i="76"/>
  <c r="S44" i="74"/>
  <c r="M147" i="74"/>
  <c r="M146" i="74" s="1"/>
  <c r="P51" i="76"/>
  <c r="Y77" i="76"/>
  <c r="Z77" i="76" s="1"/>
  <c r="Z72" i="76"/>
  <c r="O75" i="76"/>
  <c r="P75" i="76" s="1"/>
  <c r="O76" i="76"/>
  <c r="W56" i="4"/>
  <c r="W55" i="4"/>
  <c r="K71" i="4"/>
  <c r="K57" i="4"/>
  <c r="L72" i="4"/>
  <c r="N51" i="74"/>
  <c r="H10" i="64"/>
  <c r="H12" i="64" s="1"/>
  <c r="G6" i="56"/>
  <c r="S6" i="76"/>
  <c r="R51" i="76"/>
  <c r="R31" i="76"/>
  <c r="R71" i="76"/>
  <c r="V126" i="74"/>
  <c r="Z36" i="76"/>
  <c r="M107" i="74"/>
  <c r="N13" i="74"/>
  <c r="P4" i="64"/>
  <c r="O7" i="64"/>
  <c r="V56" i="4"/>
  <c r="V55" i="4"/>
  <c r="O11" i="56"/>
  <c r="L4" i="58"/>
  <c r="L3" i="58" s="1"/>
  <c r="T7" i="76"/>
  <c r="U7" i="76" s="1"/>
  <c r="S32" i="76"/>
  <c r="S37" i="76" s="1"/>
  <c r="S52" i="76"/>
  <c r="S57" i="76" s="1"/>
  <c r="S72" i="76"/>
  <c r="S77" i="76" s="1"/>
  <c r="T127" i="74"/>
  <c r="Q36" i="76"/>
  <c r="Q35" i="76"/>
  <c r="P71" i="76"/>
  <c r="Y75" i="76"/>
  <c r="Z75" i="76" s="1"/>
  <c r="Z56" i="76"/>
  <c r="AB50" i="4" l="1"/>
  <c r="K67" i="4"/>
  <c r="Y50" i="4"/>
  <c r="AB7" i="4"/>
  <c r="AB9" i="4" s="1"/>
  <c r="AB11" i="4" s="1"/>
  <c r="AA9" i="4"/>
  <c r="AA11" i="4" s="1"/>
  <c r="Z50" i="4"/>
  <c r="AA50" i="4"/>
  <c r="AH72" i="76"/>
  <c r="AI7" i="76"/>
  <c r="AJ7" i="76" s="1"/>
  <c r="AH32" i="76"/>
  <c r="AH52" i="76"/>
  <c r="AH14" i="76"/>
  <c r="AG36" i="76"/>
  <c r="AG56" i="76"/>
  <c r="AG76" i="76"/>
  <c r="AH74" i="76"/>
  <c r="AH79" i="76" s="1"/>
  <c r="AI9" i="76"/>
  <c r="AJ9" i="76" s="1"/>
  <c r="AH54" i="76"/>
  <c r="AH59" i="76" s="1"/>
  <c r="AH34" i="76"/>
  <c r="AH39" i="76" s="1"/>
  <c r="Q146" i="74"/>
  <c r="R49" i="4" s="1"/>
  <c r="Z9" i="74"/>
  <c r="Y103" i="74"/>
  <c r="M72" i="74"/>
  <c r="M121" i="74"/>
  <c r="M118" i="74" s="1"/>
  <c r="L60" i="74"/>
  <c r="L59" i="74" s="1"/>
  <c r="L98" i="74" s="1"/>
  <c r="M60" i="4" s="1"/>
  <c r="M57" i="4" s="1"/>
  <c r="M12" i="74"/>
  <c r="W104" i="74"/>
  <c r="W101" i="74" s="1"/>
  <c r="X10" i="74"/>
  <c r="K105" i="74"/>
  <c r="K144" i="74" s="1"/>
  <c r="O129" i="74"/>
  <c r="N75" i="74"/>
  <c r="O29" i="74"/>
  <c r="Q78" i="74"/>
  <c r="R32" i="74"/>
  <c r="T25" i="74"/>
  <c r="S71" i="74"/>
  <c r="X28" i="74"/>
  <c r="W74" i="74"/>
  <c r="Z12" i="74"/>
  <c r="Y60" i="74"/>
  <c r="Y106" i="74" s="1"/>
  <c r="N82" i="74"/>
  <c r="N128" i="74" s="1"/>
  <c r="O37" i="74"/>
  <c r="O82" i="74" s="1"/>
  <c r="O128" i="74" s="1"/>
  <c r="L71" i="4"/>
  <c r="X35" i="74"/>
  <c r="W81" i="74"/>
  <c r="X88" i="76"/>
  <c r="X90" i="76" s="1"/>
  <c r="X98" i="76" s="1"/>
  <c r="F20" i="75"/>
  <c r="H8" i="1"/>
  <c r="H9" i="1" s="1"/>
  <c r="O115" i="74"/>
  <c r="Q40" i="74"/>
  <c r="Q39" i="74"/>
  <c r="R43" i="74"/>
  <c r="S42" i="74"/>
  <c r="U37" i="74"/>
  <c r="U82" i="74" s="1"/>
  <c r="T128" i="74"/>
  <c r="I77" i="4"/>
  <c r="J8" i="1" s="1"/>
  <c r="K4" i="56" s="1"/>
  <c r="W34" i="74"/>
  <c r="U126" i="74"/>
  <c r="L48" i="4"/>
  <c r="K48" i="4"/>
  <c r="K77" i="4" s="1"/>
  <c r="S23" i="74"/>
  <c r="S69" i="74" s="1"/>
  <c r="R15" i="74"/>
  <c r="Q108" i="74"/>
  <c r="U15" i="74"/>
  <c r="T108" i="74"/>
  <c r="O125" i="74"/>
  <c r="P33" i="74"/>
  <c r="P79" i="74" s="1"/>
  <c r="L114" i="74"/>
  <c r="S31" i="74"/>
  <c r="S77" i="74" s="1"/>
  <c r="N79" i="4"/>
  <c r="N49" i="4"/>
  <c r="G20" i="75" s="1"/>
  <c r="U101" i="76"/>
  <c r="E5" i="57"/>
  <c r="H21" i="75"/>
  <c r="F9" i="1"/>
  <c r="F10" i="1" s="1"/>
  <c r="G6" i="58"/>
  <c r="G5" i="58" s="1"/>
  <c r="G7" i="58" s="1"/>
  <c r="F5" i="57" s="1"/>
  <c r="E10" i="1"/>
  <c r="J77" i="4"/>
  <c r="Y40" i="76"/>
  <c r="Y48" i="76" s="1"/>
  <c r="S74" i="76"/>
  <c r="S79" i="76" s="1"/>
  <c r="T9" i="76"/>
  <c r="S34" i="76"/>
  <c r="S39" i="76" s="1"/>
  <c r="S54" i="76"/>
  <c r="S59" i="76" s="1"/>
  <c r="Y60" i="76"/>
  <c r="Y68" i="76" s="1"/>
  <c r="AB73" i="76"/>
  <c r="AB53" i="76"/>
  <c r="AC8" i="76"/>
  <c r="AB33" i="76"/>
  <c r="AA58" i="76"/>
  <c r="AA60" i="76" s="1"/>
  <c r="AA68" i="76" s="1"/>
  <c r="AA55" i="76"/>
  <c r="AA78" i="76"/>
  <c r="AA80" i="76" s="1"/>
  <c r="AA75" i="76"/>
  <c r="AA38" i="76"/>
  <c r="AA40" i="76" s="1"/>
  <c r="AA48" i="76" s="1"/>
  <c r="AA35" i="76"/>
  <c r="V50" i="4"/>
  <c r="W50" i="4"/>
  <c r="X50" i="4"/>
  <c r="F23" i="75"/>
  <c r="D18" i="66"/>
  <c r="F9" i="68"/>
  <c r="D18" i="68"/>
  <c r="C19" i="68"/>
  <c r="P40" i="76"/>
  <c r="P48" i="76" s="1"/>
  <c r="P56" i="76"/>
  <c r="P60" i="76"/>
  <c r="P68" i="76" s="1"/>
  <c r="S49" i="4"/>
  <c r="S148" i="74"/>
  <c r="S146" i="74" s="1"/>
  <c r="AE76" i="76"/>
  <c r="T53" i="76"/>
  <c r="T58" i="76" s="1"/>
  <c r="T33" i="76"/>
  <c r="T73" i="76"/>
  <c r="T6" i="76"/>
  <c r="S51" i="76"/>
  <c r="S31" i="76"/>
  <c r="S71" i="76"/>
  <c r="AD13" i="76"/>
  <c r="AF13" i="76" s="1"/>
  <c r="AC57" i="76"/>
  <c r="AC37" i="76"/>
  <c r="AC77" i="76"/>
  <c r="N142" i="74"/>
  <c r="R75" i="76"/>
  <c r="R76" i="76"/>
  <c r="R80" i="76" s="1"/>
  <c r="M142" i="74"/>
  <c r="O80" i="76"/>
  <c r="P76" i="76"/>
  <c r="U127" i="74"/>
  <c r="T4" i="64"/>
  <c r="P7" i="64"/>
  <c r="Q4" i="64" s="1"/>
  <c r="Q7" i="64" s="1"/>
  <c r="R4" i="64" s="1"/>
  <c r="R7" i="64" s="1"/>
  <c r="S4" i="64" s="1"/>
  <c r="S7" i="64" s="1"/>
  <c r="R36" i="76"/>
  <c r="R40" i="76" s="1"/>
  <c r="R48" i="76" s="1"/>
  <c r="R35" i="76"/>
  <c r="O51" i="74"/>
  <c r="Q38" i="4"/>
  <c r="T6" i="1" s="1"/>
  <c r="F24" i="75"/>
  <c r="T27" i="74"/>
  <c r="T73" i="74" s="1"/>
  <c r="S119" i="74"/>
  <c r="Y80" i="76"/>
  <c r="Q80" i="76"/>
  <c r="S58" i="76"/>
  <c r="N52" i="74"/>
  <c r="M143" i="74"/>
  <c r="D4" i="57"/>
  <c r="F16" i="64"/>
  <c r="E17" i="64"/>
  <c r="T44" i="74"/>
  <c r="Q40" i="76"/>
  <c r="Q48" i="76" s="1"/>
  <c r="T32" i="76"/>
  <c r="T37" i="76" s="1"/>
  <c r="U37" i="76" s="1"/>
  <c r="T52" i="76"/>
  <c r="T57" i="76" s="1"/>
  <c r="U57" i="76" s="1"/>
  <c r="T72" i="76"/>
  <c r="T77" i="76" s="1"/>
  <c r="U77" i="76" s="1"/>
  <c r="N107" i="74"/>
  <c r="O13" i="74"/>
  <c r="R55" i="76"/>
  <c r="R56" i="76"/>
  <c r="R60" i="76" s="1"/>
  <c r="R68" i="76" s="1"/>
  <c r="I10" i="64"/>
  <c r="I12" i="64" s="1"/>
  <c r="H6" i="56"/>
  <c r="P36" i="76"/>
  <c r="Q60" i="76"/>
  <c r="Q68" i="76" s="1"/>
  <c r="M90" i="76"/>
  <c r="M98" i="76" s="1"/>
  <c r="S30" i="4"/>
  <c r="R34" i="4"/>
  <c r="R36" i="4" s="1"/>
  <c r="R29" i="4"/>
  <c r="F13" i="75"/>
  <c r="F14" i="75" s="1"/>
  <c r="M71" i="4"/>
  <c r="J21" i="75" l="1"/>
  <c r="F18" i="75"/>
  <c r="F17" i="75" s="1"/>
  <c r="AI14" i="76"/>
  <c r="AJ14" i="76" s="1"/>
  <c r="AH56" i="76"/>
  <c r="AH36" i="76"/>
  <c r="AH76" i="76"/>
  <c r="AG13" i="76"/>
  <c r="AF37" i="76"/>
  <c r="AF57" i="76"/>
  <c r="AF77" i="76"/>
  <c r="AI34" i="76"/>
  <c r="AI39" i="76" s="1"/>
  <c r="AJ39" i="76" s="1"/>
  <c r="AI74" i="76"/>
  <c r="AI54" i="76"/>
  <c r="AI59" i="76" s="1"/>
  <c r="AJ59" i="76" s="1"/>
  <c r="AI32" i="76"/>
  <c r="AJ32" i="76" s="1"/>
  <c r="AI72" i="76"/>
  <c r="AJ72" i="76" s="1"/>
  <c r="AI52" i="76"/>
  <c r="AJ52" i="76" s="1"/>
  <c r="AA12" i="74"/>
  <c r="Z60" i="74"/>
  <c r="Z106" i="74" s="1"/>
  <c r="Y28" i="74"/>
  <c r="X74" i="74"/>
  <c r="X120" i="74" s="1"/>
  <c r="N72" i="74"/>
  <c r="N121" i="74"/>
  <c r="N118" i="74" s="1"/>
  <c r="O79" i="4" s="1"/>
  <c r="AA9" i="74"/>
  <c r="AA103" i="74" s="1"/>
  <c r="Z103" i="74"/>
  <c r="X81" i="74"/>
  <c r="X127" i="74" s="1"/>
  <c r="Y35" i="74"/>
  <c r="R78" i="74"/>
  <c r="S32" i="74"/>
  <c r="N72" i="4"/>
  <c r="X34" i="74"/>
  <c r="W80" i="74"/>
  <c r="W126" i="74" s="1"/>
  <c r="L106" i="74"/>
  <c r="L105" i="74" s="1"/>
  <c r="L144" i="74" s="1"/>
  <c r="M48" i="4" s="1"/>
  <c r="Y10" i="74"/>
  <c r="X104" i="74"/>
  <c r="X101" i="74" s="1"/>
  <c r="U25" i="74"/>
  <c r="T71" i="74"/>
  <c r="O75" i="74"/>
  <c r="O72" i="74" s="1"/>
  <c r="P29" i="74"/>
  <c r="M60" i="74"/>
  <c r="M59" i="74" s="1"/>
  <c r="M98" i="74" s="1"/>
  <c r="N60" i="4" s="1"/>
  <c r="M106" i="74"/>
  <c r="N12" i="74"/>
  <c r="J9" i="1"/>
  <c r="J11" i="1" s="1"/>
  <c r="V37" i="74"/>
  <c r="V82" i="74" s="1"/>
  <c r="U128" i="74"/>
  <c r="R40" i="74"/>
  <c r="S43" i="74"/>
  <c r="T42" i="74"/>
  <c r="R39" i="74"/>
  <c r="U108" i="74"/>
  <c r="V15" i="74"/>
  <c r="R108" i="74"/>
  <c r="S15" i="74"/>
  <c r="S108" i="74" s="1"/>
  <c r="M114" i="74"/>
  <c r="M105" i="74" s="1"/>
  <c r="Q33" i="74"/>
  <c r="Q79" i="74" s="1"/>
  <c r="T31" i="74"/>
  <c r="T77" i="74" s="1"/>
  <c r="R100" i="76"/>
  <c r="N69" i="4" s="1"/>
  <c r="N67" i="4" s="1"/>
  <c r="R88" i="76"/>
  <c r="R90" i="76" s="1"/>
  <c r="R98" i="76" s="1"/>
  <c r="Q100" i="76"/>
  <c r="M69" i="4" s="1"/>
  <c r="M67" i="4" s="1"/>
  <c r="Q88" i="76"/>
  <c r="O100" i="76"/>
  <c r="L69" i="4" s="1"/>
  <c r="O88" i="76"/>
  <c r="Y100" i="76"/>
  <c r="Y88" i="76"/>
  <c r="AA100" i="76"/>
  <c r="U69" i="4" s="1"/>
  <c r="U67" i="4" s="1"/>
  <c r="AA88" i="76"/>
  <c r="AA90" i="76" s="1"/>
  <c r="AA98" i="76" s="1"/>
  <c r="F11" i="1"/>
  <c r="F12" i="1" s="1"/>
  <c r="G16" i="64" s="1"/>
  <c r="Z60" i="76"/>
  <c r="Z68" i="76" s="1"/>
  <c r="Z40" i="76"/>
  <c r="Z48" i="76" s="1"/>
  <c r="T34" i="76"/>
  <c r="T39" i="76" s="1"/>
  <c r="U39" i="76" s="1"/>
  <c r="T54" i="76"/>
  <c r="U9" i="76"/>
  <c r="T74" i="76"/>
  <c r="AB75" i="76"/>
  <c r="AB78" i="76"/>
  <c r="AB80" i="76" s="1"/>
  <c r="AB58" i="76"/>
  <c r="AB60" i="76" s="1"/>
  <c r="AB68" i="76" s="1"/>
  <c r="AB55" i="76"/>
  <c r="AB38" i="76"/>
  <c r="AB40" i="76" s="1"/>
  <c r="AB48" i="76" s="1"/>
  <c r="AB35" i="76"/>
  <c r="AC53" i="76"/>
  <c r="AC73" i="76"/>
  <c r="AD8" i="76"/>
  <c r="AF8" i="76" s="1"/>
  <c r="AC33" i="76"/>
  <c r="L8" i="1"/>
  <c r="L9" i="1" s="1"/>
  <c r="I21" i="75"/>
  <c r="G19" i="68"/>
  <c r="F18" i="66"/>
  <c r="J18" i="66" s="1"/>
  <c r="D19" i="68"/>
  <c r="E18" i="68"/>
  <c r="U53" i="76"/>
  <c r="U72" i="76"/>
  <c r="I6" i="58"/>
  <c r="I5" i="58" s="1"/>
  <c r="I7" i="58" s="1"/>
  <c r="K3" i="56"/>
  <c r="S55" i="76"/>
  <c r="S56" i="76"/>
  <c r="U58" i="76"/>
  <c r="U27" i="74"/>
  <c r="U73" i="74" s="1"/>
  <c r="T119" i="74"/>
  <c r="V127" i="74"/>
  <c r="W127" i="74"/>
  <c r="M141" i="74"/>
  <c r="AE13" i="76"/>
  <c r="AD77" i="76"/>
  <c r="AD37" i="76"/>
  <c r="AE37" i="76" s="1"/>
  <c r="AD57" i="76"/>
  <c r="AE57" i="76" s="1"/>
  <c r="T51" i="76"/>
  <c r="U51" i="76" s="1"/>
  <c r="T71" i="76"/>
  <c r="T31" i="76"/>
  <c r="U31" i="76" s="1"/>
  <c r="U32" i="76"/>
  <c r="H6" i="58"/>
  <c r="H5" i="58" s="1"/>
  <c r="H7" i="58" s="1"/>
  <c r="G5" i="57" s="1"/>
  <c r="H5" i="57" s="1"/>
  <c r="I3" i="56"/>
  <c r="J4" i="56"/>
  <c r="T7" i="64"/>
  <c r="U4" i="64"/>
  <c r="P80" i="76"/>
  <c r="T30" i="4"/>
  <c r="S34" i="4"/>
  <c r="S36" i="4" s="1"/>
  <c r="S29" i="4"/>
  <c r="O107" i="74"/>
  <c r="P13" i="74"/>
  <c r="K8" i="1"/>
  <c r="P51" i="74"/>
  <c r="N57" i="4"/>
  <c r="N71" i="4"/>
  <c r="O72" i="4"/>
  <c r="S75" i="76"/>
  <c r="S76" i="76"/>
  <c r="S80" i="76" s="1"/>
  <c r="T78" i="76"/>
  <c r="U78" i="76" s="1"/>
  <c r="U73" i="76"/>
  <c r="R38" i="4"/>
  <c r="U6" i="1" s="1"/>
  <c r="U44" i="74"/>
  <c r="H11" i="1"/>
  <c r="D3" i="57"/>
  <c r="J12" i="64"/>
  <c r="I6" i="56"/>
  <c r="K10" i="64"/>
  <c r="U52" i="76"/>
  <c r="F15" i="64"/>
  <c r="E7" i="56"/>
  <c r="E5" i="56" s="1"/>
  <c r="E8" i="56" s="1"/>
  <c r="E18" i="64"/>
  <c r="N143" i="74"/>
  <c r="N141" i="74" s="1"/>
  <c r="O52" i="74"/>
  <c r="Z80" i="76"/>
  <c r="U6" i="76"/>
  <c r="S36" i="76"/>
  <c r="S35" i="76"/>
  <c r="T38" i="76"/>
  <c r="U38" i="76" s="1"/>
  <c r="U33" i="76"/>
  <c r="T49" i="4"/>
  <c r="H20" i="75" s="1"/>
  <c r="T148" i="74"/>
  <c r="T146" i="74" s="1"/>
  <c r="I5" i="57" l="1"/>
  <c r="L67" i="4"/>
  <c r="AJ34" i="76"/>
  <c r="AI79" i="76"/>
  <c r="AJ79" i="76" s="1"/>
  <c r="AJ74" i="76"/>
  <c r="AJ54" i="76"/>
  <c r="AF33" i="76"/>
  <c r="AF53" i="76"/>
  <c r="AG8" i="76"/>
  <c r="AF73" i="76"/>
  <c r="AH13" i="76"/>
  <c r="AG57" i="76"/>
  <c r="AG37" i="76"/>
  <c r="AG77" i="76"/>
  <c r="AI56" i="76"/>
  <c r="AJ56" i="76" s="1"/>
  <c r="AI76" i="76"/>
  <c r="AJ76" i="76" s="1"/>
  <c r="AI36" i="76"/>
  <c r="AJ36" i="76" s="1"/>
  <c r="Y74" i="74"/>
  <c r="Y120" i="74" s="1"/>
  <c r="Z28" i="74"/>
  <c r="V25" i="74"/>
  <c r="U71" i="74"/>
  <c r="S78" i="74"/>
  <c r="T32" i="74"/>
  <c r="O121" i="74"/>
  <c r="O118" i="74" s="1"/>
  <c r="G27" i="75" s="1"/>
  <c r="G26" i="75" s="1"/>
  <c r="Z35" i="74"/>
  <c r="Y81" i="74"/>
  <c r="Y127" i="74" s="1"/>
  <c r="P75" i="74"/>
  <c r="P72" i="74" s="1"/>
  <c r="T29" i="74"/>
  <c r="Q29" i="74"/>
  <c r="AA60" i="74"/>
  <c r="AA106" i="74" s="1"/>
  <c r="N60" i="74"/>
  <c r="N59" i="74" s="1"/>
  <c r="N98" i="74" s="1"/>
  <c r="O60" i="4" s="1"/>
  <c r="O57" i="4" s="1"/>
  <c r="O12" i="74"/>
  <c r="Z10" i="74"/>
  <c r="Y104" i="74"/>
  <c r="Y101" i="74" s="1"/>
  <c r="Y34" i="74"/>
  <c r="X80" i="74"/>
  <c r="X126" i="74" s="1"/>
  <c r="U42" i="74"/>
  <c r="S40" i="74"/>
  <c r="S39" i="74"/>
  <c r="U43" i="74"/>
  <c r="W37" i="74"/>
  <c r="V128" i="74"/>
  <c r="M144" i="74"/>
  <c r="N114" i="74"/>
  <c r="W15" i="74"/>
  <c r="V108" i="74"/>
  <c r="U31" i="74"/>
  <c r="U77" i="74" s="1"/>
  <c r="R33" i="74"/>
  <c r="R79" i="74" s="1"/>
  <c r="L77" i="4"/>
  <c r="F22" i="75"/>
  <c r="S88" i="76"/>
  <c r="AB100" i="76"/>
  <c r="V69" i="4" s="1"/>
  <c r="V67" i="4" s="1"/>
  <c r="AB88" i="76"/>
  <c r="AB90" i="76" s="1"/>
  <c r="AB98" i="76" s="1"/>
  <c r="E4" i="57"/>
  <c r="E3" i="57" s="1"/>
  <c r="E10" i="57" s="1"/>
  <c r="E12" i="57" s="1"/>
  <c r="Z100" i="76"/>
  <c r="Z88" i="76"/>
  <c r="Z90" i="76" s="1"/>
  <c r="Z98" i="76" s="1"/>
  <c r="P100" i="76"/>
  <c r="P88" i="76"/>
  <c r="P90" i="76" s="1"/>
  <c r="P98" i="76" s="1"/>
  <c r="T69" i="4"/>
  <c r="T67" i="4" s="1"/>
  <c r="H22" i="75" s="1"/>
  <c r="U34" i="76"/>
  <c r="T79" i="76"/>
  <c r="U79" i="76" s="1"/>
  <c r="U74" i="76"/>
  <c r="T59" i="76"/>
  <c r="U59" i="76" s="1"/>
  <c r="U54" i="76"/>
  <c r="AC55" i="76"/>
  <c r="AC58" i="76"/>
  <c r="AC60" i="76" s="1"/>
  <c r="AC68" i="76" s="1"/>
  <c r="M4" i="56"/>
  <c r="M3" i="56" s="1"/>
  <c r="AC38" i="76"/>
  <c r="AC40" i="76" s="1"/>
  <c r="AC48" i="76" s="1"/>
  <c r="AC35" i="76"/>
  <c r="AC78" i="76"/>
  <c r="AC80" i="76" s="1"/>
  <c r="AC75" i="76"/>
  <c r="AD53" i="76"/>
  <c r="AD73" i="76"/>
  <c r="AD33" i="76"/>
  <c r="AE8" i="76"/>
  <c r="E19" i="68"/>
  <c r="F18" i="68"/>
  <c r="G18" i="66"/>
  <c r="D20" i="68"/>
  <c r="C21" i="68" s="1"/>
  <c r="H12" i="1"/>
  <c r="I16" i="64" s="1"/>
  <c r="Q51" i="74"/>
  <c r="T51" i="74"/>
  <c r="V44" i="74"/>
  <c r="L4" i="56"/>
  <c r="K9" i="1"/>
  <c r="F17" i="64"/>
  <c r="J15" i="64"/>
  <c r="J6" i="56"/>
  <c r="Y4" i="64"/>
  <c r="U7" i="64"/>
  <c r="V4" i="64" s="1"/>
  <c r="V7" i="64" s="1"/>
  <c r="W4" i="64" s="1"/>
  <c r="W7" i="64" s="1"/>
  <c r="X4" i="64" s="1"/>
  <c r="X7" i="64" s="1"/>
  <c r="S38" i="4"/>
  <c r="V6" i="1" s="1"/>
  <c r="S60" i="76"/>
  <c r="S68" i="76" s="1"/>
  <c r="U148" i="74"/>
  <c r="U146" i="74" s="1"/>
  <c r="U49" i="4"/>
  <c r="Y90" i="76"/>
  <c r="Y98" i="76" s="1"/>
  <c r="Q90" i="76"/>
  <c r="Q98" i="76" s="1"/>
  <c r="O90" i="76"/>
  <c r="O98" i="76" s="1"/>
  <c r="J3" i="56"/>
  <c r="P52" i="74"/>
  <c r="O143" i="74"/>
  <c r="T76" i="76"/>
  <c r="T75" i="76"/>
  <c r="U75" i="76" s="1"/>
  <c r="U71" i="76"/>
  <c r="L11" i="1"/>
  <c r="L12" i="1" s="1"/>
  <c r="D10" i="57"/>
  <c r="Q13" i="74"/>
  <c r="T13" i="74"/>
  <c r="T55" i="76"/>
  <c r="U55" i="76" s="1"/>
  <c r="T56" i="76"/>
  <c r="AE77" i="76"/>
  <c r="S40" i="76"/>
  <c r="S48" i="76" s="1"/>
  <c r="E10" i="56"/>
  <c r="E9" i="56" s="1"/>
  <c r="E12" i="56" s="1"/>
  <c r="E15" i="56" s="1"/>
  <c r="J12" i="1"/>
  <c r="O10" i="64"/>
  <c r="K12" i="64"/>
  <c r="O142" i="74"/>
  <c r="T34" i="4"/>
  <c r="T36" i="4" s="1"/>
  <c r="U30" i="4"/>
  <c r="T29" i="4"/>
  <c r="T36" i="76"/>
  <c r="T40" i="76" s="1"/>
  <c r="T48" i="76" s="1"/>
  <c r="T35" i="76"/>
  <c r="U35" i="76" s="1"/>
  <c r="V27" i="74"/>
  <c r="V73" i="74" s="1"/>
  <c r="U119" i="74"/>
  <c r="AG53" i="76" l="1"/>
  <c r="AG33" i="76"/>
  <c r="AH8" i="76"/>
  <c r="AG73" i="76"/>
  <c r="AF58" i="76"/>
  <c r="AF55" i="76"/>
  <c r="AF38" i="76"/>
  <c r="AF35" i="76"/>
  <c r="AI13" i="76"/>
  <c r="AJ13" i="76" s="1"/>
  <c r="AH57" i="76"/>
  <c r="AH37" i="76"/>
  <c r="AH77" i="76"/>
  <c r="AF78" i="76"/>
  <c r="AF75" i="76"/>
  <c r="AA10" i="74"/>
  <c r="AA104" i="74" s="1"/>
  <c r="AA101" i="74" s="1"/>
  <c r="Z104" i="74"/>
  <c r="Z101" i="74" s="1"/>
  <c r="U29" i="74"/>
  <c r="T75" i="74"/>
  <c r="T78" i="74"/>
  <c r="U32" i="74"/>
  <c r="P72" i="4"/>
  <c r="G24" i="75" s="1"/>
  <c r="Z34" i="74"/>
  <c r="Y80" i="74"/>
  <c r="Y126" i="74" s="1"/>
  <c r="O60" i="74"/>
  <c r="O59" i="74" s="1"/>
  <c r="O98" i="74" s="1"/>
  <c r="P60" i="4" s="1"/>
  <c r="AA35" i="74"/>
  <c r="AA81" i="74" s="1"/>
  <c r="AA127" i="74" s="1"/>
  <c r="Z81" i="74"/>
  <c r="Z127" i="74" s="1"/>
  <c r="AA28" i="74"/>
  <c r="AA74" i="74" s="1"/>
  <c r="AA120" i="74" s="1"/>
  <c r="Z74" i="74"/>
  <c r="Z120" i="74" s="1"/>
  <c r="W108" i="74"/>
  <c r="X15" i="74"/>
  <c r="X37" i="74"/>
  <c r="W82" i="74"/>
  <c r="W128" i="74" s="1"/>
  <c r="O71" i="4"/>
  <c r="N106" i="74"/>
  <c r="N105" i="74" s="1"/>
  <c r="N144" i="74" s="1"/>
  <c r="O48" i="4" s="1"/>
  <c r="Q75" i="74"/>
  <c r="R29" i="74"/>
  <c r="P79" i="4"/>
  <c r="E47" i="75"/>
  <c r="W25" i="74"/>
  <c r="V71" i="74"/>
  <c r="M8" i="1"/>
  <c r="M9" i="1" s="1"/>
  <c r="M11" i="1" s="1"/>
  <c r="M12" i="1" s="1"/>
  <c r="L4" i="57" s="1"/>
  <c r="F30" i="75"/>
  <c r="F32" i="75" s="1"/>
  <c r="T39" i="74"/>
  <c r="V43" i="74"/>
  <c r="N48" i="4"/>
  <c r="S33" i="74"/>
  <c r="S79" i="74" s="1"/>
  <c r="V31" i="74"/>
  <c r="V77" i="74" s="1"/>
  <c r="O114" i="74"/>
  <c r="O141" i="74"/>
  <c r="G19" i="75" s="1"/>
  <c r="G17" i="75" s="1"/>
  <c r="S100" i="76"/>
  <c r="O69" i="4" s="1"/>
  <c r="AC100" i="76"/>
  <c r="W69" i="4" s="1"/>
  <c r="W67" i="4" s="1"/>
  <c r="AC88" i="76"/>
  <c r="AC90" i="76" s="1"/>
  <c r="AC98" i="76" s="1"/>
  <c r="T60" i="76"/>
  <c r="T68" i="76" s="1"/>
  <c r="K6" i="58"/>
  <c r="K5" i="58" s="1"/>
  <c r="K7" i="58" s="1"/>
  <c r="AD55" i="76"/>
  <c r="AE55" i="76" s="1"/>
  <c r="AD58" i="76"/>
  <c r="AE33" i="76"/>
  <c r="AD38" i="76"/>
  <c r="AD35" i="76"/>
  <c r="AE35" i="76" s="1"/>
  <c r="AD75" i="76"/>
  <c r="AE75" i="76" s="1"/>
  <c r="AD78" i="76"/>
  <c r="AE53" i="76"/>
  <c r="AE73" i="76"/>
  <c r="G4" i="57"/>
  <c r="G3" i="57" s="1"/>
  <c r="G10" i="57" s="1"/>
  <c r="C25" i="68"/>
  <c r="C29" i="68" s="1"/>
  <c r="F19" i="68"/>
  <c r="E20" i="68"/>
  <c r="H18" i="66"/>
  <c r="U36" i="76"/>
  <c r="Q107" i="74"/>
  <c r="R13" i="74"/>
  <c r="K4" i="57"/>
  <c r="M16" i="64"/>
  <c r="W27" i="74"/>
  <c r="V119" i="74"/>
  <c r="U40" i="76"/>
  <c r="U48" i="76" s="1"/>
  <c r="T80" i="76"/>
  <c r="U76" i="76"/>
  <c r="V49" i="4"/>
  <c r="V148" i="74"/>
  <c r="V146" i="74" s="1"/>
  <c r="L3" i="56"/>
  <c r="J6" i="58"/>
  <c r="J5" i="58" s="1"/>
  <c r="J7" i="58" s="1"/>
  <c r="J5" i="57" s="1"/>
  <c r="V30" i="4"/>
  <c r="U29" i="4"/>
  <c r="U34" i="4"/>
  <c r="U36" i="4" s="1"/>
  <c r="E14" i="56"/>
  <c r="T107" i="74"/>
  <c r="U13" i="74"/>
  <c r="U56" i="76"/>
  <c r="G15" i="64"/>
  <c r="G17" i="64" s="1"/>
  <c r="F7" i="56"/>
  <c r="F5" i="56" s="1"/>
  <c r="F8" i="56" s="1"/>
  <c r="F18" i="64"/>
  <c r="Z4" i="64"/>
  <c r="Y7" i="64"/>
  <c r="K11" i="1"/>
  <c r="N9" i="1"/>
  <c r="R51" i="74"/>
  <c r="L10" i="64"/>
  <c r="L12" i="64" s="1"/>
  <c r="K6" i="56"/>
  <c r="Q52" i="74"/>
  <c r="T52" i="74"/>
  <c r="T38" i="4"/>
  <c r="W6" i="1" s="1"/>
  <c r="X6" i="1" s="1"/>
  <c r="K16" i="64"/>
  <c r="I4" i="57"/>
  <c r="Q72" i="4"/>
  <c r="P71" i="4"/>
  <c r="P57" i="4"/>
  <c r="G13" i="75" s="1"/>
  <c r="D12" i="57"/>
  <c r="W44" i="74"/>
  <c r="X44" i="74" s="1"/>
  <c r="Y44" i="74" s="1"/>
  <c r="Z44" i="74" s="1"/>
  <c r="AA44" i="74" s="1"/>
  <c r="U51" i="74"/>
  <c r="G23" i="75" l="1"/>
  <c r="O67" i="4"/>
  <c r="AF60" i="76"/>
  <c r="AF80" i="76"/>
  <c r="AF40" i="76"/>
  <c r="AF48" i="76" s="1"/>
  <c r="AG78" i="76"/>
  <c r="AG80" i="76" s="1"/>
  <c r="AG88" i="76" s="1"/>
  <c r="AG75" i="76"/>
  <c r="AI77" i="76"/>
  <c r="AJ77" i="76" s="1"/>
  <c r="AI57" i="76"/>
  <c r="AJ57" i="76" s="1"/>
  <c r="AI37" i="76"/>
  <c r="AJ37" i="76" s="1"/>
  <c r="AH73" i="76"/>
  <c r="AH53" i="76"/>
  <c r="AH33" i="76"/>
  <c r="AI8" i="76"/>
  <c r="AJ8" i="76" s="1"/>
  <c r="AG38" i="76"/>
  <c r="AG40" i="76" s="1"/>
  <c r="AG35" i="76"/>
  <c r="AG58" i="76"/>
  <c r="AG60" i="76" s="1"/>
  <c r="AG68" i="76" s="1"/>
  <c r="AG55" i="76"/>
  <c r="X27" i="74"/>
  <c r="W73" i="74"/>
  <c r="Y37" i="74"/>
  <c r="X82" i="74"/>
  <c r="X128" i="74" s="1"/>
  <c r="U78" i="74"/>
  <c r="V32" i="74"/>
  <c r="N8" i="1"/>
  <c r="R75" i="74"/>
  <c r="S29" i="74"/>
  <c r="S75" i="74" s="1"/>
  <c r="AA34" i="74"/>
  <c r="AA80" i="74" s="1"/>
  <c r="AA126" i="74" s="1"/>
  <c r="Z80" i="74"/>
  <c r="Z126" i="74" s="1"/>
  <c r="N4" i="56"/>
  <c r="N3" i="56" s="1"/>
  <c r="O3" i="56" s="1"/>
  <c r="X25" i="74"/>
  <c r="W71" i="74"/>
  <c r="Y15" i="74"/>
  <c r="X108" i="74"/>
  <c r="O106" i="74"/>
  <c r="O105" i="74" s="1"/>
  <c r="V29" i="74"/>
  <c r="U75" i="74"/>
  <c r="W43" i="74"/>
  <c r="X43" i="74" s="1"/>
  <c r="Y43" i="74" s="1"/>
  <c r="Z43" i="74" s="1"/>
  <c r="AA43" i="74" s="1"/>
  <c r="U39" i="74"/>
  <c r="T33" i="74"/>
  <c r="T79" i="74" s="1"/>
  <c r="W31" i="74"/>
  <c r="U60" i="76"/>
  <c r="U68" i="76" s="1"/>
  <c r="T100" i="76"/>
  <c r="P69" i="4" s="1"/>
  <c r="P67" i="4" s="1"/>
  <c r="T88" i="76"/>
  <c r="E48" i="75"/>
  <c r="N11" i="1"/>
  <c r="N12" i="1" s="1"/>
  <c r="N16" i="64"/>
  <c r="AE78" i="76"/>
  <c r="AD80" i="76"/>
  <c r="AE38" i="76"/>
  <c r="AD40" i="76"/>
  <c r="AD48" i="76" s="1"/>
  <c r="AE58" i="76"/>
  <c r="AD60" i="76"/>
  <c r="AD68" i="76" s="1"/>
  <c r="K5" i="57"/>
  <c r="I18" i="66"/>
  <c r="F20" i="68"/>
  <c r="K12" i="1"/>
  <c r="D29" i="68"/>
  <c r="C30" i="68"/>
  <c r="V51" i="74"/>
  <c r="S51" i="74"/>
  <c r="I3" i="57"/>
  <c r="U107" i="74"/>
  <c r="V13" i="74"/>
  <c r="W30" i="4"/>
  <c r="V34" i="4"/>
  <c r="V36" i="4" s="1"/>
  <c r="V29" i="4"/>
  <c r="R52" i="74"/>
  <c r="U80" i="76"/>
  <c r="S90" i="76"/>
  <c r="S98" i="76" s="1"/>
  <c r="D13" i="57"/>
  <c r="L6" i="56"/>
  <c r="M10" i="64"/>
  <c r="M12" i="64" s="1"/>
  <c r="W49" i="4"/>
  <c r="W148" i="74"/>
  <c r="U52" i="74"/>
  <c r="Z7" i="64"/>
  <c r="AA4" i="64" s="1"/>
  <c r="AA7" i="64" s="1"/>
  <c r="AB4" i="64" s="1"/>
  <c r="AB7" i="64" s="1"/>
  <c r="AC4" i="64" s="1"/>
  <c r="AC7" i="64" s="1"/>
  <c r="AD7" i="64" s="1"/>
  <c r="AD4" i="64"/>
  <c r="H15" i="64"/>
  <c r="G7" i="56"/>
  <c r="G5" i="56" s="1"/>
  <c r="G8" i="56" s="1"/>
  <c r="G18" i="64"/>
  <c r="U38" i="4"/>
  <c r="Y6" i="1" s="1"/>
  <c r="S13" i="74"/>
  <c r="S107" i="74" s="1"/>
  <c r="R107" i="74"/>
  <c r="E59" i="4" l="1"/>
  <c r="X148" i="74"/>
  <c r="X146" i="74" s="1"/>
  <c r="W146" i="74"/>
  <c r="E50" i="75"/>
  <c r="AF100" i="76"/>
  <c r="AF88" i="76"/>
  <c r="AF68" i="76"/>
  <c r="AI33" i="76"/>
  <c r="AJ33" i="76" s="1"/>
  <c r="AI73" i="76"/>
  <c r="AJ73" i="76" s="1"/>
  <c r="AI53" i="76"/>
  <c r="AJ53" i="76" s="1"/>
  <c r="AH38" i="76"/>
  <c r="AH40" i="76" s="1"/>
  <c r="AH35" i="76"/>
  <c r="AG48" i="76"/>
  <c r="AG90" i="76" s="1"/>
  <c r="AG98" i="76" s="1"/>
  <c r="AG100" i="76"/>
  <c r="Z69" i="4" s="1"/>
  <c r="Z67" i="4" s="1"/>
  <c r="AH58" i="76"/>
  <c r="AH60" i="76" s="1"/>
  <c r="AH68" i="76" s="1"/>
  <c r="AH55" i="76"/>
  <c r="AH78" i="76"/>
  <c r="AH75" i="76"/>
  <c r="O4" i="56"/>
  <c r="E45" i="75"/>
  <c r="O144" i="74"/>
  <c r="E46" i="75" s="1"/>
  <c r="V78" i="74"/>
  <c r="W32" i="74"/>
  <c r="Z37" i="74"/>
  <c r="Y82" i="74"/>
  <c r="Y128" i="74" s="1"/>
  <c r="L6" i="58"/>
  <c r="L5" i="58" s="1"/>
  <c r="L7" i="58" s="1"/>
  <c r="L5" i="57" s="1"/>
  <c r="L3" i="57" s="1"/>
  <c r="L10" i="57" s="1"/>
  <c r="L12" i="57" s="1"/>
  <c r="Y108" i="74"/>
  <c r="Z15" i="74"/>
  <c r="Y148" i="74"/>
  <c r="Y146" i="74" s="1"/>
  <c r="Y49" i="4"/>
  <c r="X31" i="74"/>
  <c r="W77" i="74"/>
  <c r="W29" i="74"/>
  <c r="V75" i="74"/>
  <c r="X73" i="74"/>
  <c r="Y27" i="74"/>
  <c r="Y25" i="74"/>
  <c r="X71" i="74"/>
  <c r="X117" i="74" s="1"/>
  <c r="W119" i="74"/>
  <c r="P48" i="4"/>
  <c r="X49" i="4"/>
  <c r="I20" i="75" s="1"/>
  <c r="U33" i="74"/>
  <c r="U79" i="74" s="1"/>
  <c r="G22" i="75"/>
  <c r="U100" i="76"/>
  <c r="U88" i="76"/>
  <c r="U90" i="76" s="1"/>
  <c r="U98" i="76" s="1"/>
  <c r="AD100" i="76"/>
  <c r="AD88" i="76"/>
  <c r="L16" i="64"/>
  <c r="O16" i="64" s="1"/>
  <c r="K3" i="57"/>
  <c r="K10" i="57" s="1"/>
  <c r="K12" i="57" s="1"/>
  <c r="AE80" i="76"/>
  <c r="AE40" i="76"/>
  <c r="AE48" i="76" s="1"/>
  <c r="AE60" i="76"/>
  <c r="AE68" i="76" s="1"/>
  <c r="J4" i="57"/>
  <c r="J3" i="57" s="1"/>
  <c r="J10" i="57" s="1"/>
  <c r="J12" i="57" s="1"/>
  <c r="D30" i="68"/>
  <c r="E29" i="68"/>
  <c r="G30" i="68"/>
  <c r="K18" i="66"/>
  <c r="O18" i="66" s="1"/>
  <c r="V52" i="74"/>
  <c r="F10" i="56"/>
  <c r="F9" i="56" s="1"/>
  <c r="F12" i="56" s="1"/>
  <c r="F14" i="56" s="1"/>
  <c r="E11" i="57"/>
  <c r="E13" i="57" s="1"/>
  <c r="M6" i="56"/>
  <c r="N10" i="64"/>
  <c r="N12" i="64" s="1"/>
  <c r="X30" i="4"/>
  <c r="Y30" i="4" s="1"/>
  <c r="W34" i="4"/>
  <c r="W36" i="4" s="1"/>
  <c r="W29" i="4"/>
  <c r="G12" i="57"/>
  <c r="W51" i="74"/>
  <c r="X51" i="74" s="1"/>
  <c r="V38" i="4"/>
  <c r="Z6" i="1" s="1"/>
  <c r="V107" i="74"/>
  <c r="W13" i="74"/>
  <c r="X13" i="74" s="1"/>
  <c r="I10" i="57"/>
  <c r="S52" i="74"/>
  <c r="T90" i="76"/>
  <c r="T98" i="76" s="1"/>
  <c r="AF90" i="76" l="1"/>
  <c r="AF98" i="76" s="1"/>
  <c r="G50" i="75"/>
  <c r="G52" i="75"/>
  <c r="G53" i="75"/>
  <c r="G51" i="75"/>
  <c r="AH80" i="76"/>
  <c r="AI58" i="76"/>
  <c r="AI55" i="76"/>
  <c r="AJ55" i="76" s="1"/>
  <c r="AH48" i="76"/>
  <c r="AI78" i="76"/>
  <c r="AI80" i="76" s="1"/>
  <c r="AI88" i="76" s="1"/>
  <c r="AI75" i="76"/>
  <c r="AJ75" i="76" s="1"/>
  <c r="AI38" i="76"/>
  <c r="AI40" i="76" s="1"/>
  <c r="AJ40" i="76" s="1"/>
  <c r="AI35" i="76"/>
  <c r="AJ35" i="76" s="1"/>
  <c r="X29" i="74"/>
  <c r="W75" i="74"/>
  <c r="Y71" i="74"/>
  <c r="Y117" i="74" s="1"/>
  <c r="Z25" i="74"/>
  <c r="X32" i="74"/>
  <c r="W78" i="74"/>
  <c r="Z148" i="74"/>
  <c r="Z146" i="74" s="1"/>
  <c r="Z49" i="4"/>
  <c r="Y13" i="74"/>
  <c r="X107" i="74"/>
  <c r="Z27" i="74"/>
  <c r="Y73" i="74"/>
  <c r="Y51" i="74"/>
  <c r="M5" i="57"/>
  <c r="X119" i="74"/>
  <c r="X77" i="74"/>
  <c r="X123" i="74" s="1"/>
  <c r="Y31" i="74"/>
  <c r="AA15" i="74"/>
  <c r="AA108" i="74" s="1"/>
  <c r="Z108" i="74"/>
  <c r="AA37" i="74"/>
  <c r="AA82" i="74" s="1"/>
  <c r="AA128" i="74" s="1"/>
  <c r="Z82" i="74"/>
  <c r="Z128" i="74" s="1"/>
  <c r="Y29" i="4"/>
  <c r="Y34" i="4"/>
  <c r="Y36" i="4" s="1"/>
  <c r="Z30" i="4"/>
  <c r="I38" i="76"/>
  <c r="K38" i="76" s="1"/>
  <c r="I36" i="76"/>
  <c r="V33" i="74"/>
  <c r="V79" i="74" s="1"/>
  <c r="AE100" i="76"/>
  <c r="Y69" i="4" s="1"/>
  <c r="Y67" i="4" s="1"/>
  <c r="AE88" i="76"/>
  <c r="AE90" i="76" s="1"/>
  <c r="AE98" i="76" s="1"/>
  <c r="X69" i="4"/>
  <c r="X67" i="4" s="1"/>
  <c r="I22" i="75" s="1"/>
  <c r="W107" i="74"/>
  <c r="M4" i="57"/>
  <c r="AD90" i="76"/>
  <c r="AD98" i="76" s="1"/>
  <c r="M3" i="57"/>
  <c r="E30" i="68"/>
  <c r="F29" i="68"/>
  <c r="F30" i="68" s="1"/>
  <c r="L18" i="66"/>
  <c r="D31" i="68"/>
  <c r="C32" i="68" s="1"/>
  <c r="X34" i="4"/>
  <c r="X36" i="4" s="1"/>
  <c r="X29" i="4"/>
  <c r="W52" i="74"/>
  <c r="X52" i="74" s="1"/>
  <c r="N6" i="56"/>
  <c r="P10" i="64"/>
  <c r="O12" i="64"/>
  <c r="F11" i="57"/>
  <c r="G10" i="56"/>
  <c r="G9" i="56" s="1"/>
  <c r="G12" i="56" s="1"/>
  <c r="W38" i="4"/>
  <c r="AA6" i="1" s="1"/>
  <c r="M10" i="57"/>
  <c r="I12" i="57"/>
  <c r="M12" i="57" s="1"/>
  <c r="F15" i="56"/>
  <c r="E108" i="4" l="1"/>
  <c r="E110" i="4" s="1"/>
  <c r="E100" i="4"/>
  <c r="AJ78" i="76"/>
  <c r="AI60" i="76"/>
  <c r="AI100" i="76" s="1"/>
  <c r="AB69" i="4" s="1"/>
  <c r="AB67" i="4" s="1"/>
  <c r="AJ58" i="76"/>
  <c r="AH88" i="76"/>
  <c r="AH90" i="76" s="1"/>
  <c r="AH98" i="76" s="1"/>
  <c r="AJ80" i="76"/>
  <c r="AJ88" i="76" s="1"/>
  <c r="AJ48" i="76"/>
  <c r="AH100" i="76"/>
  <c r="AA69" i="4" s="1"/>
  <c r="AA67" i="4" s="1"/>
  <c r="AJ38" i="76"/>
  <c r="AI48" i="76"/>
  <c r="Z51" i="74"/>
  <c r="AA148" i="74"/>
  <c r="AA49" i="4"/>
  <c r="Y32" i="74"/>
  <c r="X78" i="74"/>
  <c r="X124" i="74" s="1"/>
  <c r="Y119" i="74"/>
  <c r="Y107" i="74"/>
  <c r="Z13" i="74"/>
  <c r="Y52" i="74"/>
  <c r="Z31" i="74"/>
  <c r="Y77" i="74"/>
  <c r="Y123" i="74" s="1"/>
  <c r="AA27" i="74"/>
  <c r="AA73" i="74" s="1"/>
  <c r="Z73" i="74"/>
  <c r="AA25" i="74"/>
  <c r="Z71" i="74"/>
  <c r="Z117" i="74" s="1"/>
  <c r="Y29" i="74"/>
  <c r="X75" i="74"/>
  <c r="AA30" i="4"/>
  <c r="Z29" i="4"/>
  <c r="Z34" i="4"/>
  <c r="Z36" i="4" s="1"/>
  <c r="Y38" i="4"/>
  <c r="AD6" i="1" s="1"/>
  <c r="K36" i="76"/>
  <c r="I40" i="76"/>
  <c r="W33" i="74"/>
  <c r="N18" i="66"/>
  <c r="F31" i="68"/>
  <c r="M18" i="66"/>
  <c r="E31" i="68"/>
  <c r="T10" i="64"/>
  <c r="P12" i="64"/>
  <c r="O6" i="56"/>
  <c r="G15" i="56"/>
  <c r="G14" i="56"/>
  <c r="X38" i="4"/>
  <c r="AB6" i="1" s="1"/>
  <c r="AC6" i="1" s="1"/>
  <c r="AA146" i="74" l="1"/>
  <c r="AB49" i="4" s="1"/>
  <c r="J20" i="75" s="1"/>
  <c r="J22" i="75"/>
  <c r="AI68" i="76"/>
  <c r="AI90" i="76" s="1"/>
  <c r="AI98" i="76" s="1"/>
  <c r="AJ60" i="76"/>
  <c r="AA71" i="74"/>
  <c r="AA117" i="74"/>
  <c r="X121" i="74"/>
  <c r="AA31" i="74"/>
  <c r="AA77" i="74" s="1"/>
  <c r="AA123" i="74" s="1"/>
  <c r="Z77" i="74"/>
  <c r="Z123" i="74" s="1"/>
  <c r="AA13" i="74"/>
  <c r="AA107" i="74" s="1"/>
  <c r="Z107" i="74"/>
  <c r="X33" i="74"/>
  <c r="W79" i="74"/>
  <c r="W72" i="74" s="1"/>
  <c r="Z29" i="74"/>
  <c r="Y75" i="74"/>
  <c r="Z119" i="74"/>
  <c r="Z52" i="74"/>
  <c r="AA119" i="74"/>
  <c r="AA51" i="74"/>
  <c r="Y78" i="74"/>
  <c r="Y124" i="74" s="1"/>
  <c r="Z32" i="74"/>
  <c r="Z38" i="4"/>
  <c r="AE6" i="1" s="1"/>
  <c r="AA29" i="4"/>
  <c r="AA34" i="4"/>
  <c r="AA36" i="4" s="1"/>
  <c r="AB30" i="4"/>
  <c r="K40" i="76"/>
  <c r="I48" i="76"/>
  <c r="I90" i="76" s="1"/>
  <c r="I98" i="76" s="1"/>
  <c r="I100" i="76"/>
  <c r="G69" i="4" s="1"/>
  <c r="G67" i="4" s="1"/>
  <c r="H3" i="56"/>
  <c r="P6" i="56"/>
  <c r="Q10" i="64"/>
  <c r="Q12" i="64" s="1"/>
  <c r="AJ68" i="76" l="1"/>
  <c r="AJ90" i="76" s="1"/>
  <c r="AJ98" i="76" s="1"/>
  <c r="AJ100" i="76"/>
  <c r="AA32" i="74"/>
  <c r="AA78" i="74" s="1"/>
  <c r="AA124" i="74" s="1"/>
  <c r="Z78" i="74"/>
  <c r="Z124" i="74" s="1"/>
  <c r="Y121" i="74"/>
  <c r="AA52" i="74"/>
  <c r="AA29" i="74"/>
  <c r="AA75" i="74" s="1"/>
  <c r="Z75" i="74"/>
  <c r="Y33" i="74"/>
  <c r="X79" i="74"/>
  <c r="AB34" i="4"/>
  <c r="AB36" i="4" s="1"/>
  <c r="AB29" i="4"/>
  <c r="AA38" i="4"/>
  <c r="AF6" i="1" s="1"/>
  <c r="G77" i="4"/>
  <c r="E22" i="75"/>
  <c r="K48" i="76"/>
  <c r="K90" i="76" s="1"/>
  <c r="K98" i="76" s="1"/>
  <c r="K100" i="76"/>
  <c r="R10" i="64"/>
  <c r="R12" i="64" s="1"/>
  <c r="Q6" i="56"/>
  <c r="X125" i="74" l="1"/>
  <c r="X118" i="74" s="1"/>
  <c r="X72" i="74"/>
  <c r="Z121" i="74"/>
  <c r="Z33" i="74"/>
  <c r="Y79" i="74"/>
  <c r="AA121" i="74"/>
  <c r="AB38" i="4"/>
  <c r="AG6" i="1" s="1"/>
  <c r="E30" i="75"/>
  <c r="E32" i="75" s="1"/>
  <c r="G8" i="1"/>
  <c r="R6" i="56"/>
  <c r="S10" i="64"/>
  <c r="S12" i="64" s="1"/>
  <c r="Y125" i="74" l="1"/>
  <c r="Y118" i="74" s="1"/>
  <c r="Z79" i="4" s="1"/>
  <c r="Y72" i="74"/>
  <c r="AA33" i="74"/>
  <c r="AA79" i="74" s="1"/>
  <c r="Z79" i="74"/>
  <c r="Y79" i="4"/>
  <c r="AH6" i="1"/>
  <c r="G9" i="1"/>
  <c r="I8" i="1"/>
  <c r="T12" i="64"/>
  <c r="S6" i="56"/>
  <c r="U10" i="64"/>
  <c r="Z125" i="74" l="1"/>
  <c r="Z118" i="74" s="1"/>
  <c r="Z72" i="74"/>
  <c r="AA125" i="74"/>
  <c r="AA118" i="74" s="1"/>
  <c r="AB79" i="4" s="1"/>
  <c r="AA72" i="74"/>
  <c r="G11" i="1"/>
  <c r="I11" i="1" s="1"/>
  <c r="H10" i="1"/>
  <c r="I10" i="1" s="1"/>
  <c r="J10" i="1" s="1"/>
  <c r="K10" i="1" s="1"/>
  <c r="L10" i="1" s="1"/>
  <c r="M10" i="1" s="1"/>
  <c r="N10" i="1" s="1"/>
  <c r="G10" i="1"/>
  <c r="I9" i="1"/>
  <c r="U12" i="64"/>
  <c r="Y10" i="64"/>
  <c r="T6" i="56"/>
  <c r="AA79" i="4" l="1"/>
  <c r="J27" i="75"/>
  <c r="G12" i="1"/>
  <c r="F4" i="57" s="1"/>
  <c r="I12" i="1"/>
  <c r="V10" i="64"/>
  <c r="V12" i="64" s="1"/>
  <c r="U6" i="56"/>
  <c r="H16" i="64" l="1"/>
  <c r="H17" i="64" s="1"/>
  <c r="F3" i="57"/>
  <c r="H4" i="57"/>
  <c r="V6" i="56"/>
  <c r="W10" i="64"/>
  <c r="W12" i="64" s="1"/>
  <c r="J16" i="64" l="1"/>
  <c r="H3" i="57"/>
  <c r="F10" i="57"/>
  <c r="H18" i="64"/>
  <c r="H7" i="56"/>
  <c r="H5" i="56" s="1"/>
  <c r="H8" i="56" s="1"/>
  <c r="I15" i="64"/>
  <c r="I17" i="64" s="1"/>
  <c r="X10" i="64"/>
  <c r="X12" i="64" s="1"/>
  <c r="W6" i="56"/>
  <c r="D108" i="4" l="1"/>
  <c r="D110" i="4" s="1"/>
  <c r="D100" i="4"/>
  <c r="D102" i="4" s="1"/>
  <c r="H10" i="57"/>
  <c r="F12" i="57"/>
  <c r="I18" i="64"/>
  <c r="J18" i="64" s="1"/>
  <c r="J17" i="64"/>
  <c r="I7" i="56"/>
  <c r="K15" i="64"/>
  <c r="Z10" i="64"/>
  <c r="X6" i="56"/>
  <c r="Y12" i="64"/>
  <c r="O15" i="64" l="1"/>
  <c r="K17" i="64"/>
  <c r="F13" i="57"/>
  <c r="H12" i="57"/>
  <c r="J7" i="56"/>
  <c r="I5" i="56"/>
  <c r="Y6" i="56"/>
  <c r="AD10" i="64"/>
  <c r="Z12" i="64"/>
  <c r="I8" i="56" l="1"/>
  <c r="J8" i="56" s="1"/>
  <c r="J5" i="56"/>
  <c r="L15" i="64"/>
  <c r="L17" i="64" s="1"/>
  <c r="K18" i="64"/>
  <c r="K7" i="56"/>
  <c r="K5" i="56" s="1"/>
  <c r="K8" i="56" s="1"/>
  <c r="G11" i="57"/>
  <c r="G13" i="57" s="1"/>
  <c r="H10" i="56"/>
  <c r="H9" i="56" s="1"/>
  <c r="H12" i="56" s="1"/>
  <c r="AA10" i="64"/>
  <c r="AA12" i="64" s="1"/>
  <c r="Z6" i="56"/>
  <c r="H15" i="56" l="1"/>
  <c r="H14" i="56"/>
  <c r="M15" i="64"/>
  <c r="M17" i="64" s="1"/>
  <c r="L18" i="64"/>
  <c r="L7" i="56"/>
  <c r="L5" i="56" s="1"/>
  <c r="L8" i="56" s="1"/>
  <c r="H13" i="57"/>
  <c r="I11" i="57"/>
  <c r="I10" i="56"/>
  <c r="AA6" i="56"/>
  <c r="AB10" i="64"/>
  <c r="AB12" i="64" s="1"/>
  <c r="J10" i="56" l="1"/>
  <c r="I9" i="56"/>
  <c r="M11" i="57"/>
  <c r="I13" i="57"/>
  <c r="M18" i="64"/>
  <c r="N15" i="64"/>
  <c r="N17" i="64" s="1"/>
  <c r="M7" i="56"/>
  <c r="M5" i="56" s="1"/>
  <c r="M8" i="56" s="1"/>
  <c r="AB6" i="56"/>
  <c r="AC10" i="64"/>
  <c r="AC12" i="64" s="1"/>
  <c r="K10" i="56" l="1"/>
  <c r="K9" i="56" s="1"/>
  <c r="K12" i="56" s="1"/>
  <c r="J11" i="57"/>
  <c r="J13" i="57" s="1"/>
  <c r="O17" i="64"/>
  <c r="P15" i="64"/>
  <c r="T15" i="64" s="1"/>
  <c r="N18" i="64"/>
  <c r="O18" i="64" s="1"/>
  <c r="N7" i="56"/>
  <c r="I12" i="56"/>
  <c r="J9" i="56"/>
  <c r="AD12" i="64"/>
  <c r="AE6" i="56" s="1"/>
  <c r="AC6" i="56"/>
  <c r="I15" i="56" l="1"/>
  <c r="I14" i="56"/>
  <c r="J12" i="56"/>
  <c r="O7" i="56"/>
  <c r="N5" i="56"/>
  <c r="K11" i="57"/>
  <c r="K13" i="57" s="1"/>
  <c r="L10" i="56"/>
  <c r="L9" i="56" s="1"/>
  <c r="L12" i="56" s="1"/>
  <c r="K14" i="56"/>
  <c r="K15" i="56"/>
  <c r="AD6" i="56"/>
  <c r="J14" i="56" l="1"/>
  <c r="J15" i="56"/>
  <c r="M10" i="56"/>
  <c r="M9" i="56" s="1"/>
  <c r="M12" i="56" s="1"/>
  <c r="L11" i="57"/>
  <c r="L13" i="57" s="1"/>
  <c r="L15" i="56"/>
  <c r="L14" i="56"/>
  <c r="N8" i="56"/>
  <c r="O8" i="56" s="1"/>
  <c r="O5" i="56"/>
  <c r="M40" i="4"/>
  <c r="M81" i="4" s="1"/>
  <c r="O13" i="4"/>
  <c r="N11" i="57" l="1"/>
  <c r="R11" i="57" s="1"/>
  <c r="N10" i="56"/>
  <c r="M13" i="57"/>
  <c r="M15" i="56"/>
  <c r="M14" i="56"/>
  <c r="M80" i="4"/>
  <c r="O40" i="4"/>
  <c r="O12" i="4"/>
  <c r="P13" i="4"/>
  <c r="M19" i="4"/>
  <c r="N12" i="4"/>
  <c r="N40" i="4"/>
  <c r="N19" i="4"/>
  <c r="O17" i="4"/>
  <c r="O19" i="4" s="1"/>
  <c r="N9" i="56" l="1"/>
  <c r="O10" i="56"/>
  <c r="N81" i="4"/>
  <c r="N80" i="4"/>
  <c r="O81" i="4"/>
  <c r="O80" i="4"/>
  <c r="P40" i="4"/>
  <c r="G8" i="75"/>
  <c r="P12" i="4"/>
  <c r="P17" i="4"/>
  <c r="Q13" i="4"/>
  <c r="O41" i="4"/>
  <c r="O21" i="4"/>
  <c r="N41" i="4"/>
  <c r="N21" i="4"/>
  <c r="M41" i="4"/>
  <c r="M21" i="4"/>
  <c r="N12" i="56" l="1"/>
  <c r="O9" i="56"/>
  <c r="P81" i="4"/>
  <c r="P80" i="4"/>
  <c r="M42" i="4"/>
  <c r="O5" i="1"/>
  <c r="P19" i="4"/>
  <c r="G9" i="75"/>
  <c r="Q5" i="1"/>
  <c r="Q4" i="1" s="1"/>
  <c r="Q3" i="1" s="1"/>
  <c r="O42" i="4"/>
  <c r="N42" i="4"/>
  <c r="P5" i="1"/>
  <c r="P4" i="1" s="1"/>
  <c r="P3" i="1" s="1"/>
  <c r="Q40" i="4"/>
  <c r="Q12" i="4"/>
  <c r="Q17" i="4"/>
  <c r="R13" i="4"/>
  <c r="N14" i="56" l="1"/>
  <c r="O12" i="56"/>
  <c r="N15" i="56"/>
  <c r="Q11" i="56"/>
  <c r="N4" i="58" s="1"/>
  <c r="N3" i="58" s="1"/>
  <c r="P7" i="1"/>
  <c r="R15" i="4"/>
  <c r="R40" i="4"/>
  <c r="R12" i="4"/>
  <c r="S13" i="4"/>
  <c r="R17" i="4"/>
  <c r="R19" i="4" s="1"/>
  <c r="Q19" i="4"/>
  <c r="N44" i="4"/>
  <c r="N76" i="4" s="1"/>
  <c r="P41" i="4"/>
  <c r="P21" i="4"/>
  <c r="G10" i="75"/>
  <c r="O44" i="4"/>
  <c r="O76" i="4" s="1"/>
  <c r="O4" i="1"/>
  <c r="Q7" i="1"/>
  <c r="R11" i="56"/>
  <c r="O4" i="58" s="1"/>
  <c r="O3" i="58" s="1"/>
  <c r="M44" i="4"/>
  <c r="M76" i="4" s="1"/>
  <c r="O15" i="56" l="1"/>
  <c r="O14" i="56"/>
  <c r="N77" i="4"/>
  <c r="P8" i="1" s="1"/>
  <c r="Q4" i="56" s="1"/>
  <c r="N78" i="4"/>
  <c r="M77" i="4"/>
  <c r="M78" i="4"/>
  <c r="O78" i="4"/>
  <c r="O77" i="4"/>
  <c r="Q8" i="1" s="1"/>
  <c r="R4" i="56" s="1"/>
  <c r="R41" i="4"/>
  <c r="R21" i="4"/>
  <c r="O3" i="1"/>
  <c r="S12" i="4"/>
  <c r="S40" i="4"/>
  <c r="S17" i="4"/>
  <c r="T13" i="4"/>
  <c r="R5" i="1"/>
  <c r="P42" i="4"/>
  <c r="Q41" i="4"/>
  <c r="Q21" i="4"/>
  <c r="T12" i="4" l="1"/>
  <c r="H8" i="75"/>
  <c r="T17" i="4"/>
  <c r="T19" i="4" s="1"/>
  <c r="T40" i="4"/>
  <c r="U13" i="4"/>
  <c r="P11" i="56"/>
  <c r="M4" i="58" s="1"/>
  <c r="M3" i="58" s="1"/>
  <c r="O7" i="1"/>
  <c r="N6" i="58"/>
  <c r="N5" i="58" s="1"/>
  <c r="N7" i="58" s="1"/>
  <c r="Q3" i="56"/>
  <c r="P44" i="4"/>
  <c r="P76" i="4" s="1"/>
  <c r="T5" i="1"/>
  <c r="Q42" i="4"/>
  <c r="R4" i="1"/>
  <c r="S5" i="1"/>
  <c r="U5" i="1"/>
  <c r="U4" i="1" s="1"/>
  <c r="U3" i="1" s="1"/>
  <c r="R42" i="4"/>
  <c r="Q9" i="1"/>
  <c r="O8" i="1"/>
  <c r="S19" i="4"/>
  <c r="P9" i="1"/>
  <c r="O6" i="58"/>
  <c r="O5" i="58" s="1"/>
  <c r="O7" i="58" s="1"/>
  <c r="R3" i="56"/>
  <c r="P77" i="4" l="1"/>
  <c r="P78" i="4"/>
  <c r="P5" i="57"/>
  <c r="V11" i="56"/>
  <c r="R4" i="58" s="1"/>
  <c r="R3" i="58" s="1"/>
  <c r="U7" i="1"/>
  <c r="T4" i="1"/>
  <c r="G29" i="75"/>
  <c r="G30" i="75" s="1"/>
  <c r="O9" i="1"/>
  <c r="H9" i="75"/>
  <c r="R3" i="1"/>
  <c r="S4" i="1"/>
  <c r="S3" i="1" s="1"/>
  <c r="G12" i="75" s="1"/>
  <c r="G14" i="75" s="1"/>
  <c r="G37" i="75" s="1"/>
  <c r="P4" i="56"/>
  <c r="T41" i="4"/>
  <c r="T21" i="4"/>
  <c r="S41" i="4"/>
  <c r="S21" i="4"/>
  <c r="H10" i="75"/>
  <c r="R44" i="4"/>
  <c r="Q44" i="4"/>
  <c r="U12" i="4"/>
  <c r="U17" i="4"/>
  <c r="V13" i="4"/>
  <c r="U40" i="4"/>
  <c r="Q76" i="4" l="1"/>
  <c r="Q78" i="4" s="1"/>
  <c r="Q74" i="4"/>
  <c r="R76" i="4"/>
  <c r="R78" i="4" s="1"/>
  <c r="R74" i="4"/>
  <c r="E49" i="75"/>
  <c r="E54" i="75" s="1"/>
  <c r="O10" i="1"/>
  <c r="P10" i="1" s="1"/>
  <c r="Q10" i="1" s="1"/>
  <c r="S11" i="56"/>
  <c r="R7" i="1"/>
  <c r="T3" i="1"/>
  <c r="V15" i="4"/>
  <c r="V12" i="4"/>
  <c r="V17" i="4"/>
  <c r="V19" i="4" s="1"/>
  <c r="V40" i="4"/>
  <c r="W13" i="4"/>
  <c r="M6" i="58"/>
  <c r="M5" i="58" s="1"/>
  <c r="M7" i="58" s="1"/>
  <c r="P3" i="56"/>
  <c r="U19" i="4"/>
  <c r="V5" i="1"/>
  <c r="S42" i="4"/>
  <c r="T42" i="4"/>
  <c r="W5" i="1"/>
  <c r="W4" i="1" s="1"/>
  <c r="W3" i="1" s="1"/>
  <c r="G35" i="75"/>
  <c r="G36" i="75"/>
  <c r="R8" i="1"/>
  <c r="P11" i="1" l="1"/>
  <c r="P12" i="1" s="1"/>
  <c r="O4" i="57" s="1"/>
  <c r="F51" i="75"/>
  <c r="F52" i="75"/>
  <c r="E57" i="75"/>
  <c r="F53" i="75"/>
  <c r="O11" i="1"/>
  <c r="O12" i="1" s="1"/>
  <c r="Q11" i="1"/>
  <c r="Q12" i="1" s="1"/>
  <c r="P4" i="57" s="1"/>
  <c r="P3" i="57" s="1"/>
  <c r="P10" i="57" s="1"/>
  <c r="P12" i="57" s="1"/>
  <c r="G32" i="75"/>
  <c r="G38" i="75" s="1"/>
  <c r="T44" i="4"/>
  <c r="S4" i="56"/>
  <c r="S8" i="1"/>
  <c r="S44" i="4"/>
  <c r="W12" i="4"/>
  <c r="W40" i="4"/>
  <c r="X13" i="4"/>
  <c r="Y13" i="4" s="1"/>
  <c r="W17" i="4"/>
  <c r="R9" i="1"/>
  <c r="S9" i="1" s="1"/>
  <c r="S7" i="1"/>
  <c r="F46" i="75"/>
  <c r="V4" i="1"/>
  <c r="X5" i="1"/>
  <c r="N5" i="57"/>
  <c r="O5" i="57"/>
  <c r="T11" i="56"/>
  <c r="P4" i="58"/>
  <c r="P3" i="58" s="1"/>
  <c r="W7" i="1"/>
  <c r="X11" i="56"/>
  <c r="U41" i="4"/>
  <c r="U21" i="4"/>
  <c r="V41" i="4"/>
  <c r="V21" i="4"/>
  <c r="U11" i="56"/>
  <c r="Q4" i="58" s="1"/>
  <c r="Q3" i="58" s="1"/>
  <c r="T7" i="1"/>
  <c r="Q16" i="64"/>
  <c r="Y12" i="4" l="1"/>
  <c r="Y17" i="4"/>
  <c r="Z13" i="4"/>
  <c r="Y40" i="4"/>
  <c r="S76" i="4"/>
  <c r="S78" i="4" s="1"/>
  <c r="S74" i="4"/>
  <c r="T76" i="4"/>
  <c r="T78" i="4" s="1"/>
  <c r="T74" i="4"/>
  <c r="R16" i="64"/>
  <c r="R10" i="1"/>
  <c r="S10" i="1" s="1"/>
  <c r="O3" i="57"/>
  <c r="O10" i="57" s="1"/>
  <c r="O12" i="57" s="1"/>
  <c r="F48" i="75"/>
  <c r="F54" i="75"/>
  <c r="F45" i="75"/>
  <c r="F47" i="75"/>
  <c r="F50" i="75"/>
  <c r="V3" i="1"/>
  <c r="X4" i="1"/>
  <c r="X3" i="1" s="1"/>
  <c r="H12" i="75" s="1"/>
  <c r="P16" i="64"/>
  <c r="N4" i="57"/>
  <c r="V42" i="4"/>
  <c r="Z5" i="1"/>
  <c r="Z4" i="1" s="1"/>
  <c r="Z3" i="1" s="1"/>
  <c r="Y5" i="1"/>
  <c r="U42" i="4"/>
  <c r="I8" i="75"/>
  <c r="X12" i="4"/>
  <c r="X17" i="4"/>
  <c r="X19" i="4" s="1"/>
  <c r="X40" i="4"/>
  <c r="T4" i="58"/>
  <c r="T3" i="58" s="1"/>
  <c r="Y11" i="56"/>
  <c r="F49" i="75"/>
  <c r="W19" i="4"/>
  <c r="P6" i="58"/>
  <c r="P5" i="58" s="1"/>
  <c r="P7" i="58" s="1"/>
  <c r="Q5" i="57" s="1"/>
  <c r="R5" i="57" s="1"/>
  <c r="T4" i="56"/>
  <c r="S3" i="56"/>
  <c r="AA13" i="4" l="1"/>
  <c r="AB13" i="4" s="1"/>
  <c r="Z12" i="4"/>
  <c r="Z17" i="4"/>
  <c r="Z19" i="4" s="1"/>
  <c r="Z40" i="4"/>
  <c r="Y19" i="4"/>
  <c r="H29" i="75"/>
  <c r="I9" i="75"/>
  <c r="R11" i="1"/>
  <c r="V44" i="4"/>
  <c r="P17" i="64"/>
  <c r="W11" i="56"/>
  <c r="S4" i="58" s="1"/>
  <c r="S3" i="58" s="1"/>
  <c r="V7" i="1"/>
  <c r="AA11" i="56"/>
  <c r="V4" i="58" s="1"/>
  <c r="V3" i="58" s="1"/>
  <c r="Z7" i="1"/>
  <c r="N3" i="57"/>
  <c r="T3" i="56"/>
  <c r="W41" i="4"/>
  <c r="W21" i="4"/>
  <c r="I10" i="75"/>
  <c r="X41" i="4"/>
  <c r="X21" i="4"/>
  <c r="U44" i="4"/>
  <c r="Y4" i="1"/>
  <c r="Z21" i="4" l="1"/>
  <c r="Z41" i="4"/>
  <c r="Y21" i="4"/>
  <c r="Y41" i="4"/>
  <c r="AA12" i="4"/>
  <c r="AA17" i="4"/>
  <c r="AA19" i="4" s="1"/>
  <c r="AA40" i="4"/>
  <c r="U76" i="4"/>
  <c r="U78" i="4" s="1"/>
  <c r="U74" i="4"/>
  <c r="V76" i="4"/>
  <c r="V78" i="4" s="1"/>
  <c r="V74" i="4"/>
  <c r="Y3" i="1"/>
  <c r="X7" i="1"/>
  <c r="AA5" i="1"/>
  <c r="W42" i="4"/>
  <c r="S11" i="1"/>
  <c r="S12" i="1" s="1"/>
  <c r="R12" i="1"/>
  <c r="X42" i="4"/>
  <c r="AB5" i="1"/>
  <c r="AB4" i="1" s="1"/>
  <c r="AB3" i="1" s="1"/>
  <c r="N10" i="57"/>
  <c r="P18" i="64"/>
  <c r="P7" i="56"/>
  <c r="P5" i="56" s="1"/>
  <c r="P8" i="56" s="1"/>
  <c r="Q15" i="64"/>
  <c r="Q17" i="64" s="1"/>
  <c r="AA21" i="4" l="1"/>
  <c r="AA41" i="4"/>
  <c r="AD5" i="1"/>
  <c r="Y42" i="4"/>
  <c r="Y44" i="4" s="1"/>
  <c r="AE5" i="1"/>
  <c r="AE4" i="1" s="1"/>
  <c r="AE3" i="1" s="1"/>
  <c r="Z42" i="4"/>
  <c r="Z44" i="4" s="1"/>
  <c r="J8" i="75"/>
  <c r="AB12" i="4"/>
  <c r="AB17" i="4"/>
  <c r="AB19" i="4" s="1"/>
  <c r="J10" i="75" s="1"/>
  <c r="AB40" i="4"/>
  <c r="X44" i="4"/>
  <c r="S16" i="64"/>
  <c r="T16" i="64" s="1"/>
  <c r="Q4" i="57"/>
  <c r="E102" i="4"/>
  <c r="W44" i="4"/>
  <c r="N12" i="57"/>
  <c r="AA4" i="1"/>
  <c r="AC5" i="1"/>
  <c r="Z11" i="56"/>
  <c r="U4" i="58" s="1"/>
  <c r="U3" i="58" s="1"/>
  <c r="Y7" i="1"/>
  <c r="Q18" i="64"/>
  <c r="R15" i="64"/>
  <c r="R17" i="64" s="1"/>
  <c r="Q7" i="56"/>
  <c r="Q5" i="56" s="1"/>
  <c r="Q8" i="56" s="1"/>
  <c r="AB7" i="1"/>
  <c r="AC11" i="56"/>
  <c r="J9" i="75" l="1"/>
  <c r="AE7" i="1"/>
  <c r="AG11" i="56"/>
  <c r="AA4" i="58" s="1"/>
  <c r="AA3" i="58" s="1"/>
  <c r="Y74" i="4"/>
  <c r="Y76" i="4"/>
  <c r="AD4" i="1"/>
  <c r="Z76" i="4"/>
  <c r="Z78" i="4" s="1"/>
  <c r="Z74" i="4"/>
  <c r="AB21" i="4"/>
  <c r="AB41" i="4"/>
  <c r="AF5" i="1"/>
  <c r="AF4" i="1" s="1"/>
  <c r="AF3" i="1" s="1"/>
  <c r="AA42" i="4"/>
  <c r="AA44" i="4" s="1"/>
  <c r="X76" i="4"/>
  <c r="X78" i="4" s="1"/>
  <c r="X74" i="4"/>
  <c r="W76" i="4"/>
  <c r="W78" i="4" s="1"/>
  <c r="W74" i="4"/>
  <c r="Q3" i="57"/>
  <c r="R4" i="57"/>
  <c r="AD11" i="56"/>
  <c r="Y4" i="58" s="1"/>
  <c r="Y3" i="58" s="1"/>
  <c r="X4" i="58"/>
  <c r="X3" i="58" s="1"/>
  <c r="AA3" i="1"/>
  <c r="AC4" i="1"/>
  <c r="AC3" i="1" s="1"/>
  <c r="R18" i="64"/>
  <c r="R7" i="56"/>
  <c r="R5" i="56" s="1"/>
  <c r="R8" i="56" s="1"/>
  <c r="S15" i="64"/>
  <c r="S17" i="64" s="1"/>
  <c r="N13" i="57"/>
  <c r="I12" i="75" l="1"/>
  <c r="AE11" i="56"/>
  <c r="AF7" i="1"/>
  <c r="AH11" i="56"/>
  <c r="AG5" i="1"/>
  <c r="AB42" i="4"/>
  <c r="AB44" i="4" s="1"/>
  <c r="AD3" i="1"/>
  <c r="AA76" i="4"/>
  <c r="AA78" i="4" s="1"/>
  <c r="AA74" i="4"/>
  <c r="Z81" i="4"/>
  <c r="Y78" i="4"/>
  <c r="Y81" i="4"/>
  <c r="I29" i="75"/>
  <c r="P10" i="56"/>
  <c r="P9" i="56" s="1"/>
  <c r="P12" i="56" s="1"/>
  <c r="O11" i="57"/>
  <c r="O13" i="57" s="1"/>
  <c r="T17" i="64"/>
  <c r="U15" i="64"/>
  <c r="S7" i="56"/>
  <c r="S18" i="64"/>
  <c r="T18" i="64" s="1"/>
  <c r="AB11" i="56"/>
  <c r="W4" i="58" s="1"/>
  <c r="W3" i="58" s="1"/>
  <c r="AA7" i="1"/>
  <c r="Q10" i="57"/>
  <c r="R3" i="57"/>
  <c r="F108" i="4" l="1"/>
  <c r="F110" i="4" s="1"/>
  <c r="F100" i="4"/>
  <c r="AB4" i="58"/>
  <c r="AB3" i="58" s="1"/>
  <c r="AI11" i="56"/>
  <c r="AD7" i="1"/>
  <c r="AF11" i="56"/>
  <c r="Z4" i="58" s="1"/>
  <c r="Z3" i="58" s="1"/>
  <c r="AA81" i="4"/>
  <c r="AB76" i="4"/>
  <c r="AB74" i="4"/>
  <c r="AG4" i="1"/>
  <c r="AH5" i="1"/>
  <c r="P15" i="56"/>
  <c r="P14" i="56"/>
  <c r="AC7" i="1"/>
  <c r="T7" i="56"/>
  <c r="S5" i="56"/>
  <c r="Y15" i="64"/>
  <c r="Q12" i="57"/>
  <c r="R12" i="57" s="1"/>
  <c r="R10" i="57"/>
  <c r="P11" i="57"/>
  <c r="P13" i="57" s="1"/>
  <c r="Q10" i="56"/>
  <c r="Q9" i="56" s="1"/>
  <c r="Q12" i="56" s="1"/>
  <c r="AB81" i="4" l="1"/>
  <c r="J26" i="75"/>
  <c r="AG3" i="1"/>
  <c r="AG7" i="1" s="1"/>
  <c r="AH7" i="1" s="1"/>
  <c r="AH4" i="1"/>
  <c r="AH3" i="1" s="1"/>
  <c r="J12" i="75" s="1"/>
  <c r="AB78" i="4"/>
  <c r="J29" i="75"/>
  <c r="Q15" i="56"/>
  <c r="Q14" i="56"/>
  <c r="T5" i="56"/>
  <c r="S8" i="56"/>
  <c r="R10" i="56"/>
  <c r="R9" i="56" s="1"/>
  <c r="R12" i="56" s="1"/>
  <c r="Q11" i="57"/>
  <c r="Q13" i="57" s="1"/>
  <c r="K28" i="75" l="1"/>
  <c r="K25" i="75"/>
  <c r="K21" i="75"/>
  <c r="K20" i="75"/>
  <c r="K22" i="75"/>
  <c r="K27" i="75"/>
  <c r="K29" i="75"/>
  <c r="K26" i="75"/>
  <c r="J36" i="75"/>
  <c r="R15" i="56"/>
  <c r="R14" i="56"/>
  <c r="T8" i="56"/>
  <c r="S10" i="56"/>
  <c r="R13" i="57"/>
  <c r="S11" i="57"/>
  <c r="T10" i="56" l="1"/>
  <c r="S9" i="56"/>
  <c r="W11" i="57"/>
  <c r="T9" i="56" l="1"/>
  <c r="S12" i="56"/>
  <c r="T12" i="56" l="1"/>
  <c r="S15" i="56"/>
  <c r="S14" i="56"/>
  <c r="T15" i="56" l="1"/>
  <c r="T14" i="56"/>
  <c r="P107" i="74"/>
  <c r="P131" i="74"/>
  <c r="P112" i="74"/>
  <c r="P128" i="74"/>
  <c r="P121" i="74"/>
  <c r="P114" i="74"/>
  <c r="P135" i="74"/>
  <c r="P140" i="74"/>
  <c r="P109" i="74"/>
  <c r="P111" i="74"/>
  <c r="P139" i="74"/>
  <c r="P116" i="74"/>
  <c r="P125" i="74"/>
  <c r="P122" i="74"/>
  <c r="P133" i="74"/>
  <c r="P143" i="74"/>
  <c r="P115" i="74"/>
  <c r="P120" i="74"/>
  <c r="P113" i="74"/>
  <c r="P137" i="74"/>
  <c r="P126" i="74"/>
  <c r="Q126" i="74"/>
  <c r="P138" i="74"/>
  <c r="P123" i="74"/>
  <c r="P108" i="74"/>
  <c r="P124" i="74"/>
  <c r="P117" i="74"/>
  <c r="P110" i="74"/>
  <c r="P134" i="74"/>
  <c r="P132" i="74" s="1"/>
  <c r="P127" i="74"/>
  <c r="P142" i="74"/>
  <c r="P141" i="74"/>
  <c r="Q116" i="74"/>
  <c r="Q127" i="74"/>
  <c r="Q134" i="74"/>
  <c r="Q117" i="74"/>
  <c r="Q121" i="74"/>
  <c r="Q92" i="74"/>
  <c r="R124" i="74"/>
  <c r="Q124" i="74"/>
  <c r="S124" i="74"/>
  <c r="Q93" i="74"/>
  <c r="Q139" i="74" s="1"/>
  <c r="Q91" i="74"/>
  <c r="Q137" i="74" s="1"/>
  <c r="Q112" i="74"/>
  <c r="S112" i="74"/>
  <c r="Q87" i="74"/>
  <c r="R87" i="74" s="1"/>
  <c r="Q85" i="74"/>
  <c r="Q131" i="74" s="1"/>
  <c r="Q123" i="74"/>
  <c r="Q110" i="74"/>
  <c r="R110" i="74"/>
  <c r="Q97" i="74"/>
  <c r="Q143" i="74" s="1"/>
  <c r="Q125" i="74"/>
  <c r="Q94" i="74"/>
  <c r="Q140" i="74" s="1"/>
  <c r="R94" i="74"/>
  <c r="R140" i="74" s="1"/>
  <c r="P130" i="74"/>
  <c r="Q84" i="74"/>
  <c r="Q89" i="74"/>
  <c r="Q111" i="74"/>
  <c r="P119" i="74"/>
  <c r="Q96" i="74"/>
  <c r="R96" i="74" s="1"/>
  <c r="P106" i="74"/>
  <c r="P98" i="74"/>
  <c r="Q71" i="4" s="1"/>
  <c r="Q59" i="74"/>
  <c r="P136" i="74" l="1"/>
  <c r="R91" i="74"/>
  <c r="R137" i="74" s="1"/>
  <c r="R93" i="74"/>
  <c r="R139" i="74" s="1"/>
  <c r="S87" i="74"/>
  <c r="R133" i="74"/>
  <c r="R86" i="74"/>
  <c r="R85" i="74"/>
  <c r="R131" i="74" s="1"/>
  <c r="R117" i="74"/>
  <c r="R112" i="74"/>
  <c r="Q109" i="74"/>
  <c r="P129" i="74"/>
  <c r="P105" i="74"/>
  <c r="R142" i="74"/>
  <c r="S96" i="74"/>
  <c r="R109" i="74"/>
  <c r="Q72" i="74"/>
  <c r="Q120" i="74"/>
  <c r="Q118" i="74" s="1"/>
  <c r="R79" i="4" s="1"/>
  <c r="R81" i="4" s="1"/>
  <c r="R123" i="74"/>
  <c r="Q142" i="74"/>
  <c r="Q141" i="74" s="1"/>
  <c r="Q95" i="74"/>
  <c r="P118" i="74"/>
  <c r="Q135" i="74"/>
  <c r="R89" i="74"/>
  <c r="R125" i="74"/>
  <c r="R72" i="74"/>
  <c r="R120" i="74"/>
  <c r="R72" i="4"/>
  <c r="Q60" i="4"/>
  <c r="Q57" i="4" s="1"/>
  <c r="Q106" i="74"/>
  <c r="Q114" i="74"/>
  <c r="R92" i="74"/>
  <c r="Q138" i="74"/>
  <c r="Q136" i="74" s="1"/>
  <c r="Q90" i="74"/>
  <c r="S94" i="74"/>
  <c r="R97" i="74"/>
  <c r="R95" i="74" s="1"/>
  <c r="Q113" i="74"/>
  <c r="Q83" i="74"/>
  <c r="Q130" i="74"/>
  <c r="Q129" i="74" s="1"/>
  <c r="T112" i="74"/>
  <c r="R121" i="74"/>
  <c r="S86" i="74"/>
  <c r="S134" i="74"/>
  <c r="R84" i="74"/>
  <c r="Q133" i="74"/>
  <c r="Q132" i="74" s="1"/>
  <c r="Q86" i="74"/>
  <c r="R134" i="74"/>
  <c r="S91" i="74"/>
  <c r="S93" i="74"/>
  <c r="R132" i="74" l="1"/>
  <c r="S85" i="74"/>
  <c r="S131" i="74" s="1"/>
  <c r="T87" i="74"/>
  <c r="S133" i="74"/>
  <c r="S132" i="74" s="1"/>
  <c r="P144" i="74"/>
  <c r="Q48" i="4" s="1"/>
  <c r="S117" i="74"/>
  <c r="S121" i="74"/>
  <c r="S139" i="74"/>
  <c r="T93" i="74"/>
  <c r="T86" i="74"/>
  <c r="U88" i="74"/>
  <c r="T134" i="74"/>
  <c r="U112" i="74"/>
  <c r="R115" i="74"/>
  <c r="R111" i="74"/>
  <c r="R118" i="74"/>
  <c r="S79" i="4" s="1"/>
  <c r="S81" i="4" s="1"/>
  <c r="Q98" i="74"/>
  <c r="S140" i="74"/>
  <c r="T94" i="74"/>
  <c r="S125" i="74"/>
  <c r="S110" i="74"/>
  <c r="S72" i="74"/>
  <c r="S120" i="74"/>
  <c r="S109" i="74"/>
  <c r="R138" i="74"/>
  <c r="R136" i="74" s="1"/>
  <c r="S92" i="74"/>
  <c r="R90" i="74"/>
  <c r="Q79" i="4"/>
  <c r="S137" i="74"/>
  <c r="T91" i="74"/>
  <c r="R113" i="74"/>
  <c r="R135" i="74"/>
  <c r="S89" i="74"/>
  <c r="R130" i="74"/>
  <c r="R129" i="74" s="1"/>
  <c r="R83" i="74"/>
  <c r="S84" i="74"/>
  <c r="T84" i="74" s="1"/>
  <c r="U84" i="74" s="1"/>
  <c r="T124" i="74"/>
  <c r="R143" i="74"/>
  <c r="R141" i="74" s="1"/>
  <c r="S97" i="74"/>
  <c r="S95" i="74" s="1"/>
  <c r="R114" i="74"/>
  <c r="S123" i="74"/>
  <c r="R59" i="74"/>
  <c r="R106" i="74"/>
  <c r="S142" i="74"/>
  <c r="T96" i="74"/>
  <c r="U87" i="74" l="1"/>
  <c r="U133" i="74" s="1"/>
  <c r="T133" i="74"/>
  <c r="T132" i="74" s="1"/>
  <c r="R105" i="74"/>
  <c r="R144" i="74" s="1"/>
  <c r="S48" i="4" s="1"/>
  <c r="R98" i="74"/>
  <c r="S71" i="4" s="1"/>
  <c r="S143" i="74"/>
  <c r="S141" i="74" s="1"/>
  <c r="T97" i="74"/>
  <c r="T95" i="74" s="1"/>
  <c r="T110" i="74"/>
  <c r="U94" i="74"/>
  <c r="T140" i="74"/>
  <c r="T142" i="74"/>
  <c r="U96" i="74"/>
  <c r="U85" i="74"/>
  <c r="T131" i="74"/>
  <c r="U91" i="74"/>
  <c r="T137" i="74"/>
  <c r="S138" i="74"/>
  <c r="S136" i="74" s="1"/>
  <c r="T92" i="74"/>
  <c r="T90" i="74" s="1"/>
  <c r="T72" i="74"/>
  <c r="T120" i="74"/>
  <c r="S111" i="74"/>
  <c r="V112" i="74"/>
  <c r="W112" i="74"/>
  <c r="Q77" i="4"/>
  <c r="T123" i="74"/>
  <c r="Q80" i="4"/>
  <c r="R80" i="4"/>
  <c r="Q81" i="4"/>
  <c r="S80" i="4"/>
  <c r="S118" i="74"/>
  <c r="H27" i="75" s="1"/>
  <c r="H26" i="75" s="1"/>
  <c r="T125" i="74"/>
  <c r="R71" i="4"/>
  <c r="S72" i="4"/>
  <c r="R60" i="4"/>
  <c r="R57" i="4" s="1"/>
  <c r="U93" i="74"/>
  <c r="T139" i="74"/>
  <c r="T121" i="74"/>
  <c r="S83" i="74"/>
  <c r="S130" i="74"/>
  <c r="S129" i="74" s="1"/>
  <c r="U86" i="74"/>
  <c r="U134" i="74"/>
  <c r="U132" i="74" s="1"/>
  <c r="V88" i="74"/>
  <c r="W88" i="74" s="1"/>
  <c r="S114" i="74"/>
  <c r="S59" i="74"/>
  <c r="S106" i="74"/>
  <c r="U124" i="74"/>
  <c r="S135" i="74"/>
  <c r="T89" i="74"/>
  <c r="S113" i="74"/>
  <c r="S90" i="74"/>
  <c r="T109" i="74"/>
  <c r="S115" i="74"/>
  <c r="T117" i="74"/>
  <c r="S98" i="74" l="1"/>
  <c r="H19" i="75"/>
  <c r="W86" i="74"/>
  <c r="X88" i="74"/>
  <c r="S60" i="4"/>
  <c r="S57" i="4" s="1"/>
  <c r="S77" i="4" s="1"/>
  <c r="V8" i="1" s="1"/>
  <c r="T72" i="4"/>
  <c r="H24" i="75" s="1"/>
  <c r="U109" i="74"/>
  <c r="W124" i="74"/>
  <c r="V124" i="74"/>
  <c r="V86" i="74"/>
  <c r="V134" i="74"/>
  <c r="V132" i="74" s="1"/>
  <c r="T135" i="74"/>
  <c r="U89" i="74"/>
  <c r="U123" i="74"/>
  <c r="T118" i="74"/>
  <c r="U110" i="74"/>
  <c r="T59" i="74"/>
  <c r="T106" i="74"/>
  <c r="T79" i="4"/>
  <c r="H36" i="75"/>
  <c r="U72" i="74"/>
  <c r="U120" i="74"/>
  <c r="U131" i="74"/>
  <c r="V85" i="74"/>
  <c r="W85" i="74" s="1"/>
  <c r="X85" i="74" s="1"/>
  <c r="T143" i="74"/>
  <c r="T141" i="74" s="1"/>
  <c r="U97" i="74"/>
  <c r="U95" i="74" s="1"/>
  <c r="T114" i="74"/>
  <c r="T71" i="4"/>
  <c r="H23" i="75" s="1"/>
  <c r="T60" i="4"/>
  <c r="T57" i="4" s="1"/>
  <c r="U72" i="4"/>
  <c r="V93" i="74"/>
  <c r="W93" i="74" s="1"/>
  <c r="X93" i="74" s="1"/>
  <c r="U139" i="74"/>
  <c r="U125" i="74"/>
  <c r="U92" i="74"/>
  <c r="T138" i="74"/>
  <c r="T136" i="74" s="1"/>
  <c r="V91" i="74"/>
  <c r="W91" i="74" s="1"/>
  <c r="U137" i="74"/>
  <c r="U117" i="74"/>
  <c r="S105" i="74"/>
  <c r="S144" i="74" s="1"/>
  <c r="T48" i="4" s="1"/>
  <c r="T83" i="74"/>
  <c r="T130" i="74"/>
  <c r="T129" i="74" s="1"/>
  <c r="U121" i="74"/>
  <c r="T113" i="74"/>
  <c r="T8" i="1"/>
  <c r="T111" i="74"/>
  <c r="U142" i="74"/>
  <c r="V96" i="74"/>
  <c r="W96" i="74" s="1"/>
  <c r="U140" i="74"/>
  <c r="V94" i="74"/>
  <c r="W94" i="74" s="1"/>
  <c r="X94" i="74" s="1"/>
  <c r="T98" i="74" l="1"/>
  <c r="X96" i="74"/>
  <c r="X91" i="74"/>
  <c r="X131" i="74"/>
  <c r="Y85" i="74"/>
  <c r="X140" i="74"/>
  <c r="Y94" i="74"/>
  <c r="Y93" i="74"/>
  <c r="X139" i="74"/>
  <c r="Y88" i="74"/>
  <c r="X134" i="74"/>
  <c r="X132" i="74" s="1"/>
  <c r="X86" i="74"/>
  <c r="H13" i="75"/>
  <c r="H14" i="75" s="1"/>
  <c r="H37" i="75" s="1"/>
  <c r="T77" i="4"/>
  <c r="V72" i="4"/>
  <c r="U71" i="4"/>
  <c r="U60" i="4"/>
  <c r="U57" i="4" s="1"/>
  <c r="U111" i="74"/>
  <c r="U113" i="74"/>
  <c r="W4" i="56"/>
  <c r="V9" i="1"/>
  <c r="U118" i="74"/>
  <c r="V79" i="4" s="1"/>
  <c r="V81" i="4" s="1"/>
  <c r="U106" i="74"/>
  <c r="V123" i="74"/>
  <c r="W123" i="74"/>
  <c r="U83" i="74"/>
  <c r="U130" i="74"/>
  <c r="U129" i="74" s="1"/>
  <c r="W84" i="74"/>
  <c r="W139" i="74"/>
  <c r="V139" i="74"/>
  <c r="U114" i="74"/>
  <c r="W131" i="74"/>
  <c r="V131" i="74"/>
  <c r="V110" i="74"/>
  <c r="W110" i="74"/>
  <c r="V140" i="74"/>
  <c r="W140" i="74"/>
  <c r="T9" i="1"/>
  <c r="U4" i="56"/>
  <c r="W117" i="74"/>
  <c r="V117" i="74"/>
  <c r="V137" i="74"/>
  <c r="V125" i="74"/>
  <c r="W125" i="74"/>
  <c r="W134" i="74"/>
  <c r="W132" i="74" s="1"/>
  <c r="W109" i="74"/>
  <c r="V109" i="74"/>
  <c r="V89" i="74"/>
  <c r="W89" i="74" s="1"/>
  <c r="X89" i="74" s="1"/>
  <c r="U135" i="74"/>
  <c r="V142" i="74"/>
  <c r="V92" i="74"/>
  <c r="W92" i="74" s="1"/>
  <c r="X92" i="74" s="1"/>
  <c r="U138" i="74"/>
  <c r="U136" i="74" s="1"/>
  <c r="W121" i="74"/>
  <c r="V121" i="74"/>
  <c r="U90" i="74"/>
  <c r="U143" i="74"/>
  <c r="U141" i="74" s="1"/>
  <c r="V97" i="74"/>
  <c r="W97" i="74" s="1"/>
  <c r="X97" i="74" s="1"/>
  <c r="V120" i="74"/>
  <c r="V118" i="74" s="1"/>
  <c r="W79" i="4" s="1"/>
  <c r="W81" i="4" s="1"/>
  <c r="V72" i="74"/>
  <c r="T81" i="4"/>
  <c r="T80" i="4"/>
  <c r="U79" i="4"/>
  <c r="U81" i="4" s="1"/>
  <c r="Z88" i="74" l="1"/>
  <c r="Y134" i="74"/>
  <c r="Y132" i="74" s="1"/>
  <c r="Y86" i="74"/>
  <c r="Z94" i="74"/>
  <c r="Y140" i="74"/>
  <c r="X138" i="74"/>
  <c r="Y92" i="74"/>
  <c r="W90" i="74"/>
  <c r="Y131" i="74"/>
  <c r="Z85" i="74"/>
  <c r="X95" i="74"/>
  <c r="Y96" i="74"/>
  <c r="X142" i="74"/>
  <c r="X90" i="74"/>
  <c r="X137" i="74"/>
  <c r="Y91" i="74"/>
  <c r="X135" i="74"/>
  <c r="Y89" i="74"/>
  <c r="Y97" i="74"/>
  <c r="X143" i="74"/>
  <c r="W83" i="74"/>
  <c r="X84" i="74"/>
  <c r="V95" i="74"/>
  <c r="V90" i="74"/>
  <c r="Z93" i="74"/>
  <c r="Y139" i="74"/>
  <c r="W95" i="74"/>
  <c r="W80" i="4"/>
  <c r="U80" i="4"/>
  <c r="W8" i="1"/>
  <c r="X4" i="56" s="1"/>
  <c r="W120" i="74"/>
  <c r="W118" i="74" s="1"/>
  <c r="I27" i="75" s="1"/>
  <c r="U3" i="56"/>
  <c r="Q6" i="58"/>
  <c r="Q5" i="58" s="1"/>
  <c r="Q7" i="58" s="1"/>
  <c r="S5" i="57" s="1"/>
  <c r="W3" i="56"/>
  <c r="S6" i="58"/>
  <c r="S5" i="58" s="1"/>
  <c r="S7" i="58" s="1"/>
  <c r="W135" i="74"/>
  <c r="V135" i="74"/>
  <c r="W137" i="74"/>
  <c r="T10" i="1"/>
  <c r="T11" i="1" s="1"/>
  <c r="T12" i="1" s="1"/>
  <c r="V114" i="74"/>
  <c r="W114" i="74"/>
  <c r="V106" i="74"/>
  <c r="V111" i="74"/>
  <c r="W111" i="74"/>
  <c r="V138" i="74"/>
  <c r="V136" i="74" s="1"/>
  <c r="W138" i="74"/>
  <c r="V130" i="74"/>
  <c r="V129" i="74" s="1"/>
  <c r="V83" i="74"/>
  <c r="V80" i="4"/>
  <c r="V143" i="74"/>
  <c r="V141" i="74" s="1"/>
  <c r="W143" i="74"/>
  <c r="W142" i="74"/>
  <c r="V113" i="74"/>
  <c r="W113" i="74"/>
  <c r="X136" i="74" l="1"/>
  <c r="I26" i="75"/>
  <c r="X83" i="74"/>
  <c r="X130" i="74"/>
  <c r="X129" i="74" s="1"/>
  <c r="Y84" i="74"/>
  <c r="AA94" i="74"/>
  <c r="AA140" i="74" s="1"/>
  <c r="Z140" i="74"/>
  <c r="Z89" i="74"/>
  <c r="Y135" i="74"/>
  <c r="AA85" i="74"/>
  <c r="AA131" i="74" s="1"/>
  <c r="Z131" i="74"/>
  <c r="Y138" i="74"/>
  <c r="Z92" i="74"/>
  <c r="X141" i="74"/>
  <c r="AA93" i="74"/>
  <c r="AA139" i="74" s="1"/>
  <c r="Z139" i="74"/>
  <c r="Z97" i="74"/>
  <c r="Y143" i="74"/>
  <c r="Y90" i="74"/>
  <c r="Y137" i="74"/>
  <c r="Y136" i="74" s="1"/>
  <c r="Z91" i="74"/>
  <c r="Y95" i="74"/>
  <c r="Z96" i="74"/>
  <c r="Y142" i="74"/>
  <c r="AA88" i="74"/>
  <c r="Z134" i="74"/>
  <c r="Z132" i="74" s="1"/>
  <c r="Z86" i="74"/>
  <c r="W9" i="1"/>
  <c r="Y4" i="56"/>
  <c r="T6" i="58"/>
  <c r="T5" i="58" s="1"/>
  <c r="T7" i="58" s="1"/>
  <c r="V5" i="57" s="1"/>
  <c r="X3" i="56"/>
  <c r="W106" i="74"/>
  <c r="W130" i="74"/>
  <c r="W129" i="74" s="1"/>
  <c r="S4" i="57"/>
  <c r="U16" i="64"/>
  <c r="X79" i="4"/>
  <c r="W141" i="74"/>
  <c r="W136" i="74"/>
  <c r="I19" i="75" s="1"/>
  <c r="Z90" i="74" l="1"/>
  <c r="AA91" i="74"/>
  <c r="Z137" i="74"/>
  <c r="AA134" i="74"/>
  <c r="AA132" i="74" s="1"/>
  <c r="AA86" i="74"/>
  <c r="AA97" i="74"/>
  <c r="AA143" i="74" s="1"/>
  <c r="Z143" i="74"/>
  <c r="AA80" i="4"/>
  <c r="Y80" i="4"/>
  <c r="Z80" i="4"/>
  <c r="AB80" i="4"/>
  <c r="Y141" i="74"/>
  <c r="AA92" i="74"/>
  <c r="AA138" i="74" s="1"/>
  <c r="Z138" i="74"/>
  <c r="Z95" i="74"/>
  <c r="AA96" i="74"/>
  <c r="Z142" i="74"/>
  <c r="Z141" i="74" s="1"/>
  <c r="AA89" i="74"/>
  <c r="AA135" i="74" s="1"/>
  <c r="Z135" i="74"/>
  <c r="Y83" i="74"/>
  <c r="Z84" i="74"/>
  <c r="Y130" i="74"/>
  <c r="Y129" i="74" s="1"/>
  <c r="I36" i="75"/>
  <c r="E78" i="75"/>
  <c r="F78" i="75" s="1"/>
  <c r="S3" i="57"/>
  <c r="X81" i="4"/>
  <c r="X80" i="4"/>
  <c r="Y3" i="56"/>
  <c r="U17" i="64"/>
  <c r="Z83" i="74" l="1"/>
  <c r="AA84" i="74"/>
  <c r="Z130" i="74"/>
  <c r="Z129" i="74" s="1"/>
  <c r="AA90" i="74"/>
  <c r="AA137" i="74"/>
  <c r="AA136" i="74" s="1"/>
  <c r="AA95" i="74"/>
  <c r="AA142" i="74"/>
  <c r="AA141" i="74" s="1"/>
  <c r="Z136" i="74"/>
  <c r="S10" i="57"/>
  <c r="U18" i="64"/>
  <c r="V15" i="64"/>
  <c r="U7" i="56"/>
  <c r="U5" i="56" s="1"/>
  <c r="U8" i="56" s="1"/>
  <c r="AA83" i="74" l="1"/>
  <c r="AA130" i="74"/>
  <c r="AA129" i="74" s="1"/>
  <c r="J19" i="75" s="1"/>
  <c r="K19" i="75" s="1"/>
  <c r="S12" i="57"/>
  <c r="S13" i="57" l="1"/>
  <c r="U10" i="56" l="1"/>
  <c r="U9" i="56" s="1"/>
  <c r="U12" i="56" s="1"/>
  <c r="T11" i="57"/>
  <c r="U15" i="56" l="1"/>
  <c r="U14" i="56"/>
  <c r="T115" i="74"/>
  <c r="T105" i="74" s="1"/>
  <c r="Q115" i="74"/>
  <c r="Q105" i="74" s="1"/>
  <c r="H18" i="75" s="1"/>
  <c r="H17" i="75" s="1"/>
  <c r="H30" i="75" s="1"/>
  <c r="U23" i="74"/>
  <c r="T144" i="74" l="1"/>
  <c r="U48" i="4" s="1"/>
  <c r="U69" i="74"/>
  <c r="U59" i="74" s="1"/>
  <c r="U98" i="74" s="1"/>
  <c r="V23" i="74"/>
  <c r="W23" i="74" s="1"/>
  <c r="Q144" i="74"/>
  <c r="U77" i="4"/>
  <c r="V60" i="4" l="1"/>
  <c r="V57" i="4" s="1"/>
  <c r="W72" i="4"/>
  <c r="V71" i="4"/>
  <c r="X23" i="74"/>
  <c r="W69" i="74"/>
  <c r="W59" i="74" s="1"/>
  <c r="W98" i="74" s="1"/>
  <c r="U115" i="74"/>
  <c r="U105" i="74" s="1"/>
  <c r="V69" i="74"/>
  <c r="V59" i="74" s="1"/>
  <c r="V98" i="74" s="1"/>
  <c r="R48" i="4"/>
  <c r="R77" i="4" s="1"/>
  <c r="Y8" i="1"/>
  <c r="V115" i="74" l="1"/>
  <c r="V105" i="74" s="1"/>
  <c r="V144" i="74" s="1"/>
  <c r="W48" i="4" s="1"/>
  <c r="W115" i="74"/>
  <c r="W105" i="74" s="1"/>
  <c r="W144" i="74" s="1"/>
  <c r="X48" i="4" s="1"/>
  <c r="U144" i="74"/>
  <c r="V48" i="4" s="1"/>
  <c r="V77" i="4" s="1"/>
  <c r="Y72" i="4"/>
  <c r="X71" i="4"/>
  <c r="X60" i="4"/>
  <c r="X57" i="4" s="1"/>
  <c r="W71" i="4"/>
  <c r="W60" i="4"/>
  <c r="W57" i="4" s="1"/>
  <c r="W77" i="4" s="1"/>
  <c r="X72" i="4"/>
  <c r="I24" i="75" s="1"/>
  <c r="Y23" i="74"/>
  <c r="X69" i="74"/>
  <c r="X59" i="74" s="1"/>
  <c r="X98" i="74" s="1"/>
  <c r="H32" i="75"/>
  <c r="H38" i="75" s="1"/>
  <c r="Z4" i="56"/>
  <c r="Y9" i="1"/>
  <c r="U8" i="1"/>
  <c r="I18" i="75" l="1"/>
  <c r="X115" i="74"/>
  <c r="X105" i="74" s="1"/>
  <c r="I13" i="75"/>
  <c r="I14" i="75" s="1"/>
  <c r="I37" i="75" s="1"/>
  <c r="AA8" i="1"/>
  <c r="Y69" i="74"/>
  <c r="Y59" i="74" s="1"/>
  <c r="Y98" i="74" s="1"/>
  <c r="Y115" i="74"/>
  <c r="Y105" i="74" s="1"/>
  <c r="Y144" i="74" s="1"/>
  <c r="Z48" i="4" s="1"/>
  <c r="Z23" i="74"/>
  <c r="I17" i="75"/>
  <c r="Z8" i="1"/>
  <c r="I23" i="75"/>
  <c r="X77" i="4"/>
  <c r="X144" i="74"/>
  <c r="Y48" i="4" s="1"/>
  <c r="Y71" i="4"/>
  <c r="Y60" i="4"/>
  <c r="Y57" i="4" s="1"/>
  <c r="Z72" i="4"/>
  <c r="H35" i="75"/>
  <c r="X8" i="1"/>
  <c r="V4" i="56"/>
  <c r="U9" i="1"/>
  <c r="U6" i="58"/>
  <c r="U5" i="58" s="1"/>
  <c r="U7" i="58" s="1"/>
  <c r="X5" i="57" s="1"/>
  <c r="Z3" i="56"/>
  <c r="AB8" i="1" l="1"/>
  <c r="Z71" i="4"/>
  <c r="AA72" i="4"/>
  <c r="Z60" i="4"/>
  <c r="Z57" i="4" s="1"/>
  <c r="I30" i="75"/>
  <c r="Y77" i="4"/>
  <c r="AD8" i="1" s="1"/>
  <c r="AA4" i="56"/>
  <c r="Z9" i="1"/>
  <c r="AA23" i="74"/>
  <c r="Z69" i="74"/>
  <c r="Z59" i="74" s="1"/>
  <c r="Z98" i="74" s="1"/>
  <c r="AA9" i="1"/>
  <c r="AB4" i="56"/>
  <c r="U10" i="1"/>
  <c r="V10" i="1" s="1"/>
  <c r="X9" i="1"/>
  <c r="R6" i="58"/>
  <c r="R5" i="58" s="1"/>
  <c r="R7" i="58" s="1"/>
  <c r="V3" i="56"/>
  <c r="Z77" i="4" l="1"/>
  <c r="AE8" i="1" s="1"/>
  <c r="AG4" i="56" s="1"/>
  <c r="AA60" i="4"/>
  <c r="AA57" i="4" s="1"/>
  <c r="AA71" i="4"/>
  <c r="AB72" i="4"/>
  <c r="J24" i="75" s="1"/>
  <c r="K24" i="75" s="1"/>
  <c r="AB9" i="1"/>
  <c r="AC9" i="1" s="1"/>
  <c r="AC4" i="56"/>
  <c r="AB3" i="56"/>
  <c r="W6" i="58"/>
  <c r="W5" i="58" s="1"/>
  <c r="W7" i="58" s="1"/>
  <c r="AA69" i="74"/>
  <c r="AA59" i="74" s="1"/>
  <c r="AA98" i="74" s="1"/>
  <c r="V6" i="58"/>
  <c r="V5" i="58" s="1"/>
  <c r="V7" i="58" s="1"/>
  <c r="Y5" i="57" s="1"/>
  <c r="AA3" i="56"/>
  <c r="I35" i="75"/>
  <c r="I32" i="75"/>
  <c r="AF4" i="56"/>
  <c r="AD9" i="1"/>
  <c r="AC8" i="1"/>
  <c r="AE4" i="56" s="1"/>
  <c r="AE3" i="56" s="1"/>
  <c r="Z115" i="74"/>
  <c r="Z105" i="74" s="1"/>
  <c r="W10" i="1"/>
  <c r="V11" i="1"/>
  <c r="V12" i="1" s="1"/>
  <c r="U5" i="57"/>
  <c r="T5" i="57"/>
  <c r="U11" i="1"/>
  <c r="AA115" i="74" l="1"/>
  <c r="AA105" i="74" s="1"/>
  <c r="AA144" i="74" s="1"/>
  <c r="AB48" i="4" s="1"/>
  <c r="AE9" i="1"/>
  <c r="Z5" i="57"/>
  <c r="I38" i="75"/>
  <c r="Z144" i="74"/>
  <c r="AA48" i="4" s="1"/>
  <c r="AA77" i="4" s="1"/>
  <c r="AF8" i="1" s="1"/>
  <c r="J18" i="75"/>
  <c r="X6" i="58"/>
  <c r="X5" i="58" s="1"/>
  <c r="X7" i="58" s="1"/>
  <c r="AA5" i="57" s="1"/>
  <c r="AB5" i="57" s="1"/>
  <c r="AC3" i="56"/>
  <c r="AD3" i="56" s="1"/>
  <c r="AD4" i="56"/>
  <c r="Y6" i="58" s="1"/>
  <c r="Y5" i="58" s="1"/>
  <c r="Y7" i="58" s="1"/>
  <c r="AB71" i="4"/>
  <c r="J23" i="75" s="1"/>
  <c r="K23" i="75" s="1"/>
  <c r="E79" i="75" s="1"/>
  <c r="F79" i="75" s="1"/>
  <c r="AB60" i="4"/>
  <c r="AB57" i="4" s="1"/>
  <c r="J13" i="75" s="1"/>
  <c r="AF3" i="56"/>
  <c r="AF8" i="56" s="1"/>
  <c r="Z6" i="58"/>
  <c r="Z5" i="58" s="1"/>
  <c r="Z7" i="58" s="1"/>
  <c r="AG3" i="56"/>
  <c r="AG8" i="56" s="1"/>
  <c r="AA6" i="58"/>
  <c r="AA5" i="58" s="1"/>
  <c r="AA7" i="58" s="1"/>
  <c r="U4" i="57"/>
  <c r="U3" i="57" s="1"/>
  <c r="U10" i="57" s="1"/>
  <c r="U12" i="57" s="1"/>
  <c r="W16" i="64"/>
  <c r="U12" i="1"/>
  <c r="W5" i="57"/>
  <c r="X10" i="1"/>
  <c r="Y10" i="1" s="1"/>
  <c r="W11" i="1"/>
  <c r="W12" i="1" s="1"/>
  <c r="J14" i="75" l="1"/>
  <c r="J37" i="75" s="1"/>
  <c r="K13" i="75"/>
  <c r="E76" i="75" s="1"/>
  <c r="F76" i="75" s="1"/>
  <c r="J17" i="75"/>
  <c r="K17" i="75" s="1"/>
  <c r="K18" i="75"/>
  <c r="E77" i="75" s="1"/>
  <c r="F77" i="75" s="1"/>
  <c r="AB77" i="4"/>
  <c r="AG8" i="1" s="1"/>
  <c r="AG9" i="1" s="1"/>
  <c r="AF9" i="1"/>
  <c r="AH4" i="56"/>
  <c r="AE5" i="57"/>
  <c r="AD5" i="57"/>
  <c r="AC5" i="57"/>
  <c r="X16" i="64"/>
  <c r="V4" i="57"/>
  <c r="V3" i="57" s="1"/>
  <c r="V10" i="57" s="1"/>
  <c r="V12" i="57" s="1"/>
  <c r="Z10" i="1"/>
  <c r="Y11" i="1"/>
  <c r="F102" i="4"/>
  <c r="T4" i="57"/>
  <c r="V16" i="64"/>
  <c r="X11" i="1"/>
  <c r="X12" i="1" s="1"/>
  <c r="AH8" i="1" l="1"/>
  <c r="AH9" i="1"/>
  <c r="J30" i="75"/>
  <c r="J35" i="75" s="1"/>
  <c r="AB6" i="58"/>
  <c r="AB5" i="58" s="1"/>
  <c r="AB7" i="58" s="1"/>
  <c r="AF5" i="57" s="1"/>
  <c r="AG5" i="57" s="1"/>
  <c r="AH3" i="56"/>
  <c r="AI4" i="56"/>
  <c r="W4" i="57"/>
  <c r="T3" i="57"/>
  <c r="Y12" i="1"/>
  <c r="Y16" i="64"/>
  <c r="V17" i="64"/>
  <c r="AA10" i="1"/>
  <c r="Z11" i="1"/>
  <c r="Z12" i="1" s="1"/>
  <c r="J32" i="75" l="1"/>
  <c r="J38" i="75" s="1"/>
  <c r="AI3" i="56"/>
  <c r="AH8" i="56"/>
  <c r="AI8" i="56" s="1"/>
  <c r="AA16" i="64"/>
  <c r="Y4" i="57"/>
  <c r="Y3" i="57" s="1"/>
  <c r="Y10" i="57" s="1"/>
  <c r="Y12" i="57" s="1"/>
  <c r="X4" i="57"/>
  <c r="Z16" i="64"/>
  <c r="AB10" i="1"/>
  <c r="AD10" i="1" s="1"/>
  <c r="AA11" i="1"/>
  <c r="AA12" i="1" s="1"/>
  <c r="W15" i="64"/>
  <c r="W17" i="64" s="1"/>
  <c r="V7" i="56"/>
  <c r="V5" i="56" s="1"/>
  <c r="V8" i="56" s="1"/>
  <c r="V18" i="64"/>
  <c r="T10" i="57"/>
  <c r="W3" i="57"/>
  <c r="G100" i="4" l="1"/>
  <c r="G108" i="4"/>
  <c r="G110" i="4" s="1"/>
  <c r="K32" i="75"/>
  <c r="E75" i="75" s="1"/>
  <c r="F75" i="75" s="1"/>
  <c r="F80" i="75" s="1"/>
  <c r="AE10" i="1"/>
  <c r="AD11" i="1"/>
  <c r="AB16" i="64"/>
  <c r="Z4" i="57"/>
  <c r="Z3" i="57" s="1"/>
  <c r="Z10" i="57" s="1"/>
  <c r="Z12" i="57" s="1"/>
  <c r="W18" i="64"/>
  <c r="X15" i="64"/>
  <c r="X17" i="64" s="1"/>
  <c r="W7" i="56"/>
  <c r="W5" i="56" s="1"/>
  <c r="W8" i="56" s="1"/>
  <c r="W10" i="57"/>
  <c r="T12" i="57"/>
  <c r="X3" i="57"/>
  <c r="AC10" i="1"/>
  <c r="AB11" i="1"/>
  <c r="AD12" i="1" l="1"/>
  <c r="AD4" i="57" s="1"/>
  <c r="AD3" i="57" s="1"/>
  <c r="AD10" i="57" s="1"/>
  <c r="AD12" i="57" s="1"/>
  <c r="AF10" i="1"/>
  <c r="AE11" i="1"/>
  <c r="AE12" i="1" s="1"/>
  <c r="AE4" i="57" s="1"/>
  <c r="AE3" i="57" s="1"/>
  <c r="AE10" i="57" s="1"/>
  <c r="AE12" i="57" s="1"/>
  <c r="AB12" i="1"/>
  <c r="AC11" i="1"/>
  <c r="AC12" i="1" s="1"/>
  <c r="T13" i="57"/>
  <c r="W12" i="57"/>
  <c r="X18" i="64"/>
  <c r="Y18" i="64" s="1"/>
  <c r="Z15" i="64"/>
  <c r="X7" i="56"/>
  <c r="Y17" i="64"/>
  <c r="X10" i="57"/>
  <c r="AC4" i="57" l="1"/>
  <c r="AC3" i="57" s="1"/>
  <c r="AG10" i="1"/>
  <c r="AF11" i="1"/>
  <c r="AF12" i="1" s="1"/>
  <c r="AF4" i="57" s="1"/>
  <c r="AF3" i="57" s="1"/>
  <c r="AF10" i="57" s="1"/>
  <c r="AF12" i="57" s="1"/>
  <c r="X12" i="57"/>
  <c r="AD15" i="64"/>
  <c r="Z17" i="64"/>
  <c r="AC16" i="64"/>
  <c r="AD16" i="64" s="1"/>
  <c r="AA4" i="57"/>
  <c r="Y7" i="56"/>
  <c r="X5" i="56"/>
  <c r="V10" i="56"/>
  <c r="V9" i="56" s="1"/>
  <c r="V12" i="56" s="1"/>
  <c r="U11" i="57"/>
  <c r="U13" i="57" s="1"/>
  <c r="AC10" i="57" l="1"/>
  <c r="AG3" i="57"/>
  <c r="AG4" i="57"/>
  <c r="AG11" i="1"/>
  <c r="AG12" i="1" s="1"/>
  <c r="AH10" i="1"/>
  <c r="V11" i="57"/>
  <c r="V13" i="57" s="1"/>
  <c r="W10" i="56"/>
  <c r="W9" i="56" s="1"/>
  <c r="W12" i="56" s="1"/>
  <c r="G102" i="4"/>
  <c r="Z7" i="56"/>
  <c r="Z5" i="56" s="1"/>
  <c r="Z8" i="56" s="1"/>
  <c r="AA15" i="64"/>
  <c r="AA17" i="64" s="1"/>
  <c r="Z18" i="64"/>
  <c r="V15" i="56"/>
  <c r="V14" i="56"/>
  <c r="Y5" i="56"/>
  <c r="X8" i="56"/>
  <c r="AA3" i="57"/>
  <c r="AB4" i="57"/>
  <c r="I108" i="4" l="1"/>
  <c r="I100" i="4"/>
  <c r="AH11" i="1"/>
  <c r="AH12" i="1" s="1"/>
  <c r="AC12" i="57"/>
  <c r="AG12" i="57" s="1"/>
  <c r="AG10" i="57"/>
  <c r="AB15" i="64"/>
  <c r="AB17" i="64" s="1"/>
  <c r="AA18" i="64"/>
  <c r="AA7" i="56"/>
  <c r="AA5" i="56" s="1"/>
  <c r="AA8" i="56" s="1"/>
  <c r="Y8" i="56"/>
  <c r="AA10" i="57"/>
  <c r="AB3" i="57"/>
  <c r="W15" i="56"/>
  <c r="W14" i="56"/>
  <c r="W13" i="57"/>
  <c r="X10" i="56"/>
  <c r="X11" i="57"/>
  <c r="H100" i="4" l="1"/>
  <c r="H102" i="4" s="1"/>
  <c r="H108" i="4"/>
  <c r="H110" i="4" s="1"/>
  <c r="I109" i="4"/>
  <c r="I110" i="4" s="1"/>
  <c r="I101" i="4"/>
  <c r="X9" i="56"/>
  <c r="Y10" i="56"/>
  <c r="AA12" i="57"/>
  <c r="AB12" i="57" s="1"/>
  <c r="AB10" i="57"/>
  <c r="AB11" i="57"/>
  <c r="X13" i="57"/>
  <c r="AB7" i="56"/>
  <c r="AB5" i="56" s="1"/>
  <c r="AB8" i="56" s="1"/>
  <c r="AC15" i="64"/>
  <c r="AC17" i="64" s="1"/>
  <c r="AB18" i="64"/>
  <c r="D112" i="4" l="1"/>
  <c r="D111" i="4"/>
  <c r="I102" i="4"/>
  <c r="D103" i="4" s="1"/>
  <c r="Z10" i="56"/>
  <c r="Z9" i="56" s="1"/>
  <c r="Z12" i="56" s="1"/>
  <c r="Y11" i="57"/>
  <c r="Y13" i="57" s="1"/>
  <c r="AC7" i="56"/>
  <c r="AD17" i="64"/>
  <c r="AE7" i="56" s="1"/>
  <c r="AE5" i="56" s="1"/>
  <c r="AE8" i="56" s="1"/>
  <c r="AC18" i="64"/>
  <c r="AD18" i="64" s="1"/>
  <c r="X12" i="56"/>
  <c r="Y9" i="56"/>
  <c r="D104" i="4" l="1"/>
  <c r="AA10" i="56"/>
  <c r="AA9" i="56" s="1"/>
  <c r="AA12" i="56" s="1"/>
  <c r="Z11" i="57"/>
  <c r="Z13" i="57" s="1"/>
  <c r="Z15" i="56"/>
  <c r="Z14" i="56"/>
  <c r="Y12" i="56"/>
  <c r="X15" i="56"/>
  <c r="X14" i="56"/>
  <c r="AD7" i="56"/>
  <c r="AC5" i="56"/>
  <c r="AA15" i="56" l="1"/>
  <c r="AA14" i="56"/>
  <c r="AA11" i="57"/>
  <c r="AA13" i="57" s="1"/>
  <c r="AC11" i="57" s="1"/>
  <c r="AB10" i="56"/>
  <c r="AB9" i="56" s="1"/>
  <c r="AB12" i="56" s="1"/>
  <c r="AD5" i="56"/>
  <c r="AC8" i="56"/>
  <c r="Y15" i="56"/>
  <c r="Y14" i="56"/>
  <c r="AC13" i="57" l="1"/>
  <c r="AG11" i="57"/>
  <c r="AD8" i="56"/>
  <c r="AB15" i="56"/>
  <c r="AB14" i="56"/>
  <c r="AB13" i="57"/>
  <c r="AE10" i="56" s="1"/>
  <c r="AE9" i="56" s="1"/>
  <c r="AE12" i="56" s="1"/>
  <c r="AC10" i="56"/>
  <c r="AD11" i="57" l="1"/>
  <c r="AD13" i="57" s="1"/>
  <c r="AE11" i="57" s="1"/>
  <c r="AE13" i="57" s="1"/>
  <c r="AF10" i="56"/>
  <c r="AF9" i="56" s="1"/>
  <c r="AF12" i="56" s="1"/>
  <c r="AD10" i="56"/>
  <c r="AC9" i="56"/>
  <c r="AG10" i="56" l="1"/>
  <c r="AG9" i="56" s="1"/>
  <c r="AG12" i="56" s="1"/>
  <c r="AF11" i="57"/>
  <c r="AF13" i="57" s="1"/>
  <c r="AG13" i="57" s="1"/>
  <c r="AH10" i="56"/>
  <c r="AD9" i="56"/>
  <c r="AC12" i="56"/>
  <c r="AH9" i="56" l="1"/>
  <c r="AI10" i="56"/>
  <c r="AC15" i="56"/>
  <c r="AD12" i="56"/>
  <c r="AC14" i="56"/>
  <c r="AH12" i="56" l="1"/>
  <c r="AI12" i="56" s="1"/>
  <c r="AI9" i="56"/>
  <c r="AE15" i="56"/>
  <c r="AE14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13" authorId="0" shapeId="0" xr:uid="{00000000-0006-0000-0600-000001000000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 xml:space="preserve">1 out of 1,000 Pinterest or Instagram Users
</t>
        </r>
      </text>
    </comment>
    <comment ref="M14" authorId="0" shapeId="0" xr:uid="{00000000-0006-0000-0600-000002000000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33% of Approximate growth rate for Snap, FB, Twitter, and Instagram</t>
        </r>
      </text>
    </comment>
    <comment ref="M20" authorId="0" shapeId="0" xr:uid="{00000000-0006-0000-0600-000003000000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Provided by John B.  Standard Affliate Marketing rate
</t>
        </r>
      </text>
    </comment>
    <comment ref="M29" authorId="0" shapeId="0" xr:uid="{00000000-0006-0000-0600-000004000000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 lower acquisition for men</t>
        </r>
      </text>
    </comment>
    <comment ref="D52" authorId="0" shapeId="0" xr:uid="{00000000-0006-0000-0600-000005000000}">
      <text>
        <r>
          <rPr>
            <b/>
            <sz val="10"/>
            <color rgb="FF000000"/>
            <rFont val="Calibri"/>
            <family val="2"/>
          </rPr>
          <t>Author: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Per MarketWatch source</t>
        </r>
      </text>
    </comment>
    <comment ref="D74" authorId="0" shapeId="0" xr:uid="{00000000-0006-0000-0600-000008000000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Kayak and Tripadvisor as comparable businesses.  Total Marketing = 30 - 50% of RevenueDirect Marketing Cloer to 25- 35% on Tripadvisor's 10-k. 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" authorId="0" shapeId="0" xr:uid="{00000000-0006-0000-0E00-000001000000}">
      <text>
        <r>
          <rPr>
            <b/>
            <sz val="10"/>
            <color rgb="FF000000"/>
            <rFont val="Calibri"/>
            <family val="2"/>
          </rPr>
          <t>Author: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Assumes High-end dress shoe category</t>
        </r>
      </text>
    </comment>
    <comment ref="B11" authorId="0" shapeId="0" xr:uid="{00000000-0006-0000-0E00-000002000000}">
      <text>
        <r>
          <rPr>
            <b/>
            <sz val="10"/>
            <color rgb="FF000000"/>
            <rFont val="Calibri"/>
            <family val="2"/>
          </rPr>
          <t>Author: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Based on 2011 US Retail per item Cost. ($19) .  Stitch Fix customer is $55/item  assume 50% discount for wholesale price.  
</t>
        </r>
      </text>
    </comment>
    <comment ref="B24" authorId="0" shapeId="0" xr:uid="{00000000-0006-0000-0E00-000003000000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 xml:space="preserve">Per John B.  15,000 images per category.  15,000 / 4000 = 3.75
</t>
        </r>
      </text>
    </comment>
  </commentList>
</comments>
</file>

<file path=xl/sharedStrings.xml><?xml version="1.0" encoding="utf-8"?>
<sst xmlns="http://schemas.openxmlformats.org/spreadsheetml/2006/main" count="1206" uniqueCount="662">
  <si>
    <t>2017-2022 Proforma</t>
  </si>
  <si>
    <t>Projected Financial Performance (in US$)</t>
  </si>
  <si>
    <t>Total number of Customers (Registered Users)</t>
  </si>
  <si>
    <t xml:space="preserve">Total number of orders assisted </t>
  </si>
  <si>
    <t>Projected GMV generated(in US$)</t>
  </si>
  <si>
    <t>Net Revenue</t>
  </si>
  <si>
    <t>Cost of Goods Sold (Tech Expenses)</t>
  </si>
  <si>
    <t>Gross Margin</t>
  </si>
  <si>
    <t>Operating Expenses</t>
  </si>
  <si>
    <t>Compensation (ex.Marketing)</t>
  </si>
  <si>
    <t>Comp Tech</t>
  </si>
  <si>
    <t>Comp Other</t>
  </si>
  <si>
    <t>Outsourcing - Contractors</t>
  </si>
  <si>
    <t>Office Rent, Utilities &amp; Maintenance</t>
  </si>
  <si>
    <t>AI Training</t>
  </si>
  <si>
    <t>Software Subscriptions</t>
  </si>
  <si>
    <t>Equipment Lease (computers, desks)</t>
  </si>
  <si>
    <t>Legal Fees</t>
  </si>
  <si>
    <t>Marketing Expenses (inc. Comp)</t>
  </si>
  <si>
    <t>Comp Marketing</t>
  </si>
  <si>
    <t>Travel &amp; Entertainment</t>
  </si>
  <si>
    <t>Misc. Expenses</t>
  </si>
  <si>
    <t>Operating Income (Loss)</t>
  </si>
  <si>
    <t>Operating Ratios as a percent of Sales</t>
  </si>
  <si>
    <t>Total Expenses</t>
  </si>
  <si>
    <t>NA</t>
  </si>
  <si>
    <t>Marketing Expenses</t>
  </si>
  <si>
    <t>Operating Margin</t>
  </si>
  <si>
    <t>Use of Funds</t>
  </si>
  <si>
    <t>18 months</t>
  </si>
  <si>
    <t>Tech Hires</t>
  </si>
  <si>
    <t>Non-Tech Hires</t>
  </si>
  <si>
    <t>Marketing</t>
  </si>
  <si>
    <t>Technology</t>
  </si>
  <si>
    <t>G &amp; A</t>
  </si>
  <si>
    <t>Rent &amp; Equipment</t>
  </si>
  <si>
    <t>Labor 1</t>
  </si>
  <si>
    <t>Labor 2</t>
  </si>
  <si>
    <t>Total</t>
  </si>
  <si>
    <t>Check</t>
  </si>
  <si>
    <t>Unit Economic Assumptions</t>
  </si>
  <si>
    <t>Average Order Value</t>
  </si>
  <si>
    <t>Commission %</t>
  </si>
  <si>
    <t>Revenue</t>
  </si>
  <si>
    <t>Unit Economics</t>
  </si>
  <si>
    <t>% of Revenue</t>
  </si>
  <si>
    <t>Per Order</t>
  </si>
  <si>
    <t>Profit</t>
  </si>
  <si>
    <t>Tech Expense</t>
  </si>
  <si>
    <t>Engineers</t>
  </si>
  <si>
    <t xml:space="preserve">Marketing </t>
  </si>
  <si>
    <t>Other</t>
  </si>
  <si>
    <t>Assumptions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</si>
  <si>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</si>
  <si>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</si>
  <si>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</si>
  <si>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</si>
  <si>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</si>
  <si>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</si>
  <si>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</si>
  <si>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</si>
  <si>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</si>
  <si>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</si>
  <si>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</si>
  <si>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</si>
  <si>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</si>
  <si>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</si>
  <si>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</si>
  <si>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</si>
  <si>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</si>
  <si>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</si>
  <si>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</si>
  <si>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</si>
  <si>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</si>
  <si>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</si>
  <si>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</si>
  <si>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</si>
  <si>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Revenue Assumptions</t>
  </si>
  <si>
    <t xml:space="preserve">Revenue Stream 1 - Affiliate Marketing </t>
  </si>
  <si>
    <t>Women: 18-38 years</t>
  </si>
  <si>
    <t>Population 18 - 29</t>
  </si>
  <si>
    <t>Population 30 - 38</t>
  </si>
  <si>
    <t>Use Instagram or Pinterest 18 - 29</t>
  </si>
  <si>
    <t>Use Instagram or Pinterest 30 - 38</t>
  </si>
  <si>
    <t>Total User Base</t>
  </si>
  <si>
    <t>Our reach</t>
  </si>
  <si>
    <t>Growth Rate (Customer Acquisition)</t>
  </si>
  <si>
    <t>Avg. shopping instances</t>
  </si>
  <si>
    <t>per quarter per Woman</t>
  </si>
  <si>
    <t>Avg. orders assisted (in %)</t>
  </si>
  <si>
    <t>Total number of orders assisted</t>
  </si>
  <si>
    <t>Average Order Value, AOV (in US$)</t>
  </si>
  <si>
    <t>Average Commission Rate (%)</t>
  </si>
  <si>
    <t>Revenue - Women</t>
  </si>
  <si>
    <t>Men: 18-38 years</t>
  </si>
  <si>
    <t>per quarter per Man</t>
  </si>
  <si>
    <t>Avg. orders assisted by Woolly (in %)</t>
  </si>
  <si>
    <t>Projected GMV generated (in US$)</t>
  </si>
  <si>
    <t>Revenue - Men</t>
  </si>
  <si>
    <t>Total number of Registered Users</t>
  </si>
  <si>
    <t>Total Projected GMV (in US$)</t>
  </si>
  <si>
    <t>Total Projected Revenues - Affiliate Marketing (in US$)</t>
  </si>
  <si>
    <t>Total Projected Revenues (in US$)</t>
  </si>
  <si>
    <t>Expense Assumptions</t>
  </si>
  <si>
    <t>a.</t>
  </si>
  <si>
    <t>Compensation</t>
  </si>
  <si>
    <t>b.</t>
  </si>
  <si>
    <t>c.</t>
  </si>
  <si>
    <t>Office Space Requirement (Sqft)</t>
  </si>
  <si>
    <t>sqft per employee</t>
  </si>
  <si>
    <t>Rental (in US$)</t>
  </si>
  <si>
    <t>Per Sqft per month</t>
  </si>
  <si>
    <t>Annual Escalation in Rent</t>
  </si>
  <si>
    <t>Office Rent ($)</t>
  </si>
  <si>
    <t xml:space="preserve"> -  </t>
  </si>
  <si>
    <t>Utilities ($)</t>
  </si>
  <si>
    <t>of Rent</t>
  </si>
  <si>
    <t>Maintenance ($)</t>
  </si>
  <si>
    <t>d.</t>
  </si>
  <si>
    <t>Tech Assets &amp; Subscriptions</t>
  </si>
  <si>
    <t xml:space="preserve">AWS </t>
  </si>
  <si>
    <t>MaxCDN</t>
  </si>
  <si>
    <t>Google Suite (Apps)</t>
  </si>
  <si>
    <t>Google Cloud/API</t>
  </si>
  <si>
    <t>Bing Cloud/API (Azure)</t>
  </si>
  <si>
    <t>Data Hosting (ColoGuard)</t>
  </si>
  <si>
    <t>MainGear</t>
  </si>
  <si>
    <t>GitHub</t>
  </si>
  <si>
    <t>Indexing</t>
  </si>
  <si>
    <t>e.</t>
  </si>
  <si>
    <t>AI Development</t>
  </si>
  <si>
    <t xml:space="preserve">AI Training </t>
  </si>
  <si>
    <t>AI Photo Lab</t>
  </si>
  <si>
    <t>f.</t>
  </si>
  <si>
    <t>g.</t>
  </si>
  <si>
    <t>h.</t>
  </si>
  <si>
    <t>i.</t>
  </si>
  <si>
    <t>Direct Marketing Expenses</t>
  </si>
  <si>
    <t>j.</t>
  </si>
  <si>
    <t>k.</t>
  </si>
  <si>
    <t>Total Cumulative Expenses (in US$)</t>
  </si>
  <si>
    <t>SG&amp;A</t>
  </si>
  <si>
    <t>Marketing Employee Compensation</t>
  </si>
  <si>
    <t>CAC to date ( Calculated )</t>
  </si>
  <si>
    <t>CAC per period</t>
  </si>
  <si>
    <t>Working Capital &amp; Balance Sheet Drivers</t>
  </si>
  <si>
    <t>A/C Receivables (# days of Revenues)</t>
  </si>
  <si>
    <t>A/C Payables (# days of Operating Costs)</t>
  </si>
  <si>
    <t>Paid-up Capital</t>
  </si>
  <si>
    <t>Shares Issued</t>
  </si>
  <si>
    <t>Share Price</t>
  </si>
  <si>
    <t>Investment - Investor</t>
  </si>
  <si>
    <t>Equity Offered</t>
  </si>
  <si>
    <t>Corporate Tax Rate</t>
  </si>
  <si>
    <t>Annual growth rate in Cashflows beyond year 4</t>
  </si>
  <si>
    <t>Discount Rate</t>
  </si>
  <si>
    <t>Free Cashflow to Seed Investor</t>
  </si>
  <si>
    <t>Investment made</t>
  </si>
  <si>
    <t>Cashflow from Operations (attributed to investor)</t>
  </si>
  <si>
    <t>Terminal Value at the end of 4th year</t>
  </si>
  <si>
    <t>Total Cash Flows</t>
  </si>
  <si>
    <t>Net Present Value</t>
  </si>
  <si>
    <t>IRR</t>
  </si>
  <si>
    <t>Free Cashflow to Series A Investor</t>
  </si>
  <si>
    <t>Hiring Plan</t>
  </si>
  <si>
    <t>Q4-23</t>
  </si>
  <si>
    <t>Q4-24</t>
  </si>
  <si>
    <t>Q4-25</t>
  </si>
  <si>
    <t>Salary Inflation (annual) - 2018 onwards</t>
  </si>
  <si>
    <t xml:space="preserve">Quarterly Wages (in US$) </t>
  </si>
  <si>
    <t>Administration</t>
  </si>
  <si>
    <t>CEO</t>
  </si>
  <si>
    <t>CPO</t>
  </si>
  <si>
    <t>EA</t>
  </si>
  <si>
    <t xml:space="preserve">Technology </t>
  </si>
  <si>
    <t>Director - Engineering</t>
  </si>
  <si>
    <t>AI Engineer(s)</t>
  </si>
  <si>
    <t>AI Engineer Hires</t>
  </si>
  <si>
    <t>Engineer(s)</t>
  </si>
  <si>
    <t>Engineers Hires</t>
  </si>
  <si>
    <t>Dev Ops</t>
  </si>
  <si>
    <t>Director - Product</t>
  </si>
  <si>
    <t>Product Manager</t>
  </si>
  <si>
    <t>Project Manager</t>
  </si>
  <si>
    <t>IT Engineer</t>
  </si>
  <si>
    <t>UI Designer</t>
  </si>
  <si>
    <t>UX Designer</t>
  </si>
  <si>
    <t>Data Analyst</t>
  </si>
  <si>
    <t>Data Scientist</t>
  </si>
  <si>
    <t>VP Marketing</t>
  </si>
  <si>
    <t>Sr. Manager Marketing</t>
  </si>
  <si>
    <t>Copywriter</t>
  </si>
  <si>
    <t>Designer</t>
  </si>
  <si>
    <t>Search</t>
  </si>
  <si>
    <t>Display/Partnerships</t>
  </si>
  <si>
    <t>Email/SMS</t>
  </si>
  <si>
    <t>Director - Business Development</t>
  </si>
  <si>
    <t>Business Development</t>
  </si>
  <si>
    <t>Business Development Hires</t>
  </si>
  <si>
    <t>Customer Service</t>
  </si>
  <si>
    <t>Editorial</t>
  </si>
  <si>
    <t>Fashion Editor</t>
  </si>
  <si>
    <t>Fashion Associate</t>
  </si>
  <si>
    <t>HR / Recruitment</t>
  </si>
  <si>
    <t>HR Manager</t>
  </si>
  <si>
    <t>Recruiter</t>
  </si>
  <si>
    <t>General Counsel</t>
  </si>
  <si>
    <t>Finance &amp; Accounting</t>
  </si>
  <si>
    <t>CFO</t>
  </si>
  <si>
    <t>Manager - Finance</t>
  </si>
  <si>
    <t>Accounting Manager</t>
  </si>
  <si>
    <t>Accounts Payable</t>
  </si>
  <si>
    <t>Photography Hourly Labor</t>
  </si>
  <si>
    <t>Photo Administrator</t>
  </si>
  <si>
    <t>Models (hourly/not professional)</t>
  </si>
  <si>
    <t>AI Engineer</t>
  </si>
  <si>
    <t xml:space="preserve">Customer Service </t>
  </si>
  <si>
    <t>Finance &amp; Accounts</t>
  </si>
  <si>
    <t>Total FTE</t>
  </si>
  <si>
    <t>Total Wages (in US$)</t>
  </si>
  <si>
    <t>Engineer</t>
  </si>
  <si>
    <t>Director Marketing</t>
  </si>
  <si>
    <t xml:space="preserve">Business Development </t>
  </si>
  <si>
    <t>Photography (Hourly Labor)</t>
  </si>
  <si>
    <t>Total Compensation &amp; Incentives</t>
  </si>
  <si>
    <t>Outsourcing Costs</t>
  </si>
  <si>
    <t>AI Developer</t>
  </si>
  <si>
    <t>DevOps</t>
  </si>
  <si>
    <t>Technical Contractors</t>
  </si>
  <si>
    <t>Marketing Agency</t>
  </si>
  <si>
    <t>SEO Agency</t>
  </si>
  <si>
    <t>Labor</t>
  </si>
  <si>
    <t>Income Statement (in US$)</t>
  </si>
  <si>
    <t>Revenues</t>
  </si>
  <si>
    <t xml:space="preserve">Affiliate Marketing </t>
  </si>
  <si>
    <t>Women</t>
  </si>
  <si>
    <t>Men</t>
  </si>
  <si>
    <t>Gross Profits</t>
  </si>
  <si>
    <t>Less: Operating Costs</t>
  </si>
  <si>
    <t>Profit (Losses) Before Taxes (PBT)</t>
  </si>
  <si>
    <t>Cumulative PBT</t>
  </si>
  <si>
    <t>Less: Taxes</t>
  </si>
  <si>
    <t>Net Profit</t>
  </si>
  <si>
    <t>Balance Sheet</t>
  </si>
  <si>
    <t>Current Liabilities &amp; Provisions</t>
  </si>
  <si>
    <t>[+] Accounts payable</t>
  </si>
  <si>
    <t>Shareholders Equity</t>
  </si>
  <si>
    <t>[+] Retained Earnings</t>
  </si>
  <si>
    <t>Total Liabilities &amp; Shareholders' Equity</t>
  </si>
  <si>
    <t>Current Assets</t>
  </si>
  <si>
    <t>Cash &amp; Cash Equivalent</t>
  </si>
  <si>
    <t>Accounts Receivables</t>
  </si>
  <si>
    <t>Total Assets</t>
  </si>
  <si>
    <t>Balance Check</t>
  </si>
  <si>
    <t>Cashflow Statement (in US$)</t>
  </si>
  <si>
    <t>Cashflow from Operating Activities</t>
  </si>
  <si>
    <t>PAT</t>
  </si>
  <si>
    <t>[+] Net Change in Working Capital</t>
  </si>
  <si>
    <t>Cashflow from Investment Activities</t>
  </si>
  <si>
    <t>Cashflow from Financing Activities</t>
  </si>
  <si>
    <t>[+] New Equity Raised</t>
  </si>
  <si>
    <t>Net Cashflow</t>
  </si>
  <si>
    <t>Opening Balance</t>
  </si>
  <si>
    <t>Closing Balance</t>
  </si>
  <si>
    <t>AOV in 2014</t>
  </si>
  <si>
    <t>Annual Growth in AOV</t>
  </si>
  <si>
    <t>Cumulative Quarterly Sales Breakdown Year 1</t>
  </si>
  <si>
    <t>Year End Sales</t>
  </si>
  <si>
    <t>Est Q1 Sales</t>
  </si>
  <si>
    <t>Quarter</t>
  </si>
  <si>
    <t>Annual Total</t>
  </si>
  <si>
    <t>Cum Sales per Quarter</t>
  </si>
  <si>
    <t>Increase in Sales per Quarter</t>
  </si>
  <si>
    <t>Growth Factor</t>
  </si>
  <si>
    <t>GeoMean Growth Rate</t>
  </si>
  <si>
    <t>Cumulative Quarterly Sales Breakdown Year 2</t>
  </si>
  <si>
    <t>Cumulative Quarterly Sales Breakdown Year 3</t>
  </si>
  <si>
    <t>Growth Rate Given Expected Beginning and Year 3 Target (Average of Dowside, Base Case, and Upside)</t>
  </si>
  <si>
    <t>Max Marketshare</t>
  </si>
  <si>
    <t>Target Marketshare in Year 3</t>
  </si>
  <si>
    <t>Launch Year Marketshare</t>
  </si>
  <si>
    <t>Cumulative Customer Adoption</t>
  </si>
  <si>
    <t xml:space="preserve">Expected mComm Revenue Apparel transacted by females in agegroup </t>
  </si>
  <si>
    <t>Expected Marketshare</t>
  </si>
  <si>
    <t>Expected Sales Generated by App Z</t>
  </si>
  <si>
    <t>Expected Revenue App z</t>
  </si>
  <si>
    <t>Qarterly Sales</t>
  </si>
  <si>
    <t>Q1 2017</t>
  </si>
  <si>
    <t>Q2 2017</t>
  </si>
  <si>
    <t>Q3 2017</t>
  </si>
  <si>
    <t>Q4 2017</t>
  </si>
  <si>
    <t>FY 2017</t>
  </si>
  <si>
    <t>Q1 2018</t>
  </si>
  <si>
    <t>Q2 2018</t>
  </si>
  <si>
    <t>Q3 2018</t>
  </si>
  <si>
    <t>Q4 2018</t>
  </si>
  <si>
    <t>FY 2018</t>
  </si>
  <si>
    <t>Q1 2019</t>
  </si>
  <si>
    <t>Q2 2019</t>
  </si>
  <si>
    <t>Q3 2019</t>
  </si>
  <si>
    <t>Q4 2019</t>
  </si>
  <si>
    <t>FY 2019</t>
  </si>
  <si>
    <t>Working Capital Schedule (in US$)</t>
  </si>
  <si>
    <t>Current Assets excluding Cash</t>
  </si>
  <si>
    <t>[+] Account Receivables</t>
  </si>
  <si>
    <t>Working Capital</t>
  </si>
  <si>
    <t>Equity Schedule (in US$)</t>
  </si>
  <si>
    <t>Shares issued</t>
  </si>
  <si>
    <t>Opening</t>
  </si>
  <si>
    <t>[+] Issued during the year</t>
  </si>
  <si>
    <t>Share Issue Price (US$)</t>
  </si>
  <si>
    <t>Closing</t>
  </si>
  <si>
    <t>Paid Up Capital</t>
  </si>
  <si>
    <t>[+] Issued</t>
  </si>
  <si>
    <t>Retained Earnings Account</t>
  </si>
  <si>
    <t>[+]Net Profit</t>
  </si>
  <si>
    <t>Total Reserves &amp; Surplus</t>
  </si>
  <si>
    <t>Cap Table</t>
  </si>
  <si>
    <t>Founders &amp; ESOPs</t>
  </si>
  <si>
    <t>Investor</t>
  </si>
  <si>
    <t>Investment</t>
  </si>
  <si>
    <t>#Shares</t>
  </si>
  <si>
    <t>% holding</t>
  </si>
  <si>
    <t>Seed Investor</t>
  </si>
  <si>
    <t>Share Issue Price</t>
  </si>
  <si>
    <t>Total Shares</t>
  </si>
  <si>
    <t>Pre-money Valuation</t>
  </si>
  <si>
    <t>Post-money Valuation</t>
  </si>
  <si>
    <t>Web scraping fee/site</t>
  </si>
  <si>
    <t>Liveshots Crowd/product captured</t>
  </si>
  <si>
    <t xml:space="preserve">Products cost </t>
  </si>
  <si>
    <t>Labeling</t>
  </si>
  <si>
    <t>Software subscriptions/employee/month</t>
  </si>
  <si>
    <t>Equipment Lease/employee/month</t>
  </si>
  <si>
    <t>Hourly employees $10/hour/month</t>
  </si>
  <si>
    <r>
      <t>2017</t>
    </r>
    <r>
      <rPr>
        <b/>
        <sz val="9.9"/>
        <color rgb="FFFF0000"/>
        <rFont val="Arial"/>
        <family val="2"/>
      </rPr>
      <t>*</t>
    </r>
  </si>
  <si>
    <t>Expected mComm Revenue (eMarketer mComm revenue forecast, June 2016)</t>
  </si>
  <si>
    <t>Expected Percent mComm Revenue Apparel (ecommerce growth mean, eMarketer June 2016, see:I35)</t>
  </si>
  <si>
    <t>Expected mComm Revenue Apparel</t>
  </si>
  <si>
    <t>Expected mComm Revenue Apparel by 18-34 YO Age Group (Experian mComm % by Age)</t>
  </si>
  <si>
    <t>Expected mComm Revenue Apparel by 18-34 YO Age Group Females (U.S. Census Bureau)</t>
  </si>
  <si>
    <t>Expected Marketshare (avg. marketshare growth of Facebook, Wanelo, and Instagram)</t>
  </si>
  <si>
    <t>Expected GMV Generated by Woolly</t>
  </si>
  <si>
    <t>Expected Revenue Generated by Woolly</t>
  </si>
  <si>
    <t>*Partial year</t>
  </si>
  <si>
    <t>U.S. Mobile Commerce Sales 2014-2020, eMarketer June 2016 (excludes travel and event tickets)</t>
  </si>
  <si>
    <t>mComm Rev ($B)</t>
  </si>
  <si>
    <t>  YOY Growth</t>
  </si>
  <si>
    <t>  % of retail eComm</t>
  </si>
  <si>
    <t>  % of total retail</t>
  </si>
  <si>
    <t>Smartphone Rev ($B)</t>
  </si>
  <si>
    <t>  % of mComm</t>
  </si>
  <si>
    <t>US Smartphone Buyers and Penetration 2014-2020 (in millions), eMarketer Feb 2016</t>
  </si>
  <si>
    <t>Smartphone Buyers</t>
  </si>
  <si>
    <t>% Digital Buyers</t>
  </si>
  <si>
    <t>U.S. apparel and accessories ecommerce revenue 2013-2019, eMarketer June 2015 and Feb 2016 update</t>
  </si>
  <si>
    <t>eComm Apparel Rev</t>
  </si>
  <si>
    <t>eComm Rev</t>
  </si>
  <si>
    <t>apparel % of eComm</t>
  </si>
  <si>
    <t>eMarketer, June 2016: % US Smartphone User Penetration by Age</t>
  </si>
  <si>
    <t>0-11</t>
  </si>
  <si>
    <t>18-24</t>
  </si>
  <si>
    <t>25-34</t>
  </si>
  <si>
    <t>35-44</t>
  </si>
  <si>
    <t>45-54</t>
  </si>
  <si>
    <t>55-64</t>
  </si>
  <si>
    <t>65+</t>
  </si>
  <si>
    <t>Total:</t>
  </si>
  <si>
    <t>Share of Mobile Commerce by Age, Experian (2H 2014-1H 2015) U.S.</t>
  </si>
  <si>
    <t>Age</t>
  </si>
  <si>
    <t>Mobile Purchase %</t>
  </si>
  <si>
    <t>Description</t>
  </si>
  <si>
    <t>Unit</t>
  </si>
  <si>
    <t># of Shoes</t>
  </si>
  <si>
    <t># of Apparel Items</t>
  </si>
  <si>
    <t># of Accessories</t>
  </si>
  <si>
    <t>Bought/Resold</t>
  </si>
  <si>
    <t>Charity Items</t>
  </si>
  <si>
    <t>Bought</t>
  </si>
  <si>
    <t>Free</t>
  </si>
  <si>
    <t>Wholesale cost/shoe</t>
  </si>
  <si>
    <t>Avg.</t>
  </si>
  <si>
    <t>Wholesale cost/apparel</t>
  </si>
  <si>
    <t>Wholesale Cost/accessories</t>
  </si>
  <si>
    <t>Cost/Charity item</t>
  </si>
  <si>
    <t>Resell value %</t>
  </si>
  <si>
    <t xml:space="preserve">Shipping </t>
  </si>
  <si>
    <t>Labor (hrs/item)</t>
  </si>
  <si>
    <t>Photo Labor expense/hr</t>
  </si>
  <si>
    <t># of Ongoing items / Quarter</t>
  </si>
  <si>
    <t># photos/item</t>
  </si>
  <si>
    <t>Photo Tagging Labor (items/hr)</t>
  </si>
  <si>
    <t>Photo tagging Labor expense/hr</t>
  </si>
  <si>
    <t>Syn. Tagging Labor (items/hr)</t>
  </si>
  <si>
    <t>Syn. Tagging Labor exp. (items/hr)</t>
  </si>
  <si>
    <t>Syn. Tags per item</t>
  </si>
  <si>
    <t>S &amp; H (Items/hr)</t>
  </si>
  <si>
    <t>S &amp; H Labor (expense/hr)</t>
  </si>
  <si>
    <t>Modeling Labor expense</t>
  </si>
  <si>
    <t>2018</t>
  </si>
  <si>
    <t>2019</t>
  </si>
  <si>
    <t>2020</t>
  </si>
  <si>
    <t>2021</t>
  </si>
  <si>
    <t>Shoes</t>
  </si>
  <si>
    <t>Bought Outright</t>
  </si>
  <si>
    <t>Total Items</t>
  </si>
  <si>
    <t>Product Costs</t>
  </si>
  <si>
    <t>Photography Labor</t>
  </si>
  <si>
    <t>S &amp; H Labor</t>
  </si>
  <si>
    <t>Tagging Labor</t>
  </si>
  <si>
    <t>Synthetic Tagging Labor</t>
  </si>
  <si>
    <t>Modeling Labor</t>
  </si>
  <si>
    <t>Wage Inflation</t>
  </si>
  <si>
    <t>Shoe Costs</t>
  </si>
  <si>
    <t>Apparel</t>
  </si>
  <si>
    <t>Photo Labor</t>
  </si>
  <si>
    <t>Apparel Costs</t>
  </si>
  <si>
    <t>Accessories</t>
  </si>
  <si>
    <t>Accessories Costs</t>
  </si>
  <si>
    <t>Total Library Costs</t>
  </si>
  <si>
    <t>Rent Inflation</t>
  </si>
  <si>
    <t>Rental Space (Sq. Ft)</t>
  </si>
  <si>
    <t>Rent</t>
  </si>
  <si>
    <t>Rent Sq. ft. /month</t>
  </si>
  <si>
    <t xml:space="preserve">Maintenance </t>
  </si>
  <si>
    <t>Utilities</t>
  </si>
  <si>
    <t>Facilities Costs</t>
  </si>
  <si>
    <t>Total Photography Costs</t>
  </si>
  <si>
    <t>Product &amp; Shipping</t>
  </si>
  <si>
    <t>Source:</t>
  </si>
  <si>
    <t>https://www.statista.com/statistics/243065/average-price-per-apparel-article-worldwide-by-apparel-market/</t>
  </si>
  <si>
    <t>Growth Rates</t>
  </si>
  <si>
    <t>Facebook</t>
  </si>
  <si>
    <t>Y1</t>
  </si>
  <si>
    <t>Y2</t>
  </si>
  <si>
    <t>Y3</t>
  </si>
  <si>
    <t>Y4</t>
  </si>
  <si>
    <t>Y5</t>
  </si>
  <si>
    <t>Q1-Y6</t>
  </si>
  <si>
    <t>Q2-Y6</t>
  </si>
  <si>
    <t>Q3-Y6</t>
  </si>
  <si>
    <t>Q4-Y6</t>
  </si>
  <si>
    <t>Q1-Y7</t>
  </si>
  <si>
    <t>Q2-Y7</t>
  </si>
  <si>
    <t>Q3-Y7</t>
  </si>
  <si>
    <t>Q4-Y7</t>
  </si>
  <si>
    <t>Q1-Y8</t>
  </si>
  <si>
    <t>Q2-Y8</t>
  </si>
  <si>
    <t>Q3-Y8</t>
  </si>
  <si>
    <t>Q4-Y8</t>
  </si>
  <si>
    <t>Q1-Y9</t>
  </si>
  <si>
    <t>Q2-Y9</t>
  </si>
  <si>
    <t>Q3-Y9</t>
  </si>
  <si>
    <t>Q4-Y9</t>
  </si>
  <si>
    <t>Q1-Y10</t>
  </si>
  <si>
    <t>Q2-Y10</t>
  </si>
  <si>
    <t>Q3-Y10</t>
  </si>
  <si>
    <t>Q4-Y10</t>
  </si>
  <si>
    <t>Q1-Y11</t>
  </si>
  <si>
    <t>Q2-Y11</t>
  </si>
  <si>
    <t>Q3-Y11</t>
  </si>
  <si>
    <t>Q4-Y11</t>
  </si>
  <si>
    <t>Q1-Y12</t>
  </si>
  <si>
    <t>Q2-Y12</t>
  </si>
  <si>
    <t>Q3-Y12</t>
  </si>
  <si>
    <t>Q4-Y12</t>
  </si>
  <si>
    <t>Q1-Y13</t>
  </si>
  <si>
    <t>Q2-Y13</t>
  </si>
  <si>
    <t>Users</t>
  </si>
  <si>
    <t>Growth</t>
  </si>
  <si>
    <t>QoQ</t>
  </si>
  <si>
    <t>Instagram</t>
  </si>
  <si>
    <t>https://www.macstories.net/news/a-look-back-at-instagrams-growth-as-it-hits-100-million-monthly-active-users/</t>
  </si>
  <si>
    <t>Optimistic</t>
  </si>
  <si>
    <t>Snapchat</t>
  </si>
  <si>
    <t>http://www.emeraldinsight.com/doi/abs/10.1108/JRF-08-2013-0055</t>
  </si>
  <si>
    <t>https://www.equidam.com/the-discount-rate-in-the-valuation-of-a-startup/</t>
  </si>
  <si>
    <t>Profit and Loss</t>
  </si>
  <si>
    <t>January - December 2017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</si>
  <si>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</si>
  <si>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</si>
  <si>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</si>
  <si>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</si>
  <si>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</si>
  <si>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</si>
  <si>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</si>
  <si>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</si>
  <si>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</si>
  <si>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</si>
  <si>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</si>
  <si>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</si>
  <si>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Income</t>
  </si>
  <si>
    <t>Total Income</t>
  </si>
  <si>
    <t>Cost of Goods Sold</t>
  </si>
  <si>
    <t xml:space="preserve">   Cost of labor - COS</t>
  </si>
  <si>
    <t>Total Cost of Goods Sold</t>
  </si>
  <si>
    <t>Gross Profit</t>
  </si>
  <si>
    <t>Expenses</t>
  </si>
  <si>
    <t xml:space="preserve">   Advertising</t>
  </si>
  <si>
    <t xml:space="preserve">   Automobile Expense</t>
  </si>
  <si>
    <t xml:space="preserve">      Fuel</t>
  </si>
  <si>
    <t xml:space="preserve">      Gas</t>
  </si>
  <si>
    <t xml:space="preserve">      Parking</t>
  </si>
  <si>
    <t xml:space="preserve">   Total Automobile Expense</t>
  </si>
  <si>
    <t xml:space="preserve">   Bank Charges</t>
  </si>
  <si>
    <t xml:space="preserve">   Bookkeeping and Accounting</t>
  </si>
  <si>
    <t xml:space="preserve">   Books and Periodical</t>
  </si>
  <si>
    <t xml:space="preserve">   Dues &amp; Subscriptions</t>
  </si>
  <si>
    <t xml:space="preserve">   Graphic Design</t>
  </si>
  <si>
    <t xml:space="preserve">   Insurance</t>
  </si>
  <si>
    <t xml:space="preserve">   Legal &amp; Professional Fees</t>
  </si>
  <si>
    <t xml:space="preserve">      Incorporation Expenses</t>
  </si>
  <si>
    <t xml:space="preserve">   Total Legal &amp; Professional Fees</t>
  </si>
  <si>
    <t xml:space="preserve">   Meals and Entertainment</t>
  </si>
  <si>
    <t xml:space="preserve">   Office Expenses</t>
  </si>
  <si>
    <t xml:space="preserve">   Other General and Admin Expenses</t>
  </si>
  <si>
    <t xml:space="preserve">   Rent - Server Cost</t>
  </si>
  <si>
    <t xml:space="preserve">   Rent or Lease</t>
  </si>
  <si>
    <t xml:space="preserve">   Repair &amp; Maintenance</t>
  </si>
  <si>
    <t xml:space="preserve">   Shipping and Delivery Expense</t>
  </si>
  <si>
    <t xml:space="preserve">   Software</t>
  </si>
  <si>
    <t xml:space="preserve">   Storage Expense</t>
  </si>
  <si>
    <t xml:space="preserve">   Subcontractors</t>
  </si>
  <si>
    <t xml:space="preserve">   Supplies</t>
  </si>
  <si>
    <t xml:space="preserve">   Technology</t>
  </si>
  <si>
    <t xml:space="preserve">   Telephone &amp; Internet</t>
  </si>
  <si>
    <t xml:space="preserve">   Travel</t>
  </si>
  <si>
    <t xml:space="preserve">      Hotel</t>
  </si>
  <si>
    <t xml:space="preserve">   Total Travel</t>
  </si>
  <si>
    <t xml:space="preserve">   Web Hosting</t>
  </si>
  <si>
    <t>Net Operating Income</t>
  </si>
  <si>
    <t>Other Expenses</t>
  </si>
  <si>
    <t xml:space="preserve">   Ask My Accountant</t>
  </si>
  <si>
    <t>Total Other Expenses</t>
  </si>
  <si>
    <t>Net Other Income</t>
  </si>
  <si>
    <t>Net Income</t>
  </si>
  <si>
    <t>Monday, Jan 29, 2018 12:46:18 PM GMT-8 - Accrual Basis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</si>
  <si>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</si>
  <si>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</si>
  <si>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</si>
  <si>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</si>
  <si>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</si>
  <si>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</si>
  <si>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</si>
  <si>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</si>
  <si>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</si>
  <si>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</si>
  <si>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</si>
  <si>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</si>
  <si>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</si>
  <si>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</si>
  <si>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</si>
  <si>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</si>
  <si>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Photo Training</t>
  </si>
  <si>
    <t>pop_number=population by age</t>
  </si>
  <si>
    <t>Sex</t>
  </si>
  <si>
    <t>year</t>
  </si>
  <si>
    <t>total_pop</t>
  </si>
  <si>
    <t>pop_0</t>
  </si>
  <si>
    <t>pop_1</t>
  </si>
  <si>
    <t>pop_2</t>
  </si>
  <si>
    <t>pop_3</t>
  </si>
  <si>
    <t>pop_4</t>
  </si>
  <si>
    <t>pop_5</t>
  </si>
  <si>
    <t>pop_6</t>
  </si>
  <si>
    <t>pop_7</t>
  </si>
  <si>
    <t>pop_8</t>
  </si>
  <si>
    <t>pop_9</t>
  </si>
  <si>
    <t>pop_10</t>
  </si>
  <si>
    <t>pop_11</t>
  </si>
  <si>
    <t>pop_12</t>
  </si>
  <si>
    <t>pop_13</t>
  </si>
  <si>
    <t>pop_14</t>
  </si>
  <si>
    <t>pop_15</t>
  </si>
  <si>
    <t>pop_16</t>
  </si>
  <si>
    <t>pop_17</t>
  </si>
  <si>
    <t>pop_18</t>
  </si>
  <si>
    <t>pop_19</t>
  </si>
  <si>
    <t>pop_20</t>
  </si>
  <si>
    <t>pop_21</t>
  </si>
  <si>
    <t>pop_22</t>
  </si>
  <si>
    <t>pop_23</t>
  </si>
  <si>
    <t>pop_24</t>
  </si>
  <si>
    <t>pop_25</t>
  </si>
  <si>
    <t>pop_26</t>
  </si>
  <si>
    <t>pop_27</t>
  </si>
  <si>
    <t>pop_28</t>
  </si>
  <si>
    <t>pop_29</t>
  </si>
  <si>
    <t>pop_30</t>
  </si>
  <si>
    <t>pop_31</t>
  </si>
  <si>
    <t>pop_32</t>
  </si>
  <si>
    <t>pop_33</t>
  </si>
  <si>
    <t>pop_34</t>
  </si>
  <si>
    <t>pop_35</t>
  </si>
  <si>
    <t>pop_36</t>
  </si>
  <si>
    <t>pop_37</t>
  </si>
  <si>
    <t>pop_38</t>
  </si>
  <si>
    <t>pop_39</t>
  </si>
  <si>
    <t>pop_40</t>
  </si>
  <si>
    <t>pop_41</t>
  </si>
  <si>
    <t>pop_42</t>
  </si>
  <si>
    <t>pop_43</t>
  </si>
  <si>
    <t>pop_44</t>
  </si>
  <si>
    <t>pop_45</t>
  </si>
  <si>
    <t>pop_46</t>
  </si>
  <si>
    <t>pop_47</t>
  </si>
  <si>
    <t>pop_48</t>
  </si>
  <si>
    <t>pop_49</t>
  </si>
  <si>
    <t>pop_50</t>
  </si>
  <si>
    <t>pop_51</t>
  </si>
  <si>
    <t>pop_52</t>
  </si>
  <si>
    <t>pop_53</t>
  </si>
  <si>
    <t>pop_54</t>
  </si>
  <si>
    <t>pop_55</t>
  </si>
  <si>
    <t>pop_56</t>
  </si>
  <si>
    <t>pop_57</t>
  </si>
  <si>
    <t>pop_58</t>
  </si>
  <si>
    <t>pop_59</t>
  </si>
  <si>
    <t>pop_60</t>
  </si>
  <si>
    <t>pop_61</t>
  </si>
  <si>
    <t>pop_62</t>
  </si>
  <si>
    <t>pop_63</t>
  </si>
  <si>
    <t>pop_64</t>
  </si>
  <si>
    <t>pop_65</t>
  </si>
  <si>
    <t>pop_66</t>
  </si>
  <si>
    <t>pop_67</t>
  </si>
  <si>
    <t>pop_68</t>
  </si>
  <si>
    <t>pop_69</t>
  </si>
  <si>
    <t>pop_70</t>
  </si>
  <si>
    <t>pop_71</t>
  </si>
  <si>
    <t>pop_72</t>
  </si>
  <si>
    <t>pop_73</t>
  </si>
  <si>
    <t>pop_74</t>
  </si>
  <si>
    <t>pop_75</t>
  </si>
  <si>
    <t>pop_76</t>
  </si>
  <si>
    <t>pop_77</t>
  </si>
  <si>
    <t>pop_78</t>
  </si>
  <si>
    <t>pop_79</t>
  </si>
  <si>
    <t>pop_80</t>
  </si>
  <si>
    <t>pop_81</t>
  </si>
  <si>
    <t>pop_82</t>
  </si>
  <si>
    <t>pop_83</t>
  </si>
  <si>
    <t>pop_84</t>
  </si>
  <si>
    <t>pop_85</t>
  </si>
  <si>
    <t>pop_86</t>
  </si>
  <si>
    <t>pop_87</t>
  </si>
  <si>
    <t>pop_88</t>
  </si>
  <si>
    <t>pop_89</t>
  </si>
  <si>
    <t>pop_90</t>
  </si>
  <si>
    <t>pop_91</t>
  </si>
  <si>
    <t>pop_92</t>
  </si>
  <si>
    <t>pop_93</t>
  </si>
  <si>
    <t>pop_94</t>
  </si>
  <si>
    <t>pop_95</t>
  </si>
  <si>
    <t>pop_96</t>
  </si>
  <si>
    <t>pop_97</t>
  </si>
  <si>
    <t>pop_98</t>
  </si>
  <si>
    <t>pop_99</t>
  </si>
  <si>
    <t>pop_100</t>
  </si>
  <si>
    <t>Male &amp; Female</t>
  </si>
  <si>
    <t>Male Only</t>
  </si>
  <si>
    <t>Female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</si>
</sst>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Q&quot;0"/>
    <numFmt numFmtId="167" formatCode="&quot;FY&quot;0"/>
    <numFmt numFmtId="168" formatCode="0.0"/>
    <numFmt numFmtId="169" formatCode="[$$-409]#,##0_);\([$$-409]#,##0\)"/>
    <numFmt numFmtId="170" formatCode="#,##0;\(#,##0\);\-;@"/>
    <numFmt numFmtId="171" formatCode="&quot;$&quot;#,##0"/>
    <numFmt numFmtId="172" formatCode="&quot;$&quot;#,##0.000_);\(&quot;$&quot;#,##0.000\)"/>
    <numFmt numFmtId="173" formatCode="&quot;$&quot;#,##0.00"/>
    <numFmt numFmtId="174" formatCode="_(* #,##0.0_);_(* \(#,##0.0\);_(* &quot;-&quot;??_);_(@_)"/>
    <numFmt numFmtId="175" formatCode="#,##0.00;\(#,##0.00\);\-;@"/>
    <numFmt numFmtId="176" formatCode="_(&quot;$&quot;* #,##0_);_(&quot;$&quot;* \(#,##0\);_(&quot;$&quot;* &quot;-&quot;??_);_(@_)"/>
    <numFmt numFmtId="177" formatCode="0.000%"/>
    <numFmt numFmtId="178" formatCode="0.0000%"/>
    <numFmt numFmtId="179" formatCode="[$$-45C]\ #,##0.00_);\([$$-45C]\ #,##0.00\)"/>
    <numFmt numFmtId="180" formatCode="_(* #,##0.0_);_(* \(#,##0.0\);_(* &quot;-&quot;?_);_(@_)"/>
    <numFmt numFmtId="181" formatCode="#,##0.00\ _€"/>
    <numFmt numFmtId="182" formatCode="&quot;$&quot;* #,##0.00\ _€"/>
    <numFmt numFmtId="183" formatCode="&quot;$&quot;#,##0.0"/>
  </numFmts>
  <fonts count="6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2"/>
      <color indexed="8"/>
      <name val="Verdana"/>
      <family val="2"/>
    </font>
    <font>
      <sz val="15"/>
      <color indexed="8"/>
      <name val="Helvetica"/>
      <family val="2"/>
    </font>
    <font>
      <b/>
      <i/>
      <sz val="10"/>
      <color theme="1"/>
      <name val="Arial"/>
      <family val="2"/>
    </font>
    <font>
      <sz val="10"/>
      <color theme="3" tint="0.39997558519241921"/>
      <name val="Arial"/>
      <family val="2"/>
    </font>
    <font>
      <i/>
      <sz val="10"/>
      <color theme="1"/>
      <name val="Arial"/>
      <family val="2"/>
    </font>
    <font>
      <i/>
      <sz val="10"/>
      <color theme="0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0"/>
      <color rgb="FF000000"/>
      <name val="Arial"/>
      <family val="2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5"/>
      <color theme="1"/>
      <name val="Arial"/>
      <family val="2"/>
    </font>
    <font>
      <b/>
      <sz val="9.9"/>
      <color rgb="FFFF0000"/>
      <name val="Arial"/>
      <family val="2"/>
    </font>
    <font>
      <i/>
      <sz val="9.9"/>
      <color theme="1"/>
      <name val="Arial"/>
      <family val="2"/>
    </font>
    <font>
      <b/>
      <sz val="13.2"/>
      <color rgb="FF000000"/>
      <name val="Calibri"/>
      <family val="2"/>
    </font>
    <font>
      <sz val="13.2"/>
      <color theme="1"/>
      <name val="Arial"/>
      <family val="2"/>
    </font>
    <font>
      <sz val="13.2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name val="Arial"/>
      <family val="2"/>
    </font>
    <font>
      <sz val="11"/>
      <color rgb="FF0000CC"/>
      <name val="Arial"/>
      <family val="2"/>
    </font>
    <font>
      <b/>
      <sz val="11"/>
      <name val="Arial"/>
      <family val="2"/>
    </font>
    <font>
      <i/>
      <sz val="11"/>
      <color rgb="FF0000CC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b/>
      <sz val="11"/>
      <color rgb="FF0000CC"/>
      <name val="Arial"/>
      <family val="2"/>
    </font>
    <font>
      <b/>
      <u/>
      <sz val="10"/>
      <color theme="1"/>
      <name val="Arial"/>
      <family val="2"/>
    </font>
    <font>
      <sz val="11"/>
      <color rgb="FF0000FF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i/>
      <sz val="1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6"/>
      <color theme="4"/>
      <name val="Arial"/>
      <family val="2"/>
    </font>
    <font>
      <b/>
      <sz val="12"/>
      <color theme="4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theme="1"/>
      <name val="Didot"/>
      <family val="3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Tahoma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sz val="11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330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/>
    </xf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7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545">
    <xf numFmtId="0" fontId="0" fillId="0" borderId="0" xfId="0"/>
    <xf numFmtId="0" fontId="1" fillId="0" borderId="0" xfId="0" applyFont="1"/>
    <xf numFmtId="8" fontId="0" fillId="0" borderId="0" xfId="0" applyNumberFormat="1"/>
    <xf numFmtId="10" fontId="0" fillId="0" borderId="0" xfId="0" applyNumberFormat="1"/>
    <xf numFmtId="0" fontId="16" fillId="0" borderId="0" xfId="0" applyFont="1"/>
    <xf numFmtId="0" fontId="15" fillId="0" borderId="0" xfId="0" applyFont="1"/>
    <xf numFmtId="9" fontId="15" fillId="0" borderId="0" xfId="0" applyNumberFormat="1" applyFont="1"/>
    <xf numFmtId="10" fontId="15" fillId="0" borderId="0" xfId="0" applyNumberFormat="1" applyFont="1"/>
    <xf numFmtId="4" fontId="0" fillId="0" borderId="0" xfId="0" applyNumberFormat="1"/>
    <xf numFmtId="0" fontId="4" fillId="0" borderId="0" xfId="19" applyFont="1"/>
    <xf numFmtId="0" fontId="17" fillId="0" borderId="0" xfId="19"/>
    <xf numFmtId="4" fontId="5" fillId="0" borderId="0" xfId="19" applyNumberFormat="1" applyFont="1"/>
    <xf numFmtId="0" fontId="5" fillId="0" borderId="0" xfId="19" applyFont="1"/>
    <xf numFmtId="10" fontId="5" fillId="0" borderId="0" xfId="19" applyNumberFormat="1" applyFont="1"/>
    <xf numFmtId="173" fontId="5" fillId="0" borderId="0" xfId="19" applyNumberFormat="1" applyFont="1"/>
    <xf numFmtId="9" fontId="4" fillId="0" borderId="0" xfId="19" applyNumberFormat="1" applyFont="1"/>
    <xf numFmtId="9" fontId="17" fillId="0" borderId="0" xfId="19" applyNumberFormat="1"/>
    <xf numFmtId="9" fontId="5" fillId="0" borderId="0" xfId="19" applyNumberFormat="1" applyFont="1"/>
    <xf numFmtId="176" fontId="0" fillId="0" borderId="0" xfId="18" applyNumberFormat="1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6" fontId="18" fillId="0" borderId="0" xfId="0" applyNumberFormat="1" applyFont="1" applyAlignment="1">
      <alignment horizontal="right" wrapText="1"/>
    </xf>
    <xf numFmtId="10" fontId="18" fillId="0" borderId="0" xfId="0" applyNumberFormat="1" applyFont="1" applyAlignment="1">
      <alignment horizontal="right" wrapText="1"/>
    </xf>
    <xf numFmtId="0" fontId="20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9" fillId="4" borderId="2" xfId="0" applyFont="1" applyFill="1" applyBorder="1" applyAlignment="1">
      <alignment horizontal="right" wrapText="1"/>
    </xf>
    <xf numFmtId="8" fontId="18" fillId="4" borderId="2" xfId="0" applyNumberFormat="1" applyFont="1" applyFill="1" applyBorder="1" applyAlignment="1">
      <alignment horizontal="right" wrapText="1"/>
    </xf>
    <xf numFmtId="0" fontId="19" fillId="4" borderId="2" xfId="0" applyFont="1" applyFill="1" applyBorder="1" applyAlignment="1">
      <alignment horizontal="center" wrapText="1"/>
    </xf>
    <xf numFmtId="8" fontId="18" fillId="4" borderId="2" xfId="0" applyNumberFormat="1" applyFont="1" applyFill="1" applyBorder="1" applyAlignment="1">
      <alignment horizontal="center" wrapText="1"/>
    </xf>
    <xf numFmtId="10" fontId="18" fillId="4" borderId="2" xfId="0" applyNumberFormat="1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9" fillId="0" borderId="2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8" fillId="4" borderId="17" xfId="0" applyFont="1" applyFill="1" applyBorder="1" applyAlignment="1">
      <alignment wrapText="1"/>
    </xf>
    <xf numFmtId="0" fontId="19" fillId="4" borderId="3" xfId="0" applyFont="1" applyFill="1" applyBorder="1" applyAlignment="1">
      <alignment horizontal="right" wrapText="1"/>
    </xf>
    <xf numFmtId="0" fontId="19" fillId="4" borderId="17" xfId="0" applyFont="1" applyFill="1" applyBorder="1" applyAlignment="1">
      <alignment wrapText="1"/>
    </xf>
    <xf numFmtId="8" fontId="18" fillId="4" borderId="3" xfId="0" applyNumberFormat="1" applyFont="1" applyFill="1" applyBorder="1" applyAlignment="1">
      <alignment horizontal="right" wrapText="1"/>
    </xf>
    <xf numFmtId="0" fontId="19" fillId="4" borderId="18" xfId="0" applyFont="1" applyFill="1" applyBorder="1" applyAlignment="1">
      <alignment wrapText="1"/>
    </xf>
    <xf numFmtId="10" fontId="18" fillId="4" borderId="19" xfId="0" applyNumberFormat="1" applyFont="1" applyFill="1" applyBorder="1" applyAlignment="1">
      <alignment horizontal="right" wrapText="1"/>
    </xf>
    <xf numFmtId="10" fontId="18" fillId="4" borderId="20" xfId="0" applyNumberFormat="1" applyFont="1" applyFill="1" applyBorder="1" applyAlignment="1">
      <alignment horizontal="right" wrapText="1"/>
    </xf>
    <xf numFmtId="0" fontId="19" fillId="4" borderId="3" xfId="0" applyFont="1" applyFill="1" applyBorder="1" applyAlignment="1">
      <alignment horizontal="center" wrapText="1"/>
    </xf>
    <xf numFmtId="8" fontId="18" fillId="4" borderId="3" xfId="0" applyNumberFormat="1" applyFont="1" applyFill="1" applyBorder="1" applyAlignment="1">
      <alignment horizontal="center" wrapText="1"/>
    </xf>
    <xf numFmtId="0" fontId="22" fillId="4" borderId="17" xfId="0" applyFont="1" applyFill="1" applyBorder="1" applyAlignment="1">
      <alignment wrapText="1"/>
    </xf>
    <xf numFmtId="10" fontId="18" fillId="4" borderId="3" xfId="0" applyNumberFormat="1" applyFont="1" applyFill="1" applyBorder="1" applyAlignment="1">
      <alignment horizontal="center" wrapText="1"/>
    </xf>
    <xf numFmtId="0" fontId="18" fillId="4" borderId="18" xfId="0" applyFont="1" applyFill="1" applyBorder="1" applyAlignment="1">
      <alignment wrapText="1"/>
    </xf>
    <xf numFmtId="10" fontId="18" fillId="4" borderId="19" xfId="0" applyNumberFormat="1" applyFont="1" applyFill="1" applyBorder="1" applyAlignment="1">
      <alignment horizontal="center" wrapText="1"/>
    </xf>
    <xf numFmtId="10" fontId="18" fillId="4" borderId="20" xfId="0" applyNumberFormat="1" applyFont="1" applyFill="1" applyBorder="1" applyAlignment="1">
      <alignment horizontal="center" wrapText="1"/>
    </xf>
    <xf numFmtId="8" fontId="1" fillId="4" borderId="2" xfId="0" applyNumberFormat="1" applyFont="1" applyFill="1" applyBorder="1" applyAlignment="1">
      <alignment horizontal="right" wrapText="1"/>
    </xf>
    <xf numFmtId="0" fontId="3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8" xfId="0" applyFont="1" applyBorder="1" applyAlignment="1">
      <alignment wrapText="1"/>
    </xf>
    <xf numFmtId="10" fontId="1" fillId="0" borderId="19" xfId="0" applyNumberFormat="1" applyFont="1" applyBorder="1" applyAlignment="1">
      <alignment horizontal="right" wrapText="1"/>
    </xf>
    <xf numFmtId="10" fontId="1" fillId="0" borderId="20" xfId="0" applyNumberFormat="1" applyFont="1" applyBorder="1" applyAlignment="1">
      <alignment horizontal="right" wrapText="1"/>
    </xf>
    <xf numFmtId="10" fontId="1" fillId="0" borderId="11" xfId="0" applyNumberFormat="1" applyFont="1" applyBorder="1" applyAlignment="1">
      <alignment horizontal="right" wrapText="1"/>
    </xf>
    <xf numFmtId="10" fontId="1" fillId="0" borderId="2" xfId="0" applyNumberFormat="1" applyFont="1" applyBorder="1" applyAlignment="1">
      <alignment horizontal="right" wrapText="1"/>
    </xf>
    <xf numFmtId="10" fontId="0" fillId="0" borderId="0" xfId="2" applyNumberFormat="1" applyFont="1"/>
    <xf numFmtId="0" fontId="24" fillId="0" borderId="2" xfId="0" applyFont="1" applyBorder="1" applyAlignment="1">
      <alignment wrapText="1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25" fillId="12" borderId="2" xfId="0" applyFont="1" applyFill="1" applyBorder="1" applyAlignment="1">
      <alignment horizontal="right"/>
    </xf>
    <xf numFmtId="0" fontId="25" fillId="13" borderId="2" xfId="0" applyFont="1" applyFill="1" applyBorder="1" applyAlignment="1">
      <alignment horizontal="left"/>
    </xf>
    <xf numFmtId="0" fontId="25" fillId="13" borderId="2" xfId="0" applyFont="1" applyFill="1" applyBorder="1" applyAlignment="1">
      <alignment horizontal="right"/>
    </xf>
    <xf numFmtId="0" fontId="25" fillId="14" borderId="2" xfId="0" applyFont="1" applyFill="1" applyBorder="1" applyAlignment="1">
      <alignment horizontal="left"/>
    </xf>
    <xf numFmtId="0" fontId="25" fillId="14" borderId="2" xfId="0" applyFont="1" applyFill="1" applyBorder="1" applyAlignment="1">
      <alignment horizontal="right"/>
    </xf>
    <xf numFmtId="164" fontId="25" fillId="12" borderId="2" xfId="1" applyNumberFormat="1" applyFont="1" applyFill="1" applyBorder="1" applyAlignment="1">
      <alignment horizontal="center"/>
    </xf>
    <xf numFmtId="164" fontId="25" fillId="13" borderId="2" xfId="1" applyNumberFormat="1" applyFont="1" applyFill="1" applyBorder="1" applyAlignment="1">
      <alignment horizontal="center"/>
    </xf>
    <xf numFmtId="164" fontId="25" fillId="14" borderId="2" xfId="1" applyNumberFormat="1" applyFont="1" applyFill="1" applyBorder="1" applyAlignment="1">
      <alignment horizontal="center"/>
    </xf>
    <xf numFmtId="0" fontId="19" fillId="0" borderId="2" xfId="0" applyFont="1" applyBorder="1" applyAlignment="1">
      <alignment horizontal="right" wrapText="1"/>
    </xf>
    <xf numFmtId="0" fontId="18" fillId="0" borderId="2" xfId="0" applyFont="1" applyBorder="1" applyAlignment="1">
      <alignment horizontal="right" wrapText="1"/>
    </xf>
    <xf numFmtId="16" fontId="19" fillId="0" borderId="2" xfId="0" applyNumberFormat="1" applyFont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10" fontId="1" fillId="4" borderId="2" xfId="0" applyNumberFormat="1" applyFont="1" applyFill="1" applyBorder="1" applyAlignment="1">
      <alignment horizontal="right" wrapText="1"/>
    </xf>
    <xf numFmtId="9" fontId="1" fillId="4" borderId="2" xfId="0" applyNumberFormat="1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right" wrapText="1"/>
    </xf>
    <xf numFmtId="164" fontId="25" fillId="14" borderId="9" xfId="1" applyNumberFormat="1" applyFont="1" applyFill="1" applyBorder="1" applyAlignment="1">
      <alignment horizontal="center"/>
    </xf>
    <xf numFmtId="164" fontId="25" fillId="14" borderId="11" xfId="1" applyNumberFormat="1" applyFont="1" applyFill="1" applyBorder="1" applyAlignment="1">
      <alignment horizontal="center"/>
    </xf>
    <xf numFmtId="164" fontId="25" fillId="14" borderId="21" xfId="1" applyNumberFormat="1" applyFont="1" applyFill="1" applyBorder="1" applyAlignment="1">
      <alignment horizontal="center"/>
    </xf>
    <xf numFmtId="164" fontId="25" fillId="14" borderId="22" xfId="1" applyNumberFormat="1" applyFont="1" applyFill="1" applyBorder="1" applyAlignment="1">
      <alignment horizontal="center"/>
    </xf>
    <xf numFmtId="164" fontId="25" fillId="14" borderId="23" xfId="1" applyNumberFormat="1" applyFont="1" applyFill="1" applyBorder="1" applyAlignment="1">
      <alignment horizontal="center"/>
    </xf>
    <xf numFmtId="164" fontId="25" fillId="14" borderId="24" xfId="1" applyNumberFormat="1" applyFont="1" applyFill="1" applyBorder="1" applyAlignment="1">
      <alignment horizontal="center"/>
    </xf>
    <xf numFmtId="164" fontId="25" fillId="15" borderId="22" xfId="1" applyNumberFormat="1" applyFont="1" applyFill="1" applyBorder="1" applyAlignment="1">
      <alignment horizontal="center"/>
    </xf>
    <xf numFmtId="164" fontId="25" fillId="15" borderId="23" xfId="1" applyNumberFormat="1" applyFont="1" applyFill="1" applyBorder="1" applyAlignment="1">
      <alignment horizontal="center"/>
    </xf>
    <xf numFmtId="164" fontId="25" fillId="15" borderId="24" xfId="1" applyNumberFormat="1" applyFont="1" applyFill="1" applyBorder="1" applyAlignment="1">
      <alignment horizontal="center"/>
    </xf>
    <xf numFmtId="166" fontId="28" fillId="3" borderId="0" xfId="0" applyNumberFormat="1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164" fontId="29" fillId="0" borderId="0" xfId="1" applyNumberFormat="1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164" fontId="30" fillId="0" borderId="26" xfId="0" applyNumberFormat="1" applyFont="1" applyBorder="1" applyAlignment="1">
      <alignment vertical="center"/>
    </xf>
    <xf numFmtId="178" fontId="18" fillId="0" borderId="0" xfId="0" applyNumberFormat="1" applyFont="1" applyAlignment="1">
      <alignment horizontal="right" wrapText="1"/>
    </xf>
    <xf numFmtId="164" fontId="5" fillId="0" borderId="0" xfId="1" applyNumberFormat="1" applyFont="1" applyAlignment="1"/>
    <xf numFmtId="164" fontId="5" fillId="0" borderId="27" xfId="1" applyNumberFormat="1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9" fontId="1" fillId="0" borderId="0" xfId="0" applyNumberFormat="1" applyFont="1"/>
    <xf numFmtId="9" fontId="1" fillId="0" borderId="0" xfId="2" applyFont="1"/>
    <xf numFmtId="165" fontId="29" fillId="0" borderId="0" xfId="2" applyNumberFormat="1" applyFont="1" applyBorder="1" applyAlignment="1">
      <alignment vertical="center"/>
    </xf>
    <xf numFmtId="0" fontId="39" fillId="0" borderId="0" xfId="0" applyFont="1"/>
    <xf numFmtId="15" fontId="1" fillId="0" borderId="0" xfId="0" applyNumberFormat="1" applyFont="1"/>
    <xf numFmtId="0" fontId="26" fillId="0" borderId="0" xfId="186"/>
    <xf numFmtId="164" fontId="30" fillId="0" borderId="0" xfId="0" applyNumberFormat="1" applyFont="1" applyAlignment="1">
      <alignment vertical="center"/>
    </xf>
    <xf numFmtId="2" fontId="29" fillId="10" borderId="0" xfId="0" applyNumberFormat="1" applyFont="1" applyFill="1" applyAlignment="1">
      <alignment horizontal="center" vertical="center"/>
    </xf>
    <xf numFmtId="164" fontId="30" fillId="4" borderId="0" xfId="0" applyNumberFormat="1" applyFont="1" applyFill="1" applyAlignment="1">
      <alignment vertical="center"/>
    </xf>
    <xf numFmtId="0" fontId="30" fillId="4" borderId="0" xfId="0" applyFont="1" applyFill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/>
    </xf>
    <xf numFmtId="173" fontId="29" fillId="10" borderId="0" xfId="0" applyNumberFormat="1" applyFont="1" applyFill="1" applyAlignment="1">
      <alignment horizontal="center" vertical="center"/>
    </xf>
    <xf numFmtId="180" fontId="0" fillId="0" borderId="0" xfId="0" applyNumberFormat="1"/>
    <xf numFmtId="171" fontId="0" fillId="0" borderId="0" xfId="0" applyNumberFormat="1"/>
    <xf numFmtId="166" fontId="28" fillId="0" borderId="0" xfId="0" applyNumberFormat="1" applyFont="1" applyAlignment="1">
      <alignment horizontal="center" vertical="center"/>
    </xf>
    <xf numFmtId="173" fontId="29" fillId="0" borderId="0" xfId="0" applyNumberFormat="1" applyFont="1" applyAlignment="1">
      <alignment horizontal="center" vertical="center"/>
    </xf>
    <xf numFmtId="49" fontId="28" fillId="3" borderId="0" xfId="0" applyNumberFormat="1" applyFont="1" applyFill="1" applyAlignment="1">
      <alignment horizontal="center" vertical="center"/>
    </xf>
    <xf numFmtId="0" fontId="29" fillId="10" borderId="0" xfId="1" applyNumberFormat="1" applyFont="1" applyFill="1" applyBorder="1" applyAlignment="1">
      <alignment horizontal="center" vertical="top"/>
    </xf>
    <xf numFmtId="0" fontId="29" fillId="0" borderId="0" xfId="1" applyNumberFormat="1" applyFont="1" applyFill="1" applyBorder="1" applyAlignment="1">
      <alignment horizontal="center" vertical="top"/>
    </xf>
    <xf numFmtId="2" fontId="29" fillId="0" borderId="0" xfId="0" applyNumberFormat="1" applyFont="1" applyAlignment="1">
      <alignment horizontal="center" vertical="center"/>
    </xf>
    <xf numFmtId="0" fontId="49" fillId="0" borderId="0" xfId="0" applyFont="1"/>
    <xf numFmtId="9" fontId="29" fillId="10" borderId="0" xfId="2" applyFont="1" applyFill="1" applyBorder="1" applyAlignment="1">
      <alignment horizontal="center" vertical="top"/>
    </xf>
    <xf numFmtId="168" fontId="29" fillId="10" borderId="0" xfId="1" applyNumberFormat="1" applyFont="1" applyFill="1" applyBorder="1" applyAlignment="1">
      <alignment horizontal="center" vertical="top"/>
    </xf>
    <xf numFmtId="165" fontId="29" fillId="10" borderId="0" xfId="2" applyNumberFormat="1" applyFont="1" applyFill="1" applyBorder="1" applyAlignment="1">
      <alignment horizontal="center" vertical="top"/>
    </xf>
    <xf numFmtId="0" fontId="14" fillId="0" borderId="0" xfId="0" applyFont="1"/>
    <xf numFmtId="0" fontId="50" fillId="0" borderId="0" xfId="0" applyFont="1"/>
    <xf numFmtId="9" fontId="29" fillId="10" borderId="0" xfId="2" applyFont="1" applyFill="1" applyBorder="1" applyAlignment="1">
      <alignment horizontal="center" vertical="center"/>
    </xf>
    <xf numFmtId="165" fontId="29" fillId="10" borderId="0" xfId="1" applyNumberFormat="1" applyFont="1" applyFill="1" applyBorder="1" applyAlignment="1">
      <alignment horizontal="center" vertical="top"/>
    </xf>
    <xf numFmtId="0" fontId="51" fillId="0" borderId="0" xfId="0" applyFont="1"/>
    <xf numFmtId="0" fontId="52" fillId="0" borderId="0" xfId="0" applyFont="1"/>
    <xf numFmtId="164" fontId="0" fillId="0" borderId="0" xfId="1" applyNumberFormat="1" applyFont="1"/>
    <xf numFmtId="164" fontId="49" fillId="0" borderId="0" xfId="1" applyNumberFormat="1" applyFont="1"/>
    <xf numFmtId="44" fontId="0" fillId="0" borderId="0" xfId="18" applyFont="1"/>
    <xf numFmtId="10" fontId="29" fillId="10" borderId="0" xfId="0" applyNumberFormat="1" applyFont="1" applyFill="1" applyAlignment="1">
      <alignment horizontal="center" vertical="center"/>
    </xf>
    <xf numFmtId="164" fontId="14" fillId="0" borderId="0" xfId="0" applyNumberFormat="1" applyFont="1"/>
    <xf numFmtId="176" fontId="0" fillId="0" borderId="0" xfId="0" applyNumberFormat="1"/>
    <xf numFmtId="0" fontId="0" fillId="0" borderId="0" xfId="0" applyAlignment="1">
      <alignment wrapText="1"/>
    </xf>
    <xf numFmtId="0" fontId="59" fillId="0" borderId="1" xfId="0" applyFont="1" applyBorder="1" applyAlignment="1">
      <alignment horizontal="center" wrapText="1"/>
    </xf>
    <xf numFmtId="0" fontId="60" fillId="0" borderId="0" xfId="0" applyFont="1" applyAlignment="1">
      <alignment horizontal="left" wrapText="1"/>
    </xf>
    <xf numFmtId="181" fontId="61" fillId="0" borderId="0" xfId="0" applyNumberFormat="1" applyFont="1" applyAlignment="1">
      <alignment wrapText="1"/>
    </xf>
    <xf numFmtId="182" fontId="60" fillId="0" borderId="5" xfId="0" applyNumberFormat="1" applyFont="1" applyBorder="1" applyAlignment="1">
      <alignment horizontal="right" wrapText="1"/>
    </xf>
    <xf numFmtId="0" fontId="62" fillId="0" borderId="0" xfId="0" applyFont="1" applyAlignment="1">
      <alignment horizontal="left" vertical="center"/>
    </xf>
    <xf numFmtId="181" fontId="61" fillId="0" borderId="0" xfId="0" applyNumberFormat="1" applyFont="1" applyAlignment="1">
      <alignment horizontal="right" wrapText="1"/>
    </xf>
    <xf numFmtId="173" fontId="29" fillId="10" borderId="0" xfId="18" applyNumberFormat="1" applyFont="1" applyFill="1" applyBorder="1" applyAlignment="1">
      <alignment horizontal="center" vertical="top"/>
    </xf>
    <xf numFmtId="1" fontId="29" fillId="10" borderId="0" xfId="18" applyNumberFormat="1" applyFont="1" applyFill="1" applyBorder="1" applyAlignment="1">
      <alignment horizontal="center" vertical="top"/>
    </xf>
    <xf numFmtId="176" fontId="0" fillId="0" borderId="0" xfId="18" applyNumberFormat="1" applyFont="1" applyFill="1"/>
    <xf numFmtId="2" fontId="29" fillId="10" borderId="0" xfId="18" applyNumberFormat="1" applyFont="1" applyFill="1" applyBorder="1" applyAlignment="1">
      <alignment horizontal="center" vertical="top"/>
    </xf>
    <xf numFmtId="0" fontId="0" fillId="18" borderId="0" xfId="0" applyFill="1"/>
    <xf numFmtId="0" fontId="29" fillId="18" borderId="0" xfId="1" applyNumberFormat="1" applyFont="1" applyFill="1" applyBorder="1" applyAlignment="1">
      <alignment horizontal="center" vertical="top"/>
    </xf>
    <xf numFmtId="180" fontId="0" fillId="18" borderId="0" xfId="0" applyNumberFormat="1" applyFill="1"/>
    <xf numFmtId="3" fontId="29" fillId="18" borderId="0" xfId="1" applyNumberFormat="1" applyFont="1" applyFill="1" applyBorder="1" applyAlignment="1">
      <alignment horizontal="center" vertical="top"/>
    </xf>
    <xf numFmtId="0" fontId="14" fillId="18" borderId="0" xfId="0" applyFont="1" applyFill="1"/>
    <xf numFmtId="0" fontId="47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66" fillId="0" borderId="0" xfId="0" applyFont="1" applyProtection="1">
      <protection hidden="1"/>
    </xf>
    <xf numFmtId="0" fontId="48" fillId="0" borderId="0" xfId="0" applyFont="1" applyProtection="1">
      <protection hidden="1"/>
    </xf>
    <xf numFmtId="1" fontId="28" fillId="3" borderId="5" xfId="0" applyNumberFormat="1" applyFont="1" applyFill="1" applyBorder="1" applyAlignment="1" applyProtection="1">
      <alignment horizontal="center" vertical="center"/>
      <protection hidden="1"/>
    </xf>
    <xf numFmtId="1" fontId="28" fillId="3" borderId="6" xfId="0" applyNumberFormat="1" applyFont="1" applyFill="1" applyBorder="1" applyAlignment="1" applyProtection="1">
      <alignment horizontal="center" vertical="center"/>
      <protection hidden="1"/>
    </xf>
    <xf numFmtId="0" fontId="29" fillId="0" borderId="7" xfId="0" applyFont="1" applyBorder="1" applyProtection="1">
      <protection hidden="1"/>
    </xf>
    <xf numFmtId="0" fontId="29" fillId="0" borderId="8" xfId="0" applyFont="1" applyBorder="1" applyProtection="1">
      <protection hidden="1"/>
    </xf>
    <xf numFmtId="0" fontId="29" fillId="0" borderId="0" xfId="0" applyFont="1" applyAlignment="1" applyProtection="1">
      <alignment horizontal="left" vertical="center"/>
      <protection hidden="1"/>
    </xf>
    <xf numFmtId="164" fontId="29" fillId="5" borderId="0" xfId="1" applyNumberFormat="1" applyFont="1" applyFill="1" applyBorder="1" applyAlignment="1" applyProtection="1">
      <alignment vertical="center"/>
      <protection hidden="1"/>
    </xf>
    <xf numFmtId="164" fontId="29" fillId="5" borderId="8" xfId="1" applyNumberFormat="1" applyFont="1" applyFill="1" applyBorder="1" applyAlignment="1" applyProtection="1">
      <alignment vertical="center"/>
      <protection hidden="1"/>
    </xf>
    <xf numFmtId="0" fontId="30" fillId="0" borderId="7" xfId="0" applyFont="1" applyBorder="1" applyProtection="1">
      <protection hidden="1"/>
    </xf>
    <xf numFmtId="0" fontId="30" fillId="0" borderId="0" xfId="0" applyFont="1" applyAlignment="1" applyProtection="1">
      <alignment horizontal="left" vertical="center"/>
      <protection hidden="1"/>
    </xf>
    <xf numFmtId="0" fontId="30" fillId="0" borderId="0" xfId="0" applyFont="1" applyProtection="1">
      <protection hidden="1"/>
    </xf>
    <xf numFmtId="164" fontId="30" fillId="5" borderId="0" xfId="1" applyNumberFormat="1" applyFont="1" applyFill="1" applyBorder="1" applyAlignment="1" applyProtection="1">
      <alignment vertical="center"/>
      <protection hidden="1"/>
    </xf>
    <xf numFmtId="164" fontId="30" fillId="5" borderId="8" xfId="1" applyNumberFormat="1" applyFont="1" applyFill="1" applyBorder="1" applyAlignment="1" applyProtection="1">
      <alignment vertical="center"/>
      <protection hidden="1"/>
    </xf>
    <xf numFmtId="0" fontId="28" fillId="0" borderId="0" xfId="0" applyFont="1" applyProtection="1">
      <protection hidden="1"/>
    </xf>
    <xf numFmtId="9" fontId="66" fillId="0" borderId="0" xfId="2" applyFont="1" applyProtection="1">
      <protection hidden="1"/>
    </xf>
    <xf numFmtId="0" fontId="29" fillId="0" borderId="0" xfId="0" applyFont="1" applyAlignment="1" applyProtection="1">
      <alignment horizontal="left" vertical="center" indent="1"/>
      <protection hidden="1"/>
    </xf>
    <xf numFmtId="0" fontId="11" fillId="0" borderId="0" xfId="0" applyFont="1" applyAlignment="1" applyProtection="1">
      <alignment horizontal="left" vertical="center" indent="2"/>
      <protection hidden="1"/>
    </xf>
    <xf numFmtId="164" fontId="11" fillId="5" borderId="0" xfId="1" applyNumberFormat="1" applyFont="1" applyFill="1" applyBorder="1" applyAlignment="1" applyProtection="1">
      <alignment horizontal="left" vertical="center" indent="2"/>
      <protection hidden="1"/>
    </xf>
    <xf numFmtId="164" fontId="11" fillId="5" borderId="8" xfId="1" applyNumberFormat="1" applyFont="1" applyFill="1" applyBorder="1" applyAlignment="1" applyProtection="1">
      <alignment horizontal="left" vertical="center" indent="2"/>
      <protection hidden="1"/>
    </xf>
    <xf numFmtId="164" fontId="29" fillId="0" borderId="0" xfId="1" applyNumberFormat="1" applyFont="1" applyFill="1" applyBorder="1" applyAlignment="1" applyProtection="1">
      <alignment vertical="center"/>
      <protection hidden="1"/>
    </xf>
    <xf numFmtId="0" fontId="36" fillId="0" borderId="0" xfId="0" applyFont="1" applyAlignment="1" applyProtection="1">
      <alignment horizontal="left" vertical="center" indent="2"/>
      <protection hidden="1"/>
    </xf>
    <xf numFmtId="164" fontId="36" fillId="5" borderId="0" xfId="1" applyNumberFormat="1" applyFont="1" applyFill="1" applyBorder="1" applyAlignment="1" applyProtection="1">
      <alignment horizontal="left" vertical="center" indent="2"/>
      <protection hidden="1"/>
    </xf>
    <xf numFmtId="164" fontId="36" fillId="5" borderId="8" xfId="1" applyNumberFormat="1" applyFont="1" applyFill="1" applyBorder="1" applyAlignment="1" applyProtection="1">
      <alignment horizontal="left" vertical="center" indent="2"/>
      <protection hidden="1"/>
    </xf>
    <xf numFmtId="164" fontId="30" fillId="5" borderId="10" xfId="1" applyNumberFormat="1" applyFont="1" applyFill="1" applyBorder="1" applyAlignment="1" applyProtection="1">
      <alignment vertical="center"/>
      <protection hidden="1"/>
    </xf>
    <xf numFmtId="164" fontId="30" fillId="5" borderId="11" xfId="1" applyNumberFormat="1" applyFont="1" applyFill="1" applyBorder="1" applyAlignment="1" applyProtection="1">
      <alignment vertical="center"/>
      <protection hidden="1"/>
    </xf>
    <xf numFmtId="164" fontId="29" fillId="0" borderId="0" xfId="1" applyNumberFormat="1" applyFont="1" applyBorder="1" applyProtection="1">
      <protection hidden="1"/>
    </xf>
    <xf numFmtId="164" fontId="29" fillId="0" borderId="8" xfId="1" applyNumberFormat="1" applyFont="1" applyBorder="1" applyProtection="1">
      <protection hidden="1"/>
    </xf>
    <xf numFmtId="9" fontId="29" fillId="0" borderId="0" xfId="2" applyFont="1" applyBorder="1" applyProtection="1">
      <protection hidden="1"/>
    </xf>
    <xf numFmtId="0" fontId="29" fillId="0" borderId="0" xfId="0" applyFont="1" applyAlignment="1" applyProtection="1">
      <alignment horizontal="right" vertical="center"/>
      <protection hidden="1"/>
    </xf>
    <xf numFmtId="165" fontId="29" fillId="0" borderId="0" xfId="2" applyNumberFormat="1" applyFont="1" applyBorder="1" applyAlignment="1" applyProtection="1">
      <alignment vertical="center"/>
      <protection hidden="1"/>
    </xf>
    <xf numFmtId="165" fontId="29" fillId="0" borderId="8" xfId="2" applyNumberFormat="1" applyFont="1" applyBorder="1" applyAlignment="1" applyProtection="1">
      <alignment vertical="center"/>
      <protection hidden="1"/>
    </xf>
    <xf numFmtId="0" fontId="29" fillId="0" borderId="12" xfId="0" applyFont="1" applyBorder="1" applyProtection="1">
      <protection hidden="1"/>
    </xf>
    <xf numFmtId="0" fontId="29" fillId="0" borderId="1" xfId="0" applyFont="1" applyBorder="1" applyProtection="1">
      <protection hidden="1"/>
    </xf>
    <xf numFmtId="0" fontId="29" fillId="0" borderId="1" xfId="0" applyFont="1" applyBorder="1" applyAlignment="1" applyProtection="1">
      <alignment horizontal="left" vertical="center"/>
      <protection hidden="1"/>
    </xf>
    <xf numFmtId="0" fontId="29" fillId="0" borderId="1" xfId="0" applyFont="1" applyBorder="1" applyAlignment="1" applyProtection="1">
      <alignment horizontal="right" vertical="center"/>
      <protection hidden="1"/>
    </xf>
    <xf numFmtId="165" fontId="29" fillId="0" borderId="1" xfId="2" applyNumberFormat="1" applyFont="1" applyFill="1" applyBorder="1" applyAlignment="1" applyProtection="1">
      <alignment vertical="center"/>
      <protection hidden="1"/>
    </xf>
    <xf numFmtId="165" fontId="29" fillId="0" borderId="13" xfId="2" applyNumberFormat="1" applyFont="1" applyFill="1" applyBorder="1" applyAlignment="1" applyProtection="1">
      <alignment vertical="center"/>
      <protection hidden="1"/>
    </xf>
    <xf numFmtId="164" fontId="29" fillId="0" borderId="0" xfId="1" applyNumberFormat="1" applyFont="1" applyProtection="1">
      <protection hidden="1"/>
    </xf>
    <xf numFmtId="166" fontId="28" fillId="3" borderId="0" xfId="0" applyNumberFormat="1" applyFont="1" applyFill="1" applyAlignment="1" applyProtection="1">
      <alignment horizontal="center" vertical="center"/>
      <protection hidden="1"/>
    </xf>
    <xf numFmtId="9" fontId="29" fillId="0" borderId="0" xfId="2" applyFont="1" applyProtection="1">
      <protection hidden="1"/>
    </xf>
    <xf numFmtId="0" fontId="29" fillId="0" borderId="30" xfId="0" applyFont="1" applyBorder="1" applyProtection="1">
      <protection hidden="1"/>
    </xf>
    <xf numFmtId="164" fontId="29" fillId="0" borderId="31" xfId="0" applyNumberFormat="1" applyFont="1" applyBorder="1" applyProtection="1">
      <protection hidden="1"/>
    </xf>
    <xf numFmtId="9" fontId="29" fillId="0" borderId="32" xfId="2" applyFont="1" applyBorder="1" applyProtection="1">
      <protection hidden="1"/>
    </xf>
    <xf numFmtId="0" fontId="29" fillId="0" borderId="33" xfId="0" applyFont="1" applyBorder="1" applyProtection="1">
      <protection hidden="1"/>
    </xf>
    <xf numFmtId="164" fontId="29" fillId="0" borderId="0" xfId="0" applyNumberFormat="1" applyFont="1" applyProtection="1">
      <protection hidden="1"/>
    </xf>
    <xf numFmtId="9" fontId="29" fillId="0" borderId="34" xfId="2" applyFont="1" applyBorder="1" applyProtection="1">
      <protection hidden="1"/>
    </xf>
    <xf numFmtId="0" fontId="29" fillId="0" borderId="35" xfId="0" applyFont="1" applyBorder="1" applyProtection="1">
      <protection hidden="1"/>
    </xf>
    <xf numFmtId="164" fontId="29" fillId="0" borderId="36" xfId="0" applyNumberFormat="1" applyFont="1" applyBorder="1" applyProtection="1">
      <protection hidden="1"/>
    </xf>
    <xf numFmtId="9" fontId="29" fillId="0" borderId="37" xfId="2" applyFont="1" applyBorder="1" applyProtection="1">
      <protection hidden="1"/>
    </xf>
    <xf numFmtId="0" fontId="29" fillId="17" borderId="35" xfId="0" applyFont="1" applyFill="1" applyBorder="1" applyProtection="1">
      <protection hidden="1"/>
    </xf>
    <xf numFmtId="164" fontId="29" fillId="17" borderId="36" xfId="0" applyNumberFormat="1" applyFont="1" applyFill="1" applyBorder="1" applyProtection="1">
      <protection hidden="1"/>
    </xf>
    <xf numFmtId="9" fontId="29" fillId="17" borderId="37" xfId="2" applyFont="1" applyFill="1" applyBorder="1" applyProtection="1">
      <protection hidden="1"/>
    </xf>
    <xf numFmtId="0" fontId="36" fillId="0" borderId="0" xfId="0" applyFont="1" applyProtection="1">
      <protection hidden="1"/>
    </xf>
    <xf numFmtId="164" fontId="36" fillId="0" borderId="0" xfId="0" applyNumberFormat="1" applyFont="1" applyProtection="1">
      <protection hidden="1"/>
    </xf>
    <xf numFmtId="9" fontId="29" fillId="0" borderId="0" xfId="2" applyFont="1" applyFill="1" applyBorder="1" applyProtection="1">
      <protection hidden="1"/>
    </xf>
    <xf numFmtId="9" fontId="29" fillId="0" borderId="0" xfId="0" applyNumberFormat="1" applyFont="1" applyProtection="1">
      <protection hidden="1"/>
    </xf>
    <xf numFmtId="0" fontId="29" fillId="0" borderId="31" xfId="0" applyFont="1" applyBorder="1" applyProtection="1">
      <protection hidden="1"/>
    </xf>
    <xf numFmtId="173" fontId="29" fillId="0" borderId="32" xfId="18" applyNumberFormat="1" applyFont="1" applyBorder="1" applyProtection="1">
      <protection hidden="1"/>
    </xf>
    <xf numFmtId="9" fontId="29" fillId="0" borderId="34" xfId="0" applyNumberFormat="1" applyFont="1" applyBorder="1" applyProtection="1">
      <protection hidden="1"/>
    </xf>
    <xf numFmtId="0" fontId="29" fillId="0" borderId="36" xfId="0" applyFont="1" applyBorder="1" applyProtection="1">
      <protection hidden="1"/>
    </xf>
    <xf numFmtId="173" fontId="29" fillId="0" borderId="37" xfId="0" applyNumberFormat="1" applyFont="1" applyBorder="1" applyProtection="1">
      <protection hidden="1"/>
    </xf>
    <xf numFmtId="0" fontId="29" fillId="0" borderId="38" xfId="0" applyFont="1" applyBorder="1" applyProtection="1">
      <protection hidden="1"/>
    </xf>
    <xf numFmtId="0" fontId="29" fillId="0" borderId="39" xfId="0" applyFont="1" applyBorder="1" applyAlignment="1" applyProtection="1">
      <alignment horizontal="right"/>
      <protection hidden="1"/>
    </xf>
    <xf numFmtId="0" fontId="29" fillId="0" borderId="40" xfId="0" applyFont="1" applyBorder="1" applyAlignment="1" applyProtection="1">
      <alignment horizontal="right"/>
      <protection hidden="1"/>
    </xf>
    <xf numFmtId="173" fontId="29" fillId="0" borderId="34" xfId="0" applyNumberFormat="1" applyFont="1" applyBorder="1" applyProtection="1">
      <protection hidden="1"/>
    </xf>
    <xf numFmtId="9" fontId="29" fillId="0" borderId="36" xfId="0" applyNumberFormat="1" applyFont="1" applyBorder="1" applyProtection="1">
      <protection hidden="1"/>
    </xf>
    <xf numFmtId="173" fontId="29" fillId="0" borderId="0" xfId="2" applyNumberFormat="1" applyFont="1" applyFill="1" applyBorder="1" applyProtection="1">
      <protection hidden="1"/>
    </xf>
    <xf numFmtId="0" fontId="56" fillId="0" borderId="0" xfId="0" applyFont="1" applyProtection="1">
      <protection hidden="1"/>
    </xf>
    <xf numFmtId="167" fontId="28" fillId="3" borderId="0" xfId="0" applyNumberFormat="1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/>
      <protection hidden="1"/>
    </xf>
    <xf numFmtId="164" fontId="0" fillId="0" borderId="0" xfId="4" applyNumberFormat="1" applyFont="1" applyFill="1" applyBorder="1" applyAlignment="1" applyProtection="1">
      <alignment vertical="center"/>
      <protection hidden="1"/>
    </xf>
    <xf numFmtId="0" fontId="40" fillId="0" borderId="0" xfId="0" applyFont="1" applyAlignment="1" applyProtection="1">
      <alignment vertical="center"/>
      <protection hidden="1"/>
    </xf>
    <xf numFmtId="164" fontId="29" fillId="0" borderId="0" xfId="4" applyNumberFormat="1" applyFont="1" applyFill="1" applyBorder="1" applyAlignment="1" applyProtection="1">
      <alignment vertical="center"/>
      <protection hidden="1"/>
    </xf>
    <xf numFmtId="0" fontId="45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64" fontId="29" fillId="0" borderId="0" xfId="1" applyNumberFormat="1" applyFont="1" applyBorder="1" applyAlignment="1" applyProtection="1">
      <alignment vertical="center"/>
      <protection hidden="1"/>
    </xf>
    <xf numFmtId="164" fontId="29" fillId="0" borderId="0" xfId="1" quotePrefix="1" applyNumberFormat="1" applyFont="1" applyBorder="1" applyAlignment="1" applyProtection="1">
      <alignment vertical="center"/>
      <protection hidden="1"/>
    </xf>
    <xf numFmtId="0" fontId="29" fillId="0" borderId="0" xfId="0" quotePrefix="1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left" vertical="center" indent="1"/>
      <protection hidden="1"/>
    </xf>
    <xf numFmtId="10" fontId="29" fillId="0" borderId="0" xfId="2" applyNumberFormat="1" applyFont="1" applyBorder="1" applyAlignment="1" applyProtection="1">
      <alignment vertical="center"/>
      <protection hidden="1"/>
    </xf>
    <xf numFmtId="44" fontId="29" fillId="0" borderId="0" xfId="0" applyNumberFormat="1" applyFont="1" applyAlignment="1" applyProtection="1">
      <alignment vertical="center"/>
      <protection hidden="1"/>
    </xf>
    <xf numFmtId="164" fontId="29" fillId="0" borderId="0" xfId="0" applyNumberFormat="1" applyFont="1" applyAlignment="1" applyProtection="1">
      <alignment vertical="center"/>
      <protection hidden="1"/>
    </xf>
    <xf numFmtId="9" fontId="29" fillId="10" borderId="0" xfId="2" applyFont="1" applyFill="1" applyBorder="1" applyAlignment="1" applyProtection="1">
      <alignment horizontal="center" vertical="center"/>
      <protection hidden="1"/>
    </xf>
    <xf numFmtId="177" fontId="29" fillId="10" borderId="0" xfId="0" applyNumberFormat="1" applyFont="1" applyFill="1" applyAlignment="1" applyProtection="1">
      <alignment vertical="center"/>
      <protection hidden="1"/>
    </xf>
    <xf numFmtId="9" fontId="29" fillId="10" borderId="0" xfId="0" applyNumberFormat="1" applyFont="1" applyFill="1" applyAlignment="1" applyProtection="1">
      <alignment vertical="center"/>
      <protection hidden="1"/>
    </xf>
    <xf numFmtId="0" fontId="29" fillId="10" borderId="0" xfId="0" applyFont="1" applyFill="1" applyAlignment="1" applyProtection="1">
      <alignment horizontal="center" vertical="center"/>
      <protection hidden="1"/>
    </xf>
    <xf numFmtId="9" fontId="29" fillId="0" borderId="0" xfId="2" applyFont="1" applyBorder="1" applyAlignment="1" applyProtection="1">
      <alignment vertical="center"/>
      <protection hidden="1"/>
    </xf>
    <xf numFmtId="0" fontId="30" fillId="4" borderId="0" xfId="0" applyFont="1" applyFill="1" applyAlignment="1" applyProtection="1">
      <alignment horizontal="left" vertical="center" indent="1"/>
      <protection hidden="1"/>
    </xf>
    <xf numFmtId="164" fontId="30" fillId="4" borderId="0" xfId="4" applyNumberFormat="1" applyFont="1" applyFill="1" applyBorder="1" applyAlignment="1" applyProtection="1">
      <alignment vertical="center"/>
      <protection hidden="1"/>
    </xf>
    <xf numFmtId="164" fontId="30" fillId="4" borderId="0" xfId="0" applyNumberFormat="1" applyFont="1" applyFill="1" applyAlignment="1" applyProtection="1">
      <alignment vertical="center"/>
      <protection hidden="1"/>
    </xf>
    <xf numFmtId="43" fontId="29" fillId="0" borderId="0" xfId="1" applyFont="1" applyBorder="1" applyAlignment="1" applyProtection="1">
      <alignment vertical="center"/>
      <protection hidden="1"/>
    </xf>
    <xf numFmtId="177" fontId="29" fillId="0" borderId="0" xfId="0" applyNumberFormat="1" applyFont="1" applyAlignment="1" applyProtection="1">
      <alignment vertical="center"/>
      <protection hidden="1"/>
    </xf>
    <xf numFmtId="9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left" vertical="center" indent="1"/>
      <protection hidden="1"/>
    </xf>
    <xf numFmtId="164" fontId="30" fillId="0" borderId="0" xfId="4" applyNumberFormat="1" applyFont="1" applyFill="1" applyBorder="1" applyAlignment="1" applyProtection="1">
      <alignment vertical="center"/>
      <protection hidden="1"/>
    </xf>
    <xf numFmtId="164" fontId="30" fillId="0" borderId="0" xfId="0" applyNumberFormat="1" applyFont="1" applyAlignment="1" applyProtection="1">
      <alignment vertical="center"/>
      <protection hidden="1"/>
    </xf>
    <xf numFmtId="0" fontId="30" fillId="0" borderId="26" xfId="0" applyFont="1" applyBorder="1" applyAlignment="1" applyProtection="1">
      <alignment vertical="center"/>
      <protection hidden="1"/>
    </xf>
    <xf numFmtId="164" fontId="29" fillId="0" borderId="26" xfId="4" applyNumberFormat="1" applyFont="1" applyFill="1" applyBorder="1" applyAlignment="1" applyProtection="1">
      <alignment vertical="center"/>
      <protection hidden="1"/>
    </xf>
    <xf numFmtId="164" fontId="30" fillId="0" borderId="26" xfId="0" applyNumberFormat="1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164" fontId="34" fillId="0" borderId="0" xfId="1" applyNumberFormat="1" applyFont="1" applyBorder="1" applyAlignment="1" applyProtection="1">
      <alignment vertical="center"/>
      <protection hidden="1"/>
    </xf>
    <xf numFmtId="0" fontId="30" fillId="4" borderId="0" xfId="0" applyFont="1" applyFill="1" applyAlignment="1" applyProtection="1">
      <alignment vertical="center"/>
      <protection hidden="1"/>
    </xf>
    <xf numFmtId="0" fontId="29" fillId="4" borderId="0" xfId="0" applyFont="1" applyFill="1" applyAlignment="1" applyProtection="1">
      <alignment vertical="center"/>
      <protection hidden="1"/>
    </xf>
    <xf numFmtId="164" fontId="30" fillId="0" borderId="0" xfId="0" applyNumberFormat="1" applyFont="1" applyAlignment="1" applyProtection="1">
      <alignment horizontal="right" vertical="center"/>
      <protection hidden="1"/>
    </xf>
    <xf numFmtId="164" fontId="34" fillId="0" borderId="0" xfId="4" applyNumberFormat="1" applyFont="1" applyFill="1" applyBorder="1" applyAlignment="1" applyProtection="1">
      <alignment vertical="center"/>
      <protection hidden="1"/>
    </xf>
    <xf numFmtId="164" fontId="34" fillId="0" borderId="0" xfId="4" applyNumberFormat="1" applyFont="1" applyFill="1" applyBorder="1" applyAlignment="1" applyProtection="1">
      <alignment horizontal="right" vertical="center"/>
      <protection hidden="1"/>
    </xf>
    <xf numFmtId="0" fontId="30" fillId="5" borderId="0" xfId="0" applyFont="1" applyFill="1" applyAlignment="1" applyProtection="1">
      <alignment vertical="center"/>
      <protection hidden="1"/>
    </xf>
    <xf numFmtId="168" fontId="29" fillId="10" borderId="0" xfId="0" applyNumberFormat="1" applyFont="1" applyFill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left" vertical="center"/>
      <protection hidden="1"/>
    </xf>
    <xf numFmtId="164" fontId="29" fillId="0" borderId="0" xfId="0" applyNumberFormat="1" applyFont="1" applyAlignment="1" applyProtection="1">
      <alignment horizontal="right" vertical="center"/>
      <protection hidden="1"/>
    </xf>
    <xf numFmtId="0" fontId="29" fillId="0" borderId="0" xfId="0" applyFont="1" applyAlignment="1" applyProtection="1">
      <alignment horizontal="left" vertical="center" indent="2"/>
      <protection hidden="1"/>
    </xf>
    <xf numFmtId="168" fontId="36" fillId="0" borderId="0" xfId="0" applyNumberFormat="1" applyFont="1" applyAlignment="1" applyProtection="1">
      <alignment horizontal="right" vertical="center"/>
      <protection hidden="1"/>
    </xf>
    <xf numFmtId="174" fontId="36" fillId="0" borderId="0" xfId="0" applyNumberFormat="1" applyFont="1" applyAlignment="1" applyProtection="1">
      <alignment horizontal="right" vertical="center"/>
      <protection hidden="1"/>
    </xf>
    <xf numFmtId="43" fontId="36" fillId="0" borderId="0" xfId="1" applyFont="1" applyBorder="1" applyAlignment="1" applyProtection="1">
      <alignment horizontal="right" vertical="center"/>
      <protection hidden="1"/>
    </xf>
    <xf numFmtId="165" fontId="29" fillId="10" borderId="0" xfId="0" applyNumberFormat="1" applyFont="1" applyFill="1" applyAlignment="1" applyProtection="1">
      <alignment horizontal="center" vertical="center"/>
      <protection hidden="1"/>
    </xf>
    <xf numFmtId="9" fontId="35" fillId="0" borderId="0" xfId="0" applyNumberFormat="1" applyFont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indent="1"/>
      <protection hidden="1"/>
    </xf>
    <xf numFmtId="164" fontId="36" fillId="0" borderId="0" xfId="4" applyNumberFormat="1" applyFont="1" applyFill="1" applyBorder="1" applyAlignment="1" applyProtection="1">
      <alignment vertical="center"/>
      <protection hidden="1"/>
    </xf>
    <xf numFmtId="164" fontId="36" fillId="0" borderId="0" xfId="4" applyNumberFormat="1" applyFont="1" applyFill="1" applyBorder="1" applyAlignment="1" applyProtection="1">
      <alignment horizontal="right" vertical="center"/>
      <protection hidden="1"/>
    </xf>
    <xf numFmtId="164" fontId="46" fillId="0" borderId="0" xfId="0" applyNumberFormat="1" applyFont="1" applyAlignment="1" applyProtection="1">
      <alignment horizontal="right" vertical="center"/>
      <protection hidden="1"/>
    </xf>
    <xf numFmtId="164" fontId="32" fillId="0" borderId="0" xfId="4" applyNumberFormat="1" applyFont="1" applyFill="1" applyBorder="1" applyAlignment="1" applyProtection="1">
      <alignment horizontal="right" vertical="center"/>
      <protection hidden="1"/>
    </xf>
    <xf numFmtId="164" fontId="36" fillId="0" borderId="0" xfId="1" applyNumberFormat="1" applyFont="1" applyBorder="1" applyAlignment="1" applyProtection="1">
      <alignment horizontal="right" vertical="center"/>
      <protection hidden="1"/>
    </xf>
    <xf numFmtId="164" fontId="32" fillId="0" borderId="0" xfId="1" applyNumberFormat="1" applyFont="1" applyFill="1" applyBorder="1" applyAlignment="1" applyProtection="1">
      <alignment vertical="center"/>
      <protection hidden="1"/>
    </xf>
    <xf numFmtId="164" fontId="37" fillId="0" borderId="0" xfId="1" applyNumberFormat="1" applyFont="1" applyFill="1" applyBorder="1" applyAlignment="1" applyProtection="1">
      <alignment horizontal="right" vertical="center"/>
      <protection hidden="1"/>
    </xf>
    <xf numFmtId="0" fontId="29" fillId="5" borderId="0" xfId="0" applyFont="1" applyFill="1" applyAlignment="1" applyProtection="1">
      <alignment vertical="center"/>
      <protection hidden="1"/>
    </xf>
    <xf numFmtId="169" fontId="35" fillId="0" borderId="0" xfId="1" applyNumberFormat="1" applyFont="1" applyFill="1" applyBorder="1" applyAlignment="1" applyProtection="1">
      <alignment horizontal="center" vertical="center"/>
      <protection hidden="1"/>
    </xf>
    <xf numFmtId="164" fontId="30" fillId="0" borderId="0" xfId="1" applyNumberFormat="1" applyFont="1" applyFill="1" applyBorder="1" applyAlignment="1" applyProtection="1">
      <alignment vertical="center"/>
      <protection hidden="1"/>
    </xf>
    <xf numFmtId="164" fontId="32" fillId="0" borderId="0" xfId="1" applyNumberFormat="1" applyFont="1" applyFill="1" applyBorder="1" applyAlignment="1" applyProtection="1">
      <alignment horizontal="right" vertical="center"/>
      <protection hidden="1"/>
    </xf>
    <xf numFmtId="164" fontId="43" fillId="0" borderId="0" xfId="1" applyNumberFormat="1" applyFont="1" applyFill="1" applyBorder="1" applyAlignment="1" applyProtection="1">
      <alignment horizontal="right" vertical="center"/>
      <protection hidden="1"/>
    </xf>
    <xf numFmtId="164" fontId="30" fillId="0" borderId="0" xfId="1" applyNumberFormat="1" applyFont="1" applyBorder="1" applyAlignment="1" applyProtection="1">
      <alignment horizontal="right" vertical="center"/>
      <protection hidden="1"/>
    </xf>
    <xf numFmtId="9" fontId="38" fillId="0" borderId="0" xfId="0" applyNumberFormat="1" applyFont="1" applyAlignment="1" applyProtection="1">
      <alignment horizontal="center" vertical="center"/>
      <protection hidden="1"/>
    </xf>
    <xf numFmtId="9" fontId="30" fillId="10" borderId="0" xfId="2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vertical="center"/>
      <protection hidden="1"/>
    </xf>
    <xf numFmtId="164" fontId="44" fillId="0" borderId="0" xfId="4" applyNumberFormat="1" applyFont="1" applyFill="1" applyBorder="1" applyAlignment="1" applyProtection="1">
      <alignment vertical="center"/>
      <protection hidden="1"/>
    </xf>
    <xf numFmtId="3" fontId="43" fillId="0" borderId="0" xfId="0" applyNumberFormat="1" applyFont="1" applyAlignment="1" applyProtection="1">
      <alignment horizontal="right" vertical="center" wrapText="1"/>
      <protection hidden="1"/>
    </xf>
    <xf numFmtId="3" fontId="44" fillId="0" borderId="0" xfId="0" applyNumberFormat="1" applyFont="1" applyAlignment="1" applyProtection="1">
      <alignment horizontal="right" vertical="center" wrapText="1"/>
      <protection hidden="1"/>
    </xf>
    <xf numFmtId="165" fontId="30" fillId="10" borderId="0" xfId="0" applyNumberFormat="1" applyFont="1" applyFill="1" applyAlignment="1" applyProtection="1">
      <alignment horizontal="center" vertical="center"/>
      <protection hidden="1"/>
    </xf>
    <xf numFmtId="164" fontId="30" fillId="4" borderId="0" xfId="1" applyNumberFormat="1" applyFont="1" applyFill="1" applyBorder="1" applyAlignment="1" applyProtection="1">
      <alignment vertical="center"/>
      <protection hidden="1"/>
    </xf>
    <xf numFmtId="164" fontId="30" fillId="4" borderId="0" xfId="1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vertical="center"/>
      <protection hidden="1"/>
    </xf>
    <xf numFmtId="0" fontId="36" fillId="0" borderId="0" xfId="0" applyFont="1" applyAlignment="1" applyProtection="1">
      <alignment horizontal="right" vertical="center"/>
      <protection hidden="1"/>
    </xf>
    <xf numFmtId="164" fontId="36" fillId="0" borderId="0" xfId="0" applyNumberFormat="1" applyFont="1" applyAlignment="1" applyProtection="1">
      <alignment horizontal="right" vertical="center"/>
      <protection hidden="1"/>
    </xf>
    <xf numFmtId="164" fontId="29" fillId="0" borderId="0" xfId="1" applyNumberFormat="1" applyFont="1" applyBorder="1" applyAlignment="1" applyProtection="1">
      <alignment horizontal="right" vertical="center"/>
      <protection hidden="1"/>
    </xf>
    <xf numFmtId="0" fontId="36" fillId="5" borderId="0" xfId="0" applyFont="1" applyFill="1" applyAlignment="1" applyProtection="1">
      <alignment vertical="center"/>
      <protection hidden="1"/>
    </xf>
    <xf numFmtId="0" fontId="36" fillId="5" borderId="0" xfId="0" applyFont="1" applyFill="1" applyAlignment="1" applyProtection="1">
      <alignment horizontal="right" vertical="center"/>
      <protection hidden="1"/>
    </xf>
    <xf numFmtId="183" fontId="36" fillId="5" borderId="0" xfId="0" applyNumberFormat="1" applyFont="1" applyFill="1" applyAlignment="1" applyProtection="1">
      <alignment horizontal="right" vertical="center"/>
      <protection hidden="1"/>
    </xf>
    <xf numFmtId="173" fontId="36" fillId="5" borderId="0" xfId="0" applyNumberFormat="1" applyFont="1" applyFill="1" applyAlignment="1" applyProtection="1">
      <alignment horizontal="right" vertical="center"/>
      <protection hidden="1"/>
    </xf>
    <xf numFmtId="44" fontId="29" fillId="0" borderId="0" xfId="0" applyNumberFormat="1" applyFont="1" applyAlignment="1" applyProtection="1">
      <alignment horizontal="right" vertical="center"/>
      <protection hidden="1"/>
    </xf>
    <xf numFmtId="0" fontId="29" fillId="2" borderId="0" xfId="0" applyFont="1" applyFill="1" applyAlignment="1" applyProtection="1">
      <alignment vertical="center"/>
      <protection hidden="1"/>
    </xf>
    <xf numFmtId="1" fontId="29" fillId="10" borderId="0" xfId="0" applyNumberFormat="1" applyFont="1" applyFill="1" applyAlignment="1" applyProtection="1">
      <alignment horizontal="center" vertical="center"/>
      <protection hidden="1"/>
    </xf>
    <xf numFmtId="3" fontId="38" fillId="0" borderId="0" xfId="0" applyNumberFormat="1" applyFont="1" applyAlignment="1" applyProtection="1">
      <alignment horizontal="right" vertical="center"/>
      <protection hidden="1"/>
    </xf>
    <xf numFmtId="3" fontId="29" fillId="0" borderId="0" xfId="0" applyNumberFormat="1" applyFont="1" applyAlignment="1" applyProtection="1">
      <alignment horizontal="right" vertical="center"/>
      <protection hidden="1"/>
    </xf>
    <xf numFmtId="3" fontId="33" fillId="0" borderId="0" xfId="0" applyNumberFormat="1" applyFont="1" applyAlignment="1" applyProtection="1">
      <alignment vertical="center"/>
      <protection hidden="1"/>
    </xf>
    <xf numFmtId="3" fontId="29" fillId="0" borderId="0" xfId="0" applyNumberFormat="1" applyFont="1" applyAlignment="1" applyProtection="1">
      <alignment vertical="center"/>
      <protection hidden="1"/>
    </xf>
    <xf numFmtId="164" fontId="29" fillId="10" borderId="0" xfId="1" applyNumberFormat="1" applyFont="1" applyFill="1" applyBorder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left" vertical="center" indent="1"/>
      <protection hidden="1"/>
    </xf>
    <xf numFmtId="179" fontId="29" fillId="0" borderId="0" xfId="0" applyNumberFormat="1" applyFont="1" applyAlignment="1" applyProtection="1">
      <alignment vertical="center"/>
      <protection hidden="1"/>
    </xf>
    <xf numFmtId="176" fontId="29" fillId="0" borderId="0" xfId="0" applyNumberFormat="1" applyFont="1" applyAlignment="1" applyProtection="1">
      <alignment vertical="center"/>
      <protection hidden="1"/>
    </xf>
    <xf numFmtId="43" fontId="29" fillId="0" borderId="0" xfId="1" applyFont="1" applyFill="1" applyBorder="1" applyAlignment="1" applyProtection="1">
      <alignment horizontal="center" vertical="center"/>
      <protection hidden="1"/>
    </xf>
    <xf numFmtId="165" fontId="29" fillId="0" borderId="0" xfId="2" applyNumberFormat="1" applyFont="1" applyFill="1" applyBorder="1" applyAlignment="1" applyProtection="1">
      <alignment vertical="center"/>
      <protection hidden="1"/>
    </xf>
    <xf numFmtId="10" fontId="33" fillId="0" borderId="0" xfId="2" applyNumberFormat="1" applyFont="1" applyFill="1" applyBorder="1" applyAlignment="1" applyProtection="1">
      <alignment vertical="center"/>
      <protection hidden="1"/>
    </xf>
    <xf numFmtId="167" fontId="28" fillId="3" borderId="30" xfId="0" applyNumberFormat="1" applyFont="1" applyFill="1" applyBorder="1" applyAlignment="1" applyProtection="1">
      <alignment horizontal="left" vertical="center"/>
      <protection hidden="1"/>
    </xf>
    <xf numFmtId="167" fontId="28" fillId="3" borderId="31" xfId="0" applyNumberFormat="1" applyFont="1" applyFill="1" applyBorder="1" applyAlignment="1" applyProtection="1">
      <alignment horizontal="left" vertical="center"/>
      <protection hidden="1"/>
    </xf>
    <xf numFmtId="167" fontId="28" fillId="3" borderId="41" xfId="0" applyNumberFormat="1" applyFont="1" applyFill="1" applyBorder="1" applyAlignment="1" applyProtection="1">
      <alignment horizontal="center" vertical="center"/>
      <protection hidden="1"/>
    </xf>
    <xf numFmtId="167" fontId="28" fillId="3" borderId="31" xfId="0" applyNumberFormat="1" applyFont="1" applyFill="1" applyBorder="1" applyAlignment="1" applyProtection="1">
      <alignment horizontal="center" vertical="center"/>
      <protection hidden="1"/>
    </xf>
    <xf numFmtId="167" fontId="28" fillId="3" borderId="32" xfId="0" applyNumberFormat="1" applyFont="1" applyFill="1" applyBorder="1" applyAlignment="1" applyProtection="1">
      <alignment horizontal="center" vertical="center"/>
      <protection hidden="1"/>
    </xf>
    <xf numFmtId="0" fontId="30" fillId="0" borderId="33" xfId="0" applyFont="1" applyBorder="1" applyAlignment="1" applyProtection="1">
      <alignment vertical="center"/>
      <protection hidden="1"/>
    </xf>
    <xf numFmtId="38" fontId="29" fillId="2" borderId="0" xfId="0" applyNumberFormat="1" applyFont="1" applyFill="1" applyAlignment="1" applyProtection="1">
      <alignment vertical="center"/>
      <protection hidden="1"/>
    </xf>
    <xf numFmtId="164" fontId="34" fillId="0" borderId="34" xfId="4" applyNumberFormat="1" applyFont="1" applyFill="1" applyBorder="1" applyAlignment="1" applyProtection="1">
      <alignment horizontal="right" vertical="center"/>
      <protection hidden="1"/>
    </xf>
    <xf numFmtId="38" fontId="29" fillId="2" borderId="34" xfId="0" applyNumberFormat="1" applyFont="1" applyFill="1" applyBorder="1" applyAlignment="1" applyProtection="1">
      <alignment vertical="center"/>
      <protection hidden="1"/>
    </xf>
    <xf numFmtId="0" fontId="29" fillId="6" borderId="0" xfId="0" applyFont="1" applyFill="1" applyAlignment="1" applyProtection="1">
      <alignment vertical="center"/>
      <protection hidden="1"/>
    </xf>
    <xf numFmtId="0" fontId="30" fillId="0" borderId="35" xfId="0" applyFont="1" applyBorder="1" applyAlignment="1" applyProtection="1">
      <alignment vertical="center"/>
      <protection hidden="1"/>
    </xf>
    <xf numFmtId="0" fontId="30" fillId="0" borderId="36" xfId="0" applyFont="1" applyBorder="1" applyAlignment="1" applyProtection="1">
      <alignment vertical="center"/>
      <protection hidden="1"/>
    </xf>
    <xf numFmtId="38" fontId="30" fillId="0" borderId="36" xfId="0" applyNumberFormat="1" applyFont="1" applyBorder="1" applyAlignment="1" applyProtection="1">
      <alignment vertical="center"/>
      <protection hidden="1"/>
    </xf>
    <xf numFmtId="38" fontId="30" fillId="0" borderId="37" xfId="0" applyNumberFormat="1" applyFont="1" applyBorder="1" applyAlignment="1" applyProtection="1">
      <alignment vertical="center"/>
      <protection hidden="1"/>
    </xf>
    <xf numFmtId="0" fontId="30" fillId="0" borderId="7" xfId="0" applyFont="1" applyBorder="1" applyAlignment="1" applyProtection="1">
      <alignment vertical="center"/>
      <protection hidden="1"/>
    </xf>
    <xf numFmtId="38" fontId="29" fillId="0" borderId="8" xfId="0" applyNumberFormat="1" applyFont="1" applyBorder="1" applyAlignment="1" applyProtection="1">
      <alignment vertical="center"/>
      <protection hidden="1"/>
    </xf>
    <xf numFmtId="38" fontId="29" fillId="0" borderId="0" xfId="0" applyNumberFormat="1" applyFont="1" applyAlignment="1" applyProtection="1">
      <alignment vertical="center"/>
      <protection hidden="1"/>
    </xf>
    <xf numFmtId="0" fontId="30" fillId="0" borderId="12" xfId="0" applyFont="1" applyBorder="1" applyAlignment="1" applyProtection="1">
      <alignment vertical="center"/>
      <protection hidden="1"/>
    </xf>
    <xf numFmtId="0" fontId="29" fillId="0" borderId="1" xfId="0" applyFont="1" applyBorder="1" applyAlignment="1" applyProtection="1">
      <alignment vertical="center"/>
      <protection hidden="1"/>
    </xf>
    <xf numFmtId="165" fontId="30" fillId="0" borderId="13" xfId="0" applyNumberFormat="1" applyFont="1" applyBorder="1" applyAlignment="1" applyProtection="1">
      <alignment vertical="center"/>
      <protection hidden="1"/>
    </xf>
    <xf numFmtId="165" fontId="30" fillId="0" borderId="0" xfId="0" applyNumberFormat="1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66" fontId="6" fillId="3" borderId="0" xfId="0" applyNumberFormat="1" applyFont="1" applyFill="1" applyAlignment="1" applyProtection="1">
      <alignment horizontal="left" vertical="center"/>
      <protection hidden="1"/>
    </xf>
    <xf numFmtId="166" fontId="6" fillId="3" borderId="0" xfId="0" applyNumberFormat="1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9" fontId="10" fillId="0" borderId="0" xfId="2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 applyProtection="1">
      <alignment vertical="center"/>
      <protection hidden="1"/>
    </xf>
    <xf numFmtId="164" fontId="10" fillId="0" borderId="0" xfId="1" applyNumberFormat="1" applyFont="1" applyFill="1" applyBorder="1" applyAlignment="1" applyProtection="1">
      <alignment horizontal="right" vertical="center"/>
      <protection hidden="1"/>
    </xf>
    <xf numFmtId="165" fontId="29" fillId="10" borderId="25" xfId="0" applyNumberFormat="1" applyFont="1" applyFill="1" applyBorder="1" applyAlignment="1" applyProtection="1">
      <alignment vertical="center"/>
      <protection hidden="1"/>
    </xf>
    <xf numFmtId="164" fontId="1" fillId="0" borderId="0" xfId="1" applyNumberFormat="1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164" fontId="4" fillId="0" borderId="0" xfId="1" applyNumberFormat="1" applyFont="1" applyBorder="1" applyAlignment="1" applyProtection="1">
      <alignment horizontal="center" vertical="center"/>
      <protection hidden="1"/>
    </xf>
    <xf numFmtId="164" fontId="4" fillId="0" borderId="0" xfId="1" applyNumberFormat="1" applyFont="1" applyBorder="1" applyAlignment="1" applyProtection="1">
      <alignment horizontal="left" vertical="center"/>
      <protection hidden="1"/>
    </xf>
    <xf numFmtId="164" fontId="5" fillId="0" borderId="0" xfId="1" applyNumberFormat="1" applyFont="1" applyBorder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164" fontId="5" fillId="0" borderId="0" xfId="1" applyNumberFormat="1" applyFont="1" applyFill="1" applyBorder="1" applyAlignment="1" applyProtection="1">
      <alignment horizontal="right" vertical="center"/>
      <protection hidden="1"/>
    </xf>
    <xf numFmtId="164" fontId="64" fillId="0" borderId="0" xfId="1" applyNumberFormat="1" applyFont="1" applyBorder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 indent="1"/>
      <protection hidden="1"/>
    </xf>
    <xf numFmtId="164" fontId="5" fillId="0" borderId="0" xfId="1" applyNumberFormat="1" applyFont="1" applyFill="1" applyBorder="1" applyAlignment="1" applyProtection="1">
      <alignment vertical="center"/>
      <protection hidden="1"/>
    </xf>
    <xf numFmtId="164" fontId="5" fillId="5" borderId="0" xfId="1" applyNumberFormat="1" applyFont="1" applyFill="1" applyBorder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 indent="2"/>
      <protection hidden="1"/>
    </xf>
    <xf numFmtId="41" fontId="5" fillId="0" borderId="0" xfId="4" applyFont="1" applyFill="1" applyBorder="1" applyAlignment="1" applyProtection="1">
      <alignment horizontal="right" vertical="center"/>
      <protection hidden="1"/>
    </xf>
    <xf numFmtId="0" fontId="1" fillId="5" borderId="0" xfId="0" applyFont="1" applyFill="1" applyAlignment="1" applyProtection="1">
      <alignment vertical="center"/>
      <protection hidden="1"/>
    </xf>
    <xf numFmtId="0" fontId="5" fillId="5" borderId="0" xfId="0" applyFont="1" applyFill="1" applyAlignment="1" applyProtection="1">
      <alignment vertical="center"/>
      <protection hidden="1"/>
    </xf>
    <xf numFmtId="0" fontId="65" fillId="5" borderId="0" xfId="0" applyFont="1" applyFill="1" applyAlignment="1" applyProtection="1">
      <alignment horizontal="left" vertical="center" indent="1"/>
      <protection hidden="1"/>
    </xf>
    <xf numFmtId="0" fontId="0" fillId="5" borderId="0" xfId="0" applyFill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164" fontId="4" fillId="0" borderId="0" xfId="1" applyNumberFormat="1" applyFont="1" applyBorder="1" applyAlignment="1" applyProtection="1">
      <alignment vertical="center"/>
      <protection hidden="1"/>
    </xf>
    <xf numFmtId="3" fontId="1" fillId="0" borderId="0" xfId="0" applyNumberFormat="1" applyFont="1" applyAlignment="1" applyProtection="1">
      <alignment horizontal="right" vertical="center"/>
      <protection hidden="1"/>
    </xf>
    <xf numFmtId="3" fontId="5" fillId="0" borderId="0" xfId="0" applyNumberFormat="1" applyFont="1" applyAlignment="1" applyProtection="1">
      <alignment horizontal="right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41" fontId="5" fillId="4" borderId="0" xfId="4" applyFont="1" applyFill="1" applyBorder="1" applyAlignment="1" applyProtection="1">
      <alignment horizontal="right" vertical="center"/>
      <protection hidden="1"/>
    </xf>
    <xf numFmtId="41" fontId="4" fillId="4" borderId="0" xfId="4" applyFont="1" applyFill="1" applyBorder="1" applyAlignment="1" applyProtection="1">
      <alignment horizontal="right" vertical="center"/>
      <protection hidden="1"/>
    </xf>
    <xf numFmtId="164" fontId="5" fillId="5" borderId="0" xfId="4" applyNumberFormat="1" applyFont="1" applyFill="1" applyBorder="1" applyAlignment="1" applyProtection="1">
      <alignment horizontal="right" vertical="center"/>
      <protection hidden="1"/>
    </xf>
    <xf numFmtId="0" fontId="5" fillId="4" borderId="0" xfId="0" applyFont="1" applyFill="1" applyAlignment="1" applyProtection="1">
      <alignment vertical="center"/>
      <protection hidden="1"/>
    </xf>
    <xf numFmtId="3" fontId="4" fillId="4" borderId="0" xfId="0" applyNumberFormat="1" applyFont="1" applyFill="1" applyAlignment="1" applyProtection="1">
      <alignment horizontal="right" vertical="center"/>
      <protection hidden="1"/>
    </xf>
    <xf numFmtId="0" fontId="41" fillId="0" borderId="0" xfId="0" applyFont="1" applyAlignment="1" applyProtection="1">
      <alignment vertical="center"/>
      <protection hidden="1"/>
    </xf>
    <xf numFmtId="0" fontId="42" fillId="0" borderId="0" xfId="0" applyFont="1" applyAlignment="1" applyProtection="1">
      <alignment vertical="center"/>
      <protection hidden="1"/>
    </xf>
    <xf numFmtId="0" fontId="6" fillId="3" borderId="0" xfId="0" applyFont="1" applyFill="1" applyAlignment="1" applyProtection="1">
      <alignment vertical="center"/>
      <protection hidden="1"/>
    </xf>
    <xf numFmtId="164" fontId="6" fillId="3" borderId="0" xfId="1" applyNumberFormat="1" applyFont="1" applyFill="1" applyBorder="1" applyAlignment="1" applyProtection="1">
      <alignment vertical="center"/>
      <protection hidden="1"/>
    </xf>
    <xf numFmtId="0" fontId="11" fillId="0" borderId="0" xfId="0" applyFont="1" applyAlignment="1" applyProtection="1">
      <alignment horizontal="left" vertical="center" indent="1"/>
      <protection hidden="1"/>
    </xf>
    <xf numFmtId="164" fontId="11" fillId="0" borderId="0" xfId="1" applyNumberFormat="1" applyFont="1" applyBorder="1" applyAlignment="1" applyProtection="1">
      <alignment vertical="center"/>
      <protection hidden="1"/>
    </xf>
    <xf numFmtId="164" fontId="11" fillId="0" borderId="0" xfId="1" applyNumberFormat="1" applyFont="1" applyFill="1" applyBorder="1" applyAlignment="1" applyProtection="1">
      <alignment vertical="center"/>
      <protection hidden="1"/>
    </xf>
    <xf numFmtId="41" fontId="11" fillId="0" borderId="0" xfId="4" applyFont="1" applyFill="1" applyBorder="1" applyAlignment="1" applyProtection="1">
      <alignment horizontal="right" vertical="center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12" fillId="3" borderId="0" xfId="0" applyNumberFormat="1" applyFont="1" applyFill="1" applyAlignment="1" applyProtection="1">
      <alignment vertical="center"/>
      <protection hidden="1"/>
    </xf>
    <xf numFmtId="41" fontId="6" fillId="7" borderId="0" xfId="4" applyFont="1" applyFill="1" applyBorder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left" vertical="center" indent="1"/>
      <protection hidden="1"/>
    </xf>
    <xf numFmtId="164" fontId="11" fillId="5" borderId="0" xfId="0" applyNumberFormat="1" applyFont="1" applyFill="1" applyAlignment="1" applyProtection="1">
      <alignment vertical="center"/>
      <protection hidden="1"/>
    </xf>
    <xf numFmtId="166" fontId="28" fillId="3" borderId="10" xfId="0" applyNumberFormat="1" applyFont="1" applyFill="1" applyBorder="1" applyAlignment="1" applyProtection="1">
      <alignment horizontal="center" vertical="center"/>
      <protection hidden="1"/>
    </xf>
    <xf numFmtId="1" fontId="28" fillId="3" borderId="10" xfId="0" applyNumberFormat="1" applyFont="1" applyFill="1" applyBorder="1" applyAlignment="1" applyProtection="1">
      <alignment horizontal="center" vertical="center"/>
      <protection hidden="1"/>
    </xf>
    <xf numFmtId="166" fontId="28" fillId="3" borderId="1" xfId="0" applyNumberFormat="1" applyFont="1" applyFill="1" applyBorder="1" applyAlignment="1" applyProtection="1">
      <alignment horizontal="center" vertical="center"/>
      <protection hidden="1"/>
    </xf>
    <xf numFmtId="1" fontId="28" fillId="3" borderId="11" xfId="0" applyNumberFormat="1" applyFont="1" applyFill="1" applyBorder="1" applyAlignment="1" applyProtection="1">
      <alignment horizontal="center" vertical="center"/>
      <protection hidden="1"/>
    </xf>
    <xf numFmtId="164" fontId="30" fillId="10" borderId="0" xfId="1" applyNumberFormat="1" applyFont="1" applyFill="1" applyBorder="1" applyAlignment="1" applyProtection="1">
      <alignment vertical="center"/>
      <protection hidden="1"/>
    </xf>
    <xf numFmtId="164" fontId="30" fillId="10" borderId="8" xfId="1" applyNumberFormat="1" applyFont="1" applyFill="1" applyBorder="1" applyAlignment="1" applyProtection="1">
      <alignment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164" fontId="30" fillId="5" borderId="0" xfId="0" applyNumberFormat="1" applyFont="1" applyFill="1" applyAlignment="1" applyProtection="1">
      <alignment vertical="center"/>
      <protection hidden="1"/>
    </xf>
    <xf numFmtId="0" fontId="30" fillId="4" borderId="12" xfId="0" applyFont="1" applyFill="1" applyBorder="1" applyAlignment="1" applyProtection="1">
      <alignment vertical="center"/>
      <protection hidden="1"/>
    </xf>
    <xf numFmtId="0" fontId="30" fillId="4" borderId="1" xfId="0" applyFont="1" applyFill="1" applyBorder="1" applyAlignment="1" applyProtection="1">
      <alignment vertical="center"/>
      <protection hidden="1"/>
    </xf>
    <xf numFmtId="164" fontId="30" fillId="4" borderId="1" xfId="1" applyNumberFormat="1" applyFont="1" applyFill="1" applyBorder="1" applyAlignment="1" applyProtection="1">
      <alignment vertical="center"/>
      <protection hidden="1"/>
    </xf>
    <xf numFmtId="164" fontId="30" fillId="4" borderId="13" xfId="1" applyNumberFormat="1" applyFont="1" applyFill="1" applyBorder="1" applyAlignment="1" applyProtection="1">
      <alignment vertical="center"/>
      <protection hidden="1"/>
    </xf>
    <xf numFmtId="0" fontId="34" fillId="2" borderId="7" xfId="0" applyFont="1" applyFill="1" applyBorder="1" applyAlignment="1" applyProtection="1">
      <alignment vertical="center"/>
      <protection hidden="1"/>
    </xf>
    <xf numFmtId="170" fontId="30" fillId="5" borderId="0" xfId="0" applyNumberFormat="1" applyFont="1" applyFill="1" applyAlignment="1" applyProtection="1">
      <alignment vertical="center"/>
      <protection hidden="1"/>
    </xf>
    <xf numFmtId="164" fontId="34" fillId="10" borderId="0" xfId="1" applyNumberFormat="1" applyFont="1" applyFill="1" applyBorder="1" applyAlignment="1" applyProtection="1">
      <alignment vertical="center"/>
      <protection hidden="1"/>
    </xf>
    <xf numFmtId="164" fontId="34" fillId="10" borderId="8" xfId="1" applyNumberFormat="1" applyFont="1" applyFill="1" applyBorder="1" applyAlignment="1" applyProtection="1">
      <alignment vertical="center"/>
      <protection hidden="1"/>
    </xf>
    <xf numFmtId="170" fontId="29" fillId="5" borderId="7" xfId="0" applyNumberFormat="1" applyFont="1" applyFill="1" applyBorder="1" applyAlignment="1" applyProtection="1">
      <alignment vertical="center"/>
      <protection hidden="1"/>
    </xf>
    <xf numFmtId="170" fontId="29" fillId="5" borderId="0" xfId="0" applyNumberFormat="1" applyFont="1" applyFill="1" applyAlignment="1" applyProtection="1">
      <alignment vertical="center"/>
      <protection hidden="1"/>
    </xf>
    <xf numFmtId="38" fontId="29" fillId="0" borderId="0" xfId="1" applyNumberFormat="1" applyFont="1" applyFill="1" applyBorder="1" applyAlignment="1" applyProtection="1">
      <alignment vertical="center"/>
      <protection hidden="1"/>
    </xf>
    <xf numFmtId="0" fontId="30" fillId="2" borderId="0" xfId="0" applyFont="1" applyFill="1" applyAlignment="1" applyProtection="1">
      <alignment vertical="center"/>
      <protection hidden="1"/>
    </xf>
    <xf numFmtId="38" fontId="30" fillId="2" borderId="0" xfId="1" applyNumberFormat="1" applyFont="1" applyFill="1" applyBorder="1" applyAlignment="1" applyProtection="1">
      <alignment vertical="center"/>
      <protection hidden="1"/>
    </xf>
    <xf numFmtId="0" fontId="29" fillId="2" borderId="7" xfId="0" applyFont="1" applyFill="1" applyBorder="1" applyAlignment="1" applyProtection="1">
      <alignment vertical="center"/>
      <protection hidden="1"/>
    </xf>
    <xf numFmtId="38" fontId="32" fillId="0" borderId="0" xfId="1" applyNumberFormat="1" applyFont="1" applyFill="1" applyBorder="1" applyAlignment="1" applyProtection="1">
      <alignment vertical="center"/>
      <protection hidden="1"/>
    </xf>
    <xf numFmtId="0" fontId="34" fillId="4" borderId="7" xfId="0" applyFont="1" applyFill="1" applyBorder="1" applyAlignment="1" applyProtection="1">
      <alignment vertical="center"/>
      <protection hidden="1"/>
    </xf>
    <xf numFmtId="0" fontId="34" fillId="4" borderId="0" xfId="0" applyFont="1" applyFill="1" applyAlignment="1" applyProtection="1">
      <alignment vertical="center"/>
      <protection hidden="1"/>
    </xf>
    <xf numFmtId="38" fontId="34" fillId="4" borderId="0" xfId="1" applyNumberFormat="1" applyFont="1" applyFill="1" applyBorder="1" applyAlignment="1" applyProtection="1">
      <alignment vertical="center"/>
      <protection hidden="1"/>
    </xf>
    <xf numFmtId="38" fontId="34" fillId="4" borderId="8" xfId="1" applyNumberFormat="1" applyFont="1" applyFill="1" applyBorder="1" applyAlignment="1" applyProtection="1">
      <alignment vertical="center"/>
      <protection hidden="1"/>
    </xf>
    <xf numFmtId="0" fontId="29" fillId="2" borderId="7" xfId="0" applyFont="1" applyFill="1" applyBorder="1" applyAlignment="1" applyProtection="1">
      <alignment horizontal="left" vertical="center" indent="1"/>
      <protection hidden="1"/>
    </xf>
    <xf numFmtId="164" fontId="32" fillId="0" borderId="0" xfId="1" applyNumberFormat="1" applyFont="1" applyBorder="1" applyAlignment="1" applyProtection="1">
      <alignment vertical="center"/>
      <protection hidden="1"/>
    </xf>
    <xf numFmtId="0" fontId="34" fillId="4" borderId="12" xfId="0" applyFont="1" applyFill="1" applyBorder="1" applyAlignment="1" applyProtection="1">
      <alignment vertical="center"/>
      <protection hidden="1"/>
    </xf>
    <xf numFmtId="0" fontId="34" fillId="4" borderId="1" xfId="0" applyFont="1" applyFill="1" applyBorder="1" applyAlignment="1" applyProtection="1">
      <alignment vertical="center"/>
      <protection hidden="1"/>
    </xf>
    <xf numFmtId="38" fontId="34" fillId="4" borderId="1" xfId="1" applyNumberFormat="1" applyFont="1" applyFill="1" applyBorder="1" applyAlignment="1" applyProtection="1">
      <alignment vertical="center"/>
      <protection hidden="1"/>
    </xf>
    <xf numFmtId="38" fontId="34" fillId="4" borderId="13" xfId="1" applyNumberFormat="1" applyFont="1" applyFill="1" applyBorder="1" applyAlignment="1" applyProtection="1">
      <alignment vertical="center"/>
      <protection hidden="1"/>
    </xf>
    <xf numFmtId="38" fontId="29" fillId="2" borderId="0" xfId="1" applyNumberFormat="1" applyFont="1" applyFill="1" applyBorder="1" applyAlignment="1" applyProtection="1">
      <alignment vertical="center"/>
      <protection hidden="1"/>
    </xf>
    <xf numFmtId="38" fontId="29" fillId="0" borderId="0" xfId="1" applyNumberFormat="1" applyFont="1" applyBorder="1" applyAlignment="1" applyProtection="1">
      <alignment vertical="center"/>
      <protection hidden="1"/>
    </xf>
    <xf numFmtId="38" fontId="34" fillId="2" borderId="0" xfId="1" applyNumberFormat="1" applyFont="1" applyFill="1" applyBorder="1" applyAlignment="1" applyProtection="1">
      <alignment vertical="center"/>
      <protection hidden="1"/>
    </xf>
    <xf numFmtId="0" fontId="30" fillId="4" borderId="7" xfId="0" applyFont="1" applyFill="1" applyBorder="1" applyAlignment="1" applyProtection="1">
      <alignment vertical="center"/>
      <protection hidden="1"/>
    </xf>
    <xf numFmtId="164" fontId="30" fillId="4" borderId="8" xfId="0" applyNumberFormat="1" applyFont="1" applyFill="1" applyBorder="1" applyAlignment="1" applyProtection="1">
      <alignment vertical="center"/>
      <protection hidden="1"/>
    </xf>
    <xf numFmtId="164" fontId="29" fillId="2" borderId="0" xfId="1" applyNumberFormat="1" applyFont="1" applyFill="1" applyBorder="1" applyAlignment="1" applyProtection="1">
      <alignment vertical="center"/>
      <protection hidden="1"/>
    </xf>
    <xf numFmtId="170" fontId="32" fillId="5" borderId="0" xfId="0" applyNumberFormat="1" applyFont="1" applyFill="1" applyAlignment="1" applyProtection="1">
      <alignment horizontal="center" vertical="center"/>
      <protection hidden="1"/>
    </xf>
    <xf numFmtId="170" fontId="32" fillId="10" borderId="0" xfId="0" applyNumberFormat="1" applyFont="1" applyFill="1" applyAlignment="1" applyProtection="1">
      <alignment horizontal="center" vertical="center"/>
      <protection hidden="1"/>
    </xf>
    <xf numFmtId="170" fontId="32" fillId="10" borderId="8" xfId="0" applyNumberFormat="1" applyFont="1" applyFill="1" applyBorder="1" applyAlignment="1" applyProtection="1">
      <alignment horizontal="center" vertical="center"/>
      <protection hidden="1"/>
    </xf>
    <xf numFmtId="0" fontId="29" fillId="4" borderId="7" xfId="0" applyFont="1" applyFill="1" applyBorder="1" applyAlignment="1" applyProtection="1">
      <alignment vertical="center"/>
      <protection hidden="1"/>
    </xf>
    <xf numFmtId="38" fontId="30" fillId="4" borderId="0" xfId="0" applyNumberFormat="1" applyFont="1" applyFill="1" applyAlignment="1" applyProtection="1">
      <alignment vertical="center"/>
      <protection hidden="1"/>
    </xf>
    <xf numFmtId="0" fontId="28" fillId="8" borderId="12" xfId="0" applyFont="1" applyFill="1" applyBorder="1" applyAlignment="1" applyProtection="1">
      <alignment vertical="center"/>
      <protection hidden="1"/>
    </xf>
    <xf numFmtId="0" fontId="28" fillId="8" borderId="1" xfId="0" applyFont="1" applyFill="1" applyBorder="1" applyAlignment="1" applyProtection="1">
      <alignment vertical="center"/>
      <protection hidden="1"/>
    </xf>
    <xf numFmtId="38" fontId="28" fillId="8" borderId="1" xfId="0" applyNumberFormat="1" applyFont="1" applyFill="1" applyBorder="1" applyAlignment="1" applyProtection="1">
      <alignment vertical="center"/>
      <protection hidden="1"/>
    </xf>
    <xf numFmtId="38" fontId="28" fillId="8" borderId="13" xfId="0" applyNumberFormat="1" applyFont="1" applyFill="1" applyBorder="1" applyAlignment="1" applyProtection="1">
      <alignment vertical="center"/>
      <protection hidden="1"/>
    </xf>
    <xf numFmtId="41" fontId="30" fillId="0" borderId="0" xfId="0" applyNumberFormat="1" applyFont="1" applyAlignment="1" applyProtection="1">
      <alignment vertical="center"/>
      <protection hidden="1"/>
    </xf>
    <xf numFmtId="41" fontId="44" fillId="0" borderId="0" xfId="0" applyNumberFormat="1" applyFont="1" applyAlignment="1" applyProtection="1">
      <alignment vertical="center"/>
      <protection hidden="1"/>
    </xf>
    <xf numFmtId="41" fontId="30" fillId="0" borderId="8" xfId="0" applyNumberFormat="1" applyFont="1" applyBorder="1" applyAlignment="1" applyProtection="1">
      <alignment vertical="center"/>
      <protection hidden="1"/>
    </xf>
    <xf numFmtId="41" fontId="29" fillId="0" borderId="0" xfId="4" applyFont="1" applyBorder="1" applyAlignment="1" applyProtection="1">
      <alignment vertical="center"/>
      <protection hidden="1"/>
    </xf>
    <xf numFmtId="41" fontId="29" fillId="0" borderId="8" xfId="4" applyFont="1" applyBorder="1" applyAlignment="1" applyProtection="1">
      <alignment vertical="center"/>
      <protection hidden="1"/>
    </xf>
    <xf numFmtId="41" fontId="29" fillId="0" borderId="0" xfId="0" applyNumberFormat="1" applyFont="1" applyAlignment="1" applyProtection="1">
      <alignment vertical="center"/>
      <protection hidden="1"/>
    </xf>
    <xf numFmtId="41" fontId="29" fillId="0" borderId="8" xfId="0" applyNumberFormat="1" applyFont="1" applyBorder="1" applyAlignment="1" applyProtection="1">
      <alignment vertical="center"/>
      <protection hidden="1"/>
    </xf>
    <xf numFmtId="0" fontId="30" fillId="9" borderId="12" xfId="0" applyFont="1" applyFill="1" applyBorder="1" applyAlignment="1" applyProtection="1">
      <alignment vertical="center"/>
      <protection hidden="1"/>
    </xf>
    <xf numFmtId="170" fontId="30" fillId="9" borderId="1" xfId="0" applyNumberFormat="1" applyFont="1" applyFill="1" applyBorder="1" applyAlignment="1" applyProtection="1">
      <alignment vertical="center"/>
      <protection hidden="1"/>
    </xf>
    <xf numFmtId="0" fontId="30" fillId="9" borderId="1" xfId="0" applyFont="1" applyFill="1" applyBorder="1" applyAlignment="1" applyProtection="1">
      <alignment vertical="center"/>
      <protection hidden="1"/>
    </xf>
    <xf numFmtId="41" fontId="29" fillId="9" borderId="1" xfId="0" applyNumberFormat="1" applyFont="1" applyFill="1" applyBorder="1" applyAlignment="1" applyProtection="1">
      <alignment vertical="center"/>
      <protection hidden="1"/>
    </xf>
    <xf numFmtId="37" fontId="30" fillId="9" borderId="1" xfId="0" applyNumberFormat="1" applyFont="1" applyFill="1" applyBorder="1" applyAlignment="1" applyProtection="1">
      <alignment vertical="center"/>
      <protection hidden="1"/>
    </xf>
    <xf numFmtId="37" fontId="30" fillId="9" borderId="13" xfId="0" applyNumberFormat="1" applyFont="1" applyFill="1" applyBorder="1" applyAlignment="1" applyProtection="1">
      <alignment vertical="center"/>
      <protection hidden="1"/>
    </xf>
    <xf numFmtId="170" fontId="34" fillId="5" borderId="7" xfId="0" applyNumberFormat="1" applyFont="1" applyFill="1" applyBorder="1" applyAlignment="1" applyProtection="1">
      <alignment vertical="center"/>
      <protection hidden="1"/>
    </xf>
    <xf numFmtId="170" fontId="32" fillId="5" borderId="0" xfId="0" applyNumberFormat="1" applyFont="1" applyFill="1" applyAlignment="1" applyProtection="1">
      <alignment vertical="center"/>
      <protection hidden="1"/>
    </xf>
    <xf numFmtId="170" fontId="32" fillId="10" borderId="0" xfId="0" applyNumberFormat="1" applyFont="1" applyFill="1" applyAlignment="1" applyProtection="1">
      <alignment vertical="center"/>
      <protection hidden="1"/>
    </xf>
    <xf numFmtId="0" fontId="32" fillId="0" borderId="0" xfId="0" applyFont="1" applyAlignment="1" applyProtection="1">
      <alignment vertical="center"/>
      <protection hidden="1"/>
    </xf>
    <xf numFmtId="170" fontId="32" fillId="10" borderId="8" xfId="0" applyNumberFormat="1" applyFont="1" applyFill="1" applyBorder="1" applyAlignment="1" applyProtection="1">
      <alignment vertical="center"/>
      <protection hidden="1"/>
    </xf>
    <xf numFmtId="170" fontId="32" fillId="5" borderId="7" xfId="0" applyNumberFormat="1" applyFont="1" applyFill="1" applyBorder="1" applyAlignment="1" applyProtection="1">
      <alignment vertical="center"/>
      <protection hidden="1"/>
    </xf>
    <xf numFmtId="170" fontId="37" fillId="5" borderId="0" xfId="0" applyNumberFormat="1" applyFont="1" applyFill="1" applyAlignment="1" applyProtection="1">
      <alignment vertical="center"/>
      <protection hidden="1"/>
    </xf>
    <xf numFmtId="175" fontId="32" fillId="10" borderId="0" xfId="0" applyNumberFormat="1" applyFont="1" applyFill="1" applyAlignment="1" applyProtection="1">
      <alignment vertical="center"/>
      <protection hidden="1"/>
    </xf>
    <xf numFmtId="175" fontId="32" fillId="5" borderId="0" xfId="0" applyNumberFormat="1" applyFont="1" applyFill="1" applyAlignment="1" applyProtection="1">
      <alignment horizontal="center" vertical="center"/>
      <protection hidden="1"/>
    </xf>
    <xf numFmtId="175" fontId="32" fillId="10" borderId="0" xfId="0" applyNumberFormat="1" applyFont="1" applyFill="1" applyAlignment="1" applyProtection="1">
      <alignment horizontal="center" vertical="center"/>
      <protection hidden="1"/>
    </xf>
    <xf numFmtId="175" fontId="32" fillId="10" borderId="8" xfId="0" applyNumberFormat="1" applyFont="1" applyFill="1" applyBorder="1" applyAlignment="1" applyProtection="1">
      <alignment horizontal="center" vertical="center"/>
      <protection hidden="1"/>
    </xf>
    <xf numFmtId="170" fontId="34" fillId="4" borderId="0" xfId="0" applyNumberFormat="1" applyFont="1" applyFill="1" applyAlignment="1" applyProtection="1">
      <alignment vertical="center"/>
      <protection hidden="1"/>
    </xf>
    <xf numFmtId="170" fontId="32" fillId="4" borderId="0" xfId="0" applyNumberFormat="1" applyFont="1" applyFill="1" applyAlignment="1" applyProtection="1">
      <alignment vertical="center"/>
      <protection hidden="1"/>
    </xf>
    <xf numFmtId="170" fontId="34" fillId="4" borderId="8" xfId="0" applyNumberFormat="1" applyFont="1" applyFill="1" applyBorder="1" applyAlignment="1" applyProtection="1">
      <alignment vertical="center"/>
      <protection hidden="1"/>
    </xf>
    <xf numFmtId="164" fontId="32" fillId="10" borderId="0" xfId="1" applyNumberFormat="1" applyFont="1" applyFill="1" applyBorder="1" applyAlignment="1" applyProtection="1">
      <alignment vertical="center"/>
      <protection hidden="1"/>
    </xf>
    <xf numFmtId="38" fontId="32" fillId="5" borderId="0" xfId="1" applyNumberFormat="1" applyFont="1" applyFill="1" applyBorder="1" applyAlignment="1" applyProtection="1">
      <alignment horizontal="center" vertical="center"/>
      <protection hidden="1"/>
    </xf>
    <xf numFmtId="38" fontId="32" fillId="10" borderId="0" xfId="1" applyNumberFormat="1" applyFont="1" applyFill="1" applyBorder="1" applyAlignment="1" applyProtection="1">
      <alignment horizontal="center" vertical="center"/>
      <protection hidden="1"/>
    </xf>
    <xf numFmtId="38" fontId="32" fillId="10" borderId="8" xfId="1" applyNumberFormat="1" applyFont="1" applyFill="1" applyBorder="1" applyAlignment="1" applyProtection="1">
      <alignment horizontal="center" vertical="center"/>
      <protection hidden="1"/>
    </xf>
    <xf numFmtId="38" fontId="32" fillId="10" borderId="0" xfId="1" applyNumberFormat="1" applyFont="1" applyFill="1" applyBorder="1" applyAlignment="1" applyProtection="1">
      <alignment horizontal="right" vertical="center"/>
      <protection hidden="1"/>
    </xf>
    <xf numFmtId="170" fontId="34" fillId="5" borderId="0" xfId="0" applyNumberFormat="1" applyFont="1" applyFill="1" applyAlignment="1" applyProtection="1">
      <alignment vertical="center"/>
      <protection hidden="1"/>
    </xf>
    <xf numFmtId="38" fontId="34" fillId="10" borderId="0" xfId="1" applyNumberFormat="1" applyFont="1" applyFill="1" applyBorder="1" applyAlignment="1" applyProtection="1">
      <alignment horizontal="right" vertical="center"/>
      <protection hidden="1"/>
    </xf>
    <xf numFmtId="38" fontId="34" fillId="5" borderId="0" xfId="1" applyNumberFormat="1" applyFont="1" applyFill="1" applyBorder="1" applyAlignment="1" applyProtection="1">
      <alignment horizontal="center" vertical="center"/>
      <protection hidden="1"/>
    </xf>
    <xf numFmtId="38" fontId="34" fillId="10" borderId="0" xfId="1" applyNumberFormat="1" applyFont="1" applyFill="1" applyBorder="1" applyAlignment="1" applyProtection="1">
      <alignment horizontal="center" vertical="center"/>
      <protection hidden="1"/>
    </xf>
    <xf numFmtId="38" fontId="34" fillId="10" borderId="8" xfId="1" applyNumberFormat="1" applyFont="1" applyFill="1" applyBorder="1" applyAlignment="1" applyProtection="1">
      <alignment horizontal="center" vertical="center"/>
      <protection hidden="1"/>
    </xf>
    <xf numFmtId="38" fontId="32" fillId="10" borderId="0" xfId="1" applyNumberFormat="1" applyFont="1" applyFill="1" applyBorder="1" applyAlignment="1" applyProtection="1">
      <alignment vertical="center"/>
      <protection hidden="1"/>
    </xf>
    <xf numFmtId="38" fontId="32" fillId="5" borderId="0" xfId="1" applyNumberFormat="1" applyFont="1" applyFill="1" applyBorder="1" applyAlignment="1" applyProtection="1">
      <alignment vertical="center"/>
      <protection hidden="1"/>
    </xf>
    <xf numFmtId="38" fontId="32" fillId="0" borderId="0" xfId="1" applyNumberFormat="1" applyFont="1" applyBorder="1" applyAlignment="1" applyProtection="1">
      <alignment vertical="center"/>
      <protection hidden="1"/>
    </xf>
    <xf numFmtId="38" fontId="32" fillId="10" borderId="8" xfId="1" applyNumberFormat="1" applyFont="1" applyFill="1" applyBorder="1" applyAlignment="1" applyProtection="1">
      <alignment vertical="center"/>
      <protection hidden="1"/>
    </xf>
    <xf numFmtId="3" fontId="28" fillId="3" borderId="7" xfId="0" applyNumberFormat="1" applyFont="1" applyFill="1" applyBorder="1" applyAlignment="1" applyProtection="1">
      <alignment horizontal="center" vertical="center" wrapText="1"/>
      <protection hidden="1"/>
    </xf>
    <xf numFmtId="3" fontId="28" fillId="3" borderId="0" xfId="0" applyNumberFormat="1" applyFont="1" applyFill="1" applyAlignment="1" applyProtection="1">
      <alignment horizontal="center" vertical="center" wrapText="1"/>
      <protection hidden="1"/>
    </xf>
    <xf numFmtId="10" fontId="28" fillId="3" borderId="8" xfId="0" applyNumberFormat="1" applyFont="1" applyFill="1" applyBorder="1" applyAlignment="1" applyProtection="1">
      <alignment horizontal="center" vertical="center" wrapText="1"/>
      <protection hidden="1"/>
    </xf>
    <xf numFmtId="171" fontId="28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28" xfId="0" applyFont="1" applyBorder="1" applyAlignment="1" applyProtection="1">
      <alignment horizontal="left" vertical="center" indent="1"/>
      <protection hidden="1"/>
    </xf>
    <xf numFmtId="171" fontId="34" fillId="16" borderId="7" xfId="0" applyNumberFormat="1" applyFont="1" applyFill="1" applyBorder="1" applyAlignment="1" applyProtection="1">
      <alignment vertical="center"/>
      <protection hidden="1"/>
    </xf>
    <xf numFmtId="3" fontId="32" fillId="16" borderId="0" xfId="0" applyNumberFormat="1" applyFont="1" applyFill="1" applyAlignment="1" applyProtection="1">
      <alignment vertical="center"/>
      <protection hidden="1"/>
    </xf>
    <xf numFmtId="10" fontId="32" fillId="16" borderId="8" xfId="0" applyNumberFormat="1" applyFont="1" applyFill="1" applyBorder="1" applyAlignment="1" applyProtection="1">
      <alignment vertical="center"/>
      <protection hidden="1"/>
    </xf>
    <xf numFmtId="164" fontId="36" fillId="4" borderId="7" xfId="1" applyNumberFormat="1" applyFont="1" applyFill="1" applyBorder="1" applyAlignment="1" applyProtection="1">
      <alignment vertical="center"/>
      <protection hidden="1"/>
    </xf>
    <xf numFmtId="3" fontId="32" fillId="4" borderId="0" xfId="0" applyNumberFormat="1" applyFont="1" applyFill="1" applyAlignment="1" applyProtection="1">
      <alignment vertical="center"/>
      <protection hidden="1"/>
    </xf>
    <xf numFmtId="165" fontId="32" fillId="4" borderId="8" xfId="0" applyNumberFormat="1" applyFont="1" applyFill="1" applyBorder="1" applyAlignment="1" applyProtection="1">
      <alignment vertical="center"/>
      <protection hidden="1"/>
    </xf>
    <xf numFmtId="164" fontId="36" fillId="16" borderId="7" xfId="1" applyNumberFormat="1" applyFont="1" applyFill="1" applyBorder="1" applyAlignment="1" applyProtection="1">
      <alignment vertical="center"/>
      <protection hidden="1"/>
    </xf>
    <xf numFmtId="164" fontId="36" fillId="16" borderId="0" xfId="1" applyNumberFormat="1" applyFont="1" applyFill="1" applyBorder="1" applyAlignment="1" applyProtection="1">
      <alignment vertical="center"/>
      <protection hidden="1"/>
    </xf>
    <xf numFmtId="164" fontId="36" fillId="16" borderId="8" xfId="1" applyNumberFormat="1" applyFont="1" applyFill="1" applyBorder="1" applyAlignment="1" applyProtection="1">
      <alignment vertical="center"/>
      <protection hidden="1"/>
    </xf>
    <xf numFmtId="171" fontId="34" fillId="4" borderId="7" xfId="0" applyNumberFormat="1" applyFont="1" applyFill="1" applyBorder="1" applyAlignment="1" applyProtection="1">
      <alignment vertical="center"/>
      <protection hidden="1"/>
    </xf>
    <xf numFmtId="165" fontId="29" fillId="4" borderId="8" xfId="0" applyNumberFormat="1" applyFont="1" applyFill="1" applyBorder="1" applyAlignment="1" applyProtection="1">
      <alignment vertical="center"/>
      <protection hidden="1"/>
    </xf>
    <xf numFmtId="0" fontId="34" fillId="0" borderId="28" xfId="0" applyFont="1" applyBorder="1" applyAlignment="1" applyProtection="1">
      <alignment horizontal="left" vertical="center" indent="1"/>
      <protection hidden="1"/>
    </xf>
    <xf numFmtId="172" fontId="44" fillId="16" borderId="7" xfId="18" applyNumberFormat="1" applyFont="1" applyFill="1" applyBorder="1" applyAlignment="1" applyProtection="1">
      <alignment vertical="center"/>
      <protection hidden="1"/>
    </xf>
    <xf numFmtId="173" fontId="34" fillId="4" borderId="7" xfId="0" applyNumberFormat="1" applyFont="1" applyFill="1" applyBorder="1" applyAlignment="1" applyProtection="1">
      <alignment vertical="center"/>
      <protection hidden="1"/>
    </xf>
    <xf numFmtId="164" fontId="36" fillId="4" borderId="0" xfId="1" applyNumberFormat="1" applyFont="1" applyFill="1" applyBorder="1" applyAlignment="1" applyProtection="1">
      <alignment vertical="center"/>
      <protection hidden="1"/>
    </xf>
    <xf numFmtId="164" fontId="36" fillId="4" borderId="8" xfId="1" applyNumberFormat="1" applyFont="1" applyFill="1" applyBorder="1" applyAlignment="1" applyProtection="1">
      <alignment vertical="center"/>
      <protection hidden="1"/>
    </xf>
    <xf numFmtId="16" fontId="29" fillId="0" borderId="0" xfId="0" applyNumberFormat="1" applyFont="1" applyAlignment="1" applyProtection="1">
      <alignment vertical="center"/>
      <protection hidden="1"/>
    </xf>
    <xf numFmtId="0" fontId="34" fillId="0" borderId="28" xfId="0" applyFont="1" applyBorder="1" applyAlignment="1" applyProtection="1">
      <alignment vertical="center"/>
      <protection hidden="1"/>
    </xf>
    <xf numFmtId="0" fontId="34" fillId="16" borderId="7" xfId="0" applyFont="1" applyFill="1" applyBorder="1" applyAlignment="1" applyProtection="1">
      <alignment vertical="center"/>
      <protection hidden="1"/>
    </xf>
    <xf numFmtId="3" fontId="34" fillId="16" borderId="0" xfId="0" applyNumberFormat="1" applyFont="1" applyFill="1" applyAlignment="1" applyProtection="1">
      <alignment vertical="center"/>
      <protection hidden="1"/>
    </xf>
    <xf numFmtId="9" fontId="34" fillId="16" borderId="8" xfId="2" applyFont="1" applyFill="1" applyBorder="1" applyAlignment="1" applyProtection="1">
      <alignment vertical="center"/>
      <protection hidden="1"/>
    </xf>
    <xf numFmtId="3" fontId="34" fillId="4" borderId="0" xfId="0" applyNumberFormat="1" applyFont="1" applyFill="1" applyAlignment="1" applyProtection="1">
      <alignment vertical="center"/>
      <protection hidden="1"/>
    </xf>
    <xf numFmtId="165" fontId="34" fillId="4" borderId="8" xfId="0" applyNumberFormat="1" applyFont="1" applyFill="1" applyBorder="1" applyAlignment="1" applyProtection="1">
      <alignment vertical="center"/>
      <protection hidden="1"/>
    </xf>
    <xf numFmtId="171" fontId="32" fillId="16" borderId="8" xfId="0" applyNumberFormat="1" applyFont="1" applyFill="1" applyBorder="1" applyAlignment="1" applyProtection="1">
      <alignment vertical="center"/>
      <protection hidden="1"/>
    </xf>
    <xf numFmtId="171" fontId="32" fillId="4" borderId="7" xfId="0" applyNumberFormat="1" applyFont="1" applyFill="1" applyBorder="1" applyAlignment="1" applyProtection="1">
      <alignment vertical="center"/>
      <protection hidden="1"/>
    </xf>
    <xf numFmtId="171" fontId="34" fillId="4" borderId="0" xfId="0" applyNumberFormat="1" applyFont="1" applyFill="1" applyAlignment="1" applyProtection="1">
      <alignment vertical="center"/>
      <protection hidden="1"/>
    </xf>
    <xf numFmtId="171" fontId="32" fillId="4" borderId="8" xfId="0" applyNumberFormat="1" applyFont="1" applyFill="1" applyBorder="1" applyAlignment="1" applyProtection="1">
      <alignment vertical="center"/>
      <protection hidden="1"/>
    </xf>
    <xf numFmtId="0" fontId="34" fillId="0" borderId="29" xfId="0" applyFont="1" applyBorder="1" applyAlignment="1" applyProtection="1">
      <alignment horizontal="left" vertical="center" indent="1"/>
      <protection hidden="1"/>
    </xf>
    <xf numFmtId="0" fontId="34" fillId="16" borderId="12" xfId="0" applyFont="1" applyFill="1" applyBorder="1" applyAlignment="1" applyProtection="1">
      <alignment vertical="center"/>
      <protection hidden="1"/>
    </xf>
    <xf numFmtId="164" fontId="36" fillId="16" borderId="1" xfId="1" applyNumberFormat="1" applyFont="1" applyFill="1" applyBorder="1" applyAlignment="1" applyProtection="1">
      <alignment vertical="center"/>
      <protection hidden="1"/>
    </xf>
    <xf numFmtId="171" fontId="32" fillId="16" borderId="13" xfId="0" applyNumberFormat="1" applyFont="1" applyFill="1" applyBorder="1" applyAlignment="1" applyProtection="1">
      <alignment vertical="center"/>
      <protection hidden="1"/>
    </xf>
    <xf numFmtId="171" fontId="32" fillId="4" borderId="12" xfId="0" applyNumberFormat="1" applyFont="1" applyFill="1" applyBorder="1" applyAlignment="1" applyProtection="1">
      <alignment vertical="center"/>
      <protection hidden="1"/>
    </xf>
    <xf numFmtId="171" fontId="34" fillId="4" borderId="1" xfId="0" applyNumberFormat="1" applyFont="1" applyFill="1" applyBorder="1" applyAlignment="1" applyProtection="1">
      <alignment vertical="center"/>
      <protection hidden="1"/>
    </xf>
    <xf numFmtId="171" fontId="32" fillId="4" borderId="13" xfId="0" applyNumberFormat="1" applyFont="1" applyFill="1" applyBorder="1" applyAlignment="1" applyProtection="1">
      <alignment vertical="center"/>
      <protection hidden="1"/>
    </xf>
    <xf numFmtId="1" fontId="28" fillId="3" borderId="4" xfId="0" applyNumberFormat="1" applyFont="1" applyFill="1" applyBorder="1" applyAlignment="1" applyProtection="1">
      <alignment horizontal="left" vertical="center"/>
      <protection hidden="1"/>
    </xf>
    <xf numFmtId="1" fontId="28" fillId="3" borderId="5" xfId="0" applyNumberFormat="1" applyFont="1" applyFill="1" applyBorder="1" applyAlignment="1" applyProtection="1">
      <alignment horizontal="left" vertical="center"/>
      <protection hidden="1"/>
    </xf>
    <xf numFmtId="167" fontId="28" fillId="3" borderId="0" xfId="0" applyNumberFormat="1" applyFont="1" applyFill="1" applyAlignment="1" applyProtection="1">
      <alignment horizontal="left" vertical="center"/>
      <protection hidden="1"/>
    </xf>
    <xf numFmtId="0" fontId="6" fillId="7" borderId="0" xfId="0" applyFont="1" applyFill="1" applyAlignment="1" applyProtection="1">
      <alignment horizontal="left" vertical="center"/>
      <protection hidden="1"/>
    </xf>
    <xf numFmtId="0" fontId="28" fillId="3" borderId="4" xfId="0" applyFont="1" applyFill="1" applyBorder="1" applyAlignment="1" applyProtection="1">
      <alignment horizontal="left" vertical="center"/>
      <protection hidden="1"/>
    </xf>
    <xf numFmtId="0" fontId="28" fillId="3" borderId="5" xfId="0" applyFont="1" applyFill="1" applyBorder="1" applyAlignment="1" applyProtection="1">
      <alignment horizontal="left" vertical="center"/>
      <protection hidden="1"/>
    </xf>
    <xf numFmtId="0" fontId="28" fillId="3" borderId="9" xfId="0" applyFont="1" applyFill="1" applyBorder="1" applyAlignment="1" applyProtection="1">
      <alignment horizontal="left" vertical="center"/>
      <protection hidden="1"/>
    </xf>
    <xf numFmtId="0" fontId="28" fillId="3" borderId="10" xfId="0" applyFont="1" applyFill="1" applyBorder="1" applyAlignment="1" applyProtection="1">
      <alignment horizontal="left" vertical="center"/>
      <protection hidden="1"/>
    </xf>
    <xf numFmtId="0" fontId="28" fillId="3" borderId="4" xfId="0" applyFont="1" applyFill="1" applyBorder="1" applyAlignment="1" applyProtection="1">
      <alignment horizontal="center" vertical="center"/>
      <protection hidden="1"/>
    </xf>
    <xf numFmtId="0" fontId="28" fillId="3" borderId="5" xfId="0" applyFont="1" applyFill="1" applyBorder="1" applyAlignment="1" applyProtection="1">
      <alignment horizontal="center" vertical="center"/>
      <protection hidden="1"/>
    </xf>
    <xf numFmtId="0" fontId="28" fillId="3" borderId="21" xfId="0" applyFont="1" applyFill="1" applyBorder="1" applyAlignment="1" applyProtection="1">
      <alignment horizontal="left" vertical="center" wrapText="1"/>
      <protection hidden="1"/>
    </xf>
    <xf numFmtId="0" fontId="28" fillId="3" borderId="28" xfId="0" applyFont="1" applyFill="1" applyBorder="1" applyAlignment="1" applyProtection="1">
      <alignment horizontal="left" vertical="center" wrapText="1"/>
      <protection hidden="1"/>
    </xf>
    <xf numFmtId="0" fontId="28" fillId="3" borderId="6" xfId="0" applyFont="1" applyFill="1" applyBorder="1" applyAlignment="1" applyProtection="1">
      <alignment horizontal="center" vertical="center"/>
      <protection hidden="1"/>
    </xf>
    <xf numFmtId="0" fontId="19" fillId="4" borderId="14" xfId="0" applyFont="1" applyFill="1" applyBorder="1" applyAlignment="1">
      <alignment wrapText="1"/>
    </xf>
    <xf numFmtId="0" fontId="19" fillId="4" borderId="15" xfId="0" applyFont="1" applyFill="1" applyBorder="1" applyAlignment="1">
      <alignment wrapText="1"/>
    </xf>
    <xf numFmtId="0" fontId="19" fillId="4" borderId="16" xfId="0" applyFont="1" applyFill="1" applyBorder="1" applyAlignment="1">
      <alignment wrapText="1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0" fillId="0" borderId="0" xfId="0" applyAlignment="1"/>
    <xf numFmtId="0" fontId="23" fillId="11" borderId="9" xfId="0" applyFont="1" applyFill="1" applyBorder="1" applyAlignment="1"/>
    <xf numFmtId="0" fontId="23" fillId="11" borderId="10" xfId="0" applyFont="1" applyFill="1" applyBorder="1" applyAlignment="1"/>
    <xf numFmtId="0" fontId="23" fillId="11" borderId="11" xfId="0" applyFont="1" applyFill="1" applyBorder="1" applyAlignment="1"/>
  </cellXfs>
  <cellStyles count="330">
    <cellStyle name="Comma" xfId="1" builtinId="3"/>
    <cellStyle name="Comma [0]" xfId="4" builtinId="6"/>
    <cellStyle name="Comma 2" xfId="5" xr:uid="{00000000-0005-0000-0000-000002000000}"/>
    <cellStyle name="Comma 3" xfId="9" xr:uid="{00000000-0005-0000-0000-000003000000}"/>
    <cellStyle name="Currency" xfId="18" builtinId="4"/>
    <cellStyle name="Currency [0] 2" xfId="7" xr:uid="{00000000-0005-0000-0000-000005000000}"/>
    <cellStyle name="Currency 2" xfId="6" xr:uid="{00000000-0005-0000-0000-000006000000}"/>
    <cellStyle name="Currency 3" xfId="10" xr:uid="{00000000-0005-0000-0000-000007000000}"/>
    <cellStyle name="Currency 4" xfId="11" xr:uid="{00000000-0005-0000-0000-000008000000}"/>
    <cellStyle name="Currency 5" xfId="12" xr:uid="{00000000-0005-0000-0000-000009000000}"/>
    <cellStyle name="Currency 6" xfId="13" xr:uid="{00000000-0005-0000-0000-00000A000000}"/>
    <cellStyle name="Currency 7" xfId="14" xr:uid="{00000000-0005-0000-0000-00000B000000}"/>
    <cellStyle name="Currency 8" xfId="15" xr:uid="{00000000-0005-0000-0000-00000C000000}"/>
    <cellStyle name="Currency 9" xfId="16" xr:uid="{00000000-0005-0000-0000-00000D000000}"/>
    <cellStyle name="Followed Hyperlink" xfId="109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5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1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57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3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29" builtinId="9" hidden="1"/>
    <cellStyle name="Followed Hyperlink" xfId="327" builtinId="9" hidden="1"/>
    <cellStyle name="Followed Hyperlink" xfId="325" builtinId="9" hidden="1"/>
    <cellStyle name="Followed Hyperlink" xfId="323" builtinId="9" hidden="1"/>
    <cellStyle name="Followed Hyperlink" xfId="321" builtinId="9" hidden="1"/>
    <cellStyle name="Followed Hyperlink" xfId="319" builtinId="9" hidden="1"/>
    <cellStyle name="Followed Hyperlink" xfId="317" builtinId="9" hidden="1"/>
    <cellStyle name="Followed Hyperlink" xfId="315" builtinId="9" hidden="1"/>
    <cellStyle name="Followed Hyperlink" xfId="313" builtinId="9" hidden="1"/>
    <cellStyle name="Followed Hyperlink" xfId="311" builtinId="9" hidden="1"/>
    <cellStyle name="Followed Hyperlink" xfId="309" builtinId="9" hidden="1"/>
    <cellStyle name="Followed Hyperlink" xfId="307" builtinId="9" hidden="1"/>
    <cellStyle name="Followed Hyperlink" xfId="305" builtinId="9" hidden="1"/>
    <cellStyle name="Followed Hyperlink" xfId="303" builtinId="9" hidden="1"/>
    <cellStyle name="Followed Hyperlink" xfId="301" builtinId="9" hidden="1"/>
    <cellStyle name="Followed Hyperlink" xfId="299" builtinId="9" hidden="1"/>
    <cellStyle name="Followed Hyperlink" xfId="297" builtinId="9" hidden="1"/>
    <cellStyle name="Followed Hyperlink" xfId="295" builtinId="9" hidden="1"/>
    <cellStyle name="Followed Hyperlink" xfId="293" builtinId="9" hidden="1"/>
    <cellStyle name="Followed Hyperlink" xfId="291" builtinId="9" hidden="1"/>
    <cellStyle name="Followed Hyperlink" xfId="289" builtinId="9" hidden="1"/>
    <cellStyle name="Followed Hyperlink" xfId="287" builtinId="9" hidden="1"/>
    <cellStyle name="Followed Hyperlink" xfId="285" builtinId="9" hidden="1"/>
    <cellStyle name="Followed Hyperlink" xfId="283" builtinId="9" hidden="1"/>
    <cellStyle name="Followed Hyperlink" xfId="281" builtinId="9" hidden="1"/>
    <cellStyle name="Followed Hyperlink" xfId="279" builtinId="9" hidden="1"/>
    <cellStyle name="Followed Hyperlink" xfId="277" builtinId="9" hidden="1"/>
    <cellStyle name="Followed Hyperlink" xfId="275" builtinId="9" hidden="1"/>
    <cellStyle name="Followed Hyperlink" xfId="273" builtinId="9" hidden="1"/>
    <cellStyle name="Followed Hyperlink" xfId="271" builtinId="9" hidden="1"/>
    <cellStyle name="Followed Hyperlink" xfId="269" builtinId="9" hidden="1"/>
    <cellStyle name="Followed Hyperlink" xfId="267" builtinId="9" hidden="1"/>
    <cellStyle name="Followed Hyperlink" xfId="265" builtinId="9" hidden="1"/>
    <cellStyle name="Followed Hyperlink" xfId="263" builtinId="9" hidden="1"/>
    <cellStyle name="Followed Hyperlink" xfId="261" builtinId="9" hidden="1"/>
    <cellStyle name="Followed Hyperlink" xfId="259" builtinId="9" hidden="1"/>
    <cellStyle name="Followed Hyperlink" xfId="257" builtinId="9" hidden="1"/>
    <cellStyle name="Followed Hyperlink" xfId="255" builtinId="9" hidden="1"/>
    <cellStyle name="Followed Hyperlink" xfId="253" builtinId="9" hidden="1"/>
    <cellStyle name="Followed Hyperlink" xfId="251" builtinId="9" hidden="1"/>
    <cellStyle name="Followed Hyperlink" xfId="249" builtinId="9" hidden="1"/>
    <cellStyle name="Followed Hyperlink" xfId="247" builtinId="9" hidden="1"/>
    <cellStyle name="Followed Hyperlink" xfId="245" builtinId="9" hidden="1"/>
    <cellStyle name="Followed Hyperlink" xfId="243" builtinId="9" hidden="1"/>
    <cellStyle name="Followed Hyperlink" xfId="241" builtinId="9" hidden="1"/>
    <cellStyle name="Followed Hyperlink" xfId="239" builtinId="9" hidden="1"/>
    <cellStyle name="Followed Hyperlink" xfId="237" builtinId="9" hidden="1"/>
    <cellStyle name="Followed Hyperlink" xfId="235" builtinId="9" hidden="1"/>
    <cellStyle name="Followed Hyperlink" xfId="233" builtinId="9" hidden="1"/>
    <cellStyle name="Followed Hyperlink" xfId="231" builtinId="9" hidden="1"/>
    <cellStyle name="Followed Hyperlink" xfId="229" builtinId="9" hidden="1"/>
    <cellStyle name="Followed Hyperlink" xfId="227" builtinId="9" hidden="1"/>
    <cellStyle name="Followed Hyperlink" xfId="225" builtinId="9" hidden="1"/>
    <cellStyle name="Followed Hyperlink" xfId="223" builtinId="9" hidden="1"/>
    <cellStyle name="Followed Hyperlink" xfId="221" builtinId="9" hidden="1"/>
    <cellStyle name="Followed Hyperlink" xfId="219" builtinId="9" hidden="1"/>
    <cellStyle name="Followed Hyperlink" xfId="217" builtinId="9" hidden="1"/>
    <cellStyle name="Followed Hyperlink" xfId="215" builtinId="9" hidden="1"/>
    <cellStyle name="Followed Hyperlink" xfId="213" builtinId="9" hidden="1"/>
    <cellStyle name="Followed Hyperlink" xfId="211" builtinId="9" hidden="1"/>
    <cellStyle name="Followed Hyperlink" xfId="209" builtinId="9" hidden="1"/>
    <cellStyle name="Followed Hyperlink" xfId="207" builtinId="9" hidden="1"/>
    <cellStyle name="Followed Hyperlink" xfId="205" builtinId="9" hidden="1"/>
    <cellStyle name="Followed Hyperlink" xfId="203" builtinId="9" hidden="1"/>
    <cellStyle name="Followed Hyperlink" xfId="201" builtinId="9" hidden="1"/>
    <cellStyle name="Followed Hyperlink" xfId="199" builtinId="9" hidden="1"/>
    <cellStyle name="Followed Hyperlink" xfId="197" builtinId="9" hidden="1"/>
    <cellStyle name="Followed Hyperlink" xfId="195" builtinId="9" hidden="1"/>
    <cellStyle name="Followed Hyperlink" xfId="193" builtinId="9" hidden="1"/>
    <cellStyle name="Followed Hyperlink" xfId="191" builtinId="9" hidden="1"/>
    <cellStyle name="Followed Hyperlink" xfId="189" builtinId="9" hidden="1"/>
    <cellStyle name="Followed Hyperlink" xfId="187" builtinId="9" hidden="1"/>
    <cellStyle name="Followed Hyperlink" xfId="183" builtinId="9" hidden="1"/>
    <cellStyle name="Followed Hyperlink" xfId="179" builtinId="9" hidden="1"/>
    <cellStyle name="Followed Hyperlink" xfId="175" builtinId="9" hidden="1"/>
    <cellStyle name="Followed Hyperlink" xfId="171" builtinId="9" hidden="1"/>
    <cellStyle name="Followed Hyperlink" xfId="167" builtinId="9" hidden="1"/>
    <cellStyle name="Followed Hyperlink" xfId="163" builtinId="9" hidden="1"/>
    <cellStyle name="Followed Hyperlink" xfId="159" builtinId="9" hidden="1"/>
    <cellStyle name="Followed Hyperlink" xfId="155" builtinId="9" hidden="1"/>
    <cellStyle name="Followed Hyperlink" xfId="151" builtinId="9" hidden="1"/>
    <cellStyle name="Followed Hyperlink" xfId="147" builtinId="9" hidden="1"/>
    <cellStyle name="Followed Hyperlink" xfId="143" builtinId="9" hidden="1"/>
    <cellStyle name="Followed Hyperlink" xfId="139" builtinId="9" hidden="1"/>
    <cellStyle name="Followed Hyperlink" xfId="135" builtinId="9" hidden="1"/>
    <cellStyle name="Followed Hyperlink" xfId="131" builtinId="9" hidden="1"/>
    <cellStyle name="Followed Hyperlink" xfId="127" builtinId="9" hidden="1"/>
    <cellStyle name="Followed Hyperlink" xfId="123" builtinId="9" hidden="1"/>
    <cellStyle name="Followed Hyperlink" xfId="119" builtinId="9" hidden="1"/>
    <cellStyle name="Followed Hyperlink" xfId="115" builtinId="9" hidden="1"/>
    <cellStyle name="Followed Hyperlink" xfId="111" builtinId="9" hidden="1"/>
    <cellStyle name="Followed Hyperlink" xfId="107" builtinId="9" hidden="1"/>
    <cellStyle name="Followed Hyperlink" xfId="49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59" builtinId="9" hidden="1"/>
    <cellStyle name="Followed Hyperlink" xfId="5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5" builtinId="9" hidden="1"/>
    <cellStyle name="Followed Hyperlink" xfId="47" builtinId="9" hidden="1"/>
    <cellStyle name="Followed Hyperlink" xfId="43" builtinId="9" hidden="1"/>
    <cellStyle name="Followed Hyperlink" xfId="25" builtinId="9" hidden="1"/>
    <cellStyle name="Followed Hyperlink" xfId="29" builtinId="9" hidden="1"/>
    <cellStyle name="Followed Hyperlink" xfId="31" builtinId="9" hidden="1"/>
    <cellStyle name="Followed Hyperlink" xfId="27" builtinId="9" hidden="1"/>
    <cellStyle name="Followed Hyperlink" xfId="23" builtinId="9" hidden="1"/>
    <cellStyle name="Followed Hyperlink" xfId="21" builtinId="9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70" builtinId="8" hidden="1"/>
    <cellStyle name="Hyperlink" xfId="154" builtinId="8" hidden="1"/>
    <cellStyle name="Hyperlink" xfId="138" builtinId="8" hidden="1"/>
    <cellStyle name="Hyperlink" xfId="122" builtinId="8" hidden="1"/>
    <cellStyle name="Hyperlink" xfId="106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74" builtinId="8" hidden="1"/>
    <cellStyle name="Hyperlink" xfId="36" builtinId="8" hidden="1"/>
    <cellStyle name="Hyperlink" xfId="38" builtinId="8" hidden="1"/>
    <cellStyle name="Hyperlink" xfId="40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42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24" builtinId="8" hidden="1"/>
    <cellStyle name="Hyperlink" xfId="26" builtinId="8" hidden="1"/>
    <cellStyle name="Hyperlink" xfId="22" builtinId="8" hidden="1"/>
    <cellStyle name="Hyperlink" xfId="20" builtinId="8" hidden="1"/>
    <cellStyle name="Hyperlink" xfId="186" builtinId="8"/>
    <cellStyle name="Normal" xfId="0" builtinId="0"/>
    <cellStyle name="Normal 2" xfId="3" xr:uid="{00000000-0005-0000-0000-000045010000}"/>
    <cellStyle name="Normal 3" xfId="8" xr:uid="{00000000-0005-0000-0000-000046010000}"/>
    <cellStyle name="Normal 4" xfId="19" xr:uid="{00000000-0005-0000-0000-000047010000}"/>
    <cellStyle name="Percent" xfId="2" builtinId="5"/>
    <cellStyle name="Percent 2" xfId="17" xr:uid="{00000000-0005-0000-0000-000049010000}"/>
  </cellStyles>
  <dxfs count="13"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DDD9C4"/>
      <color rgb="FFDDD9D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r>
              <a:rPr lang="en-US">
                <a:latin typeface="Didot" panose="02000503000000020003" pitchFamily="2" charset="-79"/>
                <a:cs typeface="Didot" panose="02000503000000020003" pitchFamily="2" charset="-79"/>
              </a:rPr>
              <a:t>Committed</a:t>
            </a:r>
            <a:r>
              <a:rPr lang="en-US" baseline="0">
                <a:latin typeface="Didot" panose="02000503000000020003" pitchFamily="2" charset="-79"/>
                <a:cs typeface="Didot" panose="02000503000000020003" pitchFamily="2" charset="-79"/>
              </a:rPr>
              <a:t> User Growth (000's)</a:t>
            </a:r>
            <a:endParaRPr lang="en-US">
              <a:latin typeface="Didot" panose="02000503000000020003" pitchFamily="2" charset="-79"/>
              <a:cs typeface="Didot" panose="020005030000000200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idot" panose="02000503000000020003" pitchFamily="2" charset="-79"/>
              <a:ea typeface="+mn-ea"/>
              <a:cs typeface="Didot" panose="02000503000000020003" pitchFamily="2" charset="-79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40431266846361E-2"/>
          <c:y val="2.3108524477918289E-4"/>
          <c:w val="0.94070080862533689"/>
          <c:h val="0.836209132146525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_(* #,##0,_);_(* \(#,##0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'Proforma _Summary'!$F$6:$J$6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'Proforma _Summary'!$F$8:$J$8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236340</c:v>
                </c:pt>
                <c:pt idx="2">
                  <c:v>1055661</c:v>
                </c:pt>
                <c:pt idx="3">
                  <c:v>3536128</c:v>
                </c:pt>
                <c:pt idx="4">
                  <c:v>7943561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6-6D4F-960A-B0073D63D9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9060735"/>
        <c:axId val="1459190511"/>
      </c:lineChart>
      <c:catAx>
        <c:axId val="145906073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endParaRPr lang="en-US"/>
          </a:p>
        </c:txPr>
        <c:crossAx val="1459190511"/>
        <c:crosses val="autoZero"/>
        <c:auto val="1"/>
        <c:lblAlgn val="ctr"/>
        <c:lblOffset val="100"/>
        <c:noMultiLvlLbl val="0"/>
      </c:catAx>
      <c:valAx>
        <c:axId val="145919051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45906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r>
              <a:rPr lang="en-US" b="1">
                <a:latin typeface="Didot" panose="02000503000000020003" pitchFamily="2" charset="-79"/>
                <a:cs typeface="Didot" panose="02000503000000020003" pitchFamily="2" charset="-79"/>
              </a:rPr>
              <a:t>Gross Merchandise Value &amp; Net</a:t>
            </a:r>
            <a:r>
              <a:rPr lang="en-US" b="1" baseline="0">
                <a:latin typeface="Didot" panose="02000503000000020003" pitchFamily="2" charset="-79"/>
                <a:cs typeface="Didot" panose="02000503000000020003" pitchFamily="2" charset="-79"/>
              </a:rPr>
              <a:t> Revenue</a:t>
            </a:r>
            <a:endParaRPr lang="en-US" b="1">
              <a:latin typeface="Didot" panose="02000503000000020003" pitchFamily="2" charset="-79"/>
              <a:cs typeface="Didot" panose="020005030000000200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idot" panose="02000503000000020003" pitchFamily="2" charset="-79"/>
              <a:ea typeface="+mn-ea"/>
              <a:cs typeface="Didot" panose="02000503000000020003" pitchFamily="2" charset="-79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Merchandise Value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BC-374F-AA5D-CB7C0D7F3B17}"/>
                </c:ext>
              </c:extLst>
            </c:dLbl>
            <c:dLbl>
              <c:idx val="1"/>
              <c:layout>
                <c:manualLayout>
                  <c:x val="0"/>
                  <c:y val="-3.06122448979593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9BC-374F-AA5D-CB7C0D7F3B17}"/>
                </c:ext>
              </c:extLst>
            </c:dLbl>
            <c:dLbl>
              <c:idx val="2"/>
              <c:layout>
                <c:manualLayout>
                  <c:x val="-7.5874262019133452E-17"/>
                  <c:y val="-6.80529300567107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BF-437B-B613-2989574070EC}"/>
                </c:ext>
              </c:extLst>
            </c:dLbl>
            <c:dLbl>
              <c:idx val="3"/>
              <c:layout>
                <c:manualLayout>
                  <c:x val="0"/>
                  <c:y val="-0.1512287334593573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21-4F53-801C-60E83B434BE0}"/>
                </c:ext>
              </c:extLst>
            </c:dLbl>
            <c:numFmt formatCode="_(&quot;$&quot;* #,##0,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'Proforma _Summary'!$F$6:$J$6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'Proforma _Summary'!$F$10:$J$10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21674359</c:v>
                </c:pt>
                <c:pt idx="2">
                  <c:v>103495799</c:v>
                </c:pt>
                <c:pt idx="3">
                  <c:v>386375832</c:v>
                </c:pt>
                <c:pt idx="4">
                  <c:v>984354507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C-374F-AA5D-CB7C0D7F3B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44213935"/>
        <c:axId val="1479083439"/>
      </c:barChart>
      <c:lineChart>
        <c:grouping val="standard"/>
        <c:varyColors val="0"/>
        <c:ser>
          <c:idx val="1"/>
          <c:order val="1"/>
          <c:tx>
            <c:v>Woolly Net Revenue</c:v>
          </c:tx>
          <c:spPr>
            <a:ln w="381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BC-374F-AA5D-CB7C0D7F3B17}"/>
                </c:ext>
              </c:extLst>
            </c:dLbl>
            <c:dLbl>
              <c:idx val="1"/>
              <c:layout>
                <c:manualLayout>
                  <c:x val="-1.9280129341736164E-2"/>
                  <c:y val="-3.5560651626343226E-2"/>
                </c:manualLayout>
              </c:layout>
              <c:numFmt formatCode="_(&quot;$&quot;* #,##0,,_);_(&quot;$&quot;* \(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BC-374F-AA5D-CB7C0D7F3B17}"/>
                </c:ext>
              </c:extLst>
            </c:dLbl>
            <c:dLbl>
              <c:idx val="2"/>
              <c:layout>
                <c:manualLayout>
                  <c:x val="-1.795544464802017E-2"/>
                  <c:y val="-5.27635207072820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Didot" panose="02000503000000020003" pitchFamily="2" charset="-79"/>
                        <a:ea typeface="+mn-ea"/>
                        <a:cs typeface="Didot" panose="02000503000000020003" pitchFamily="2" charset="-79"/>
                      </a:defRPr>
                    </a:pPr>
                    <a:fld id="{5976CF1A-1F0E-41E0-B068-CC6D6BA36ECC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1400" b="1">
                          <a:solidFill>
                            <a:sysClr val="windowText" lastClr="000000"/>
                          </a:solidFill>
                          <a:latin typeface="Didot" panose="02000503000000020003" pitchFamily="2" charset="-79"/>
                          <a:cs typeface="Didot" panose="02000503000000020003" pitchFamily="2" charset="-79"/>
                        </a:defRPr>
                      </a:pPr>
                      <a:t>[]</a:t>
                    </a:fld>
                    <a:endParaRPr/>
                  </a:p>
                </c:rich>
              </c:tx>
              <c:numFmt formatCode="_(&quot;$&quot;* #,##0,,_);_(&quot;$&quot;* \(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6BF-437B-B613-2989574070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2FBC0C-9751-457E-944E-0538247DACE9}" type="VALUE">
                      <a:rPr lang="en-US">
                        <a:solidFill>
                          <a:schemeClr val="bg1"/>
                        </a:solidFill>
                      </a:rPr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21-4F53-801C-60E83B434BE0}"/>
                </c:ext>
              </c:extLst>
            </c:dLbl>
            <c:numFmt formatCode="_(&quot;$&quot;* #,##0,,_);_(&quot;$&quot;* \(#,##0.0,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'Proforma _Summary'!$F$12:$J$12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1265714.2</c:v>
                </c:pt>
                <c:pt idx="2">
                  <c:v>6043829.4399999995</c:v>
                </c:pt>
                <c:pt idx="3">
                  <c:v>22563136.050000001</c:v>
                </c:pt>
                <c:pt idx="4">
                  <c:v>57483212.620000005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C-374F-AA5D-CB7C0D7F3B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3659056"/>
        <c:axId val="665828864"/>
      </c:lineChart>
      <c:catAx>
        <c:axId val="154421393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endParaRPr lang="en-US"/>
          </a:p>
        </c:txPr>
        <c:crossAx val="1479083439"/>
        <c:crosses val="autoZero"/>
        <c:auto val="1"/>
        <c:lblAlgn val="ctr"/>
        <c:lblOffset val="100"/>
        <c:noMultiLvlLbl val="0"/>
      </c:catAx>
      <c:valAx>
        <c:axId val="1479083439"/>
        <c:scaling>
          <c:orientation val="minMax"/>
          <c:max val="18000000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13935"/>
        <c:crosses val="autoZero"/>
        <c:crossBetween val="between"/>
      </c:valAx>
      <c:valAx>
        <c:axId val="665828864"/>
        <c:scaling>
          <c:orientation val="minMax"/>
          <c:max val="40000000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59056"/>
        <c:crosses val="max"/>
        <c:crossBetween val="between"/>
      </c:valAx>
      <c:catAx>
        <c:axId val="623659056"/>
        <c:scaling>
          <c:orientation val="minMax"/>
        </c:scaling>
        <c:delete val="1"/>
        <c:axPos val="b"/>
        <c:majorTickMark val="out"/>
        <c:minorTickMark val="none"/>
        <c:tickLblPos val="nextTo"/>
        <c:crossAx val="66582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1570559214265"/>
          <c:y val="0.20086281468337586"/>
          <c:w val="0.51649845020575513"/>
          <c:h val="5.9402240212931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r>
              <a:rPr lang="en-US" b="1">
                <a:latin typeface="Didot" panose="02000503000000020003" pitchFamily="2" charset="-79"/>
                <a:cs typeface="Didot" panose="02000503000000020003" pitchFamily="2" charset="-79"/>
              </a:rPr>
              <a:t>Net</a:t>
            </a:r>
            <a:r>
              <a:rPr lang="en-US" b="1" baseline="0">
                <a:latin typeface="Didot" panose="02000503000000020003" pitchFamily="2" charset="-79"/>
                <a:cs typeface="Didot" panose="02000503000000020003" pitchFamily="2" charset="-79"/>
              </a:rPr>
              <a:t> Revenue &amp; Operating Income</a:t>
            </a:r>
            <a:endParaRPr lang="en-US" b="1">
              <a:latin typeface="Didot" panose="02000503000000020003" pitchFamily="2" charset="-79"/>
              <a:cs typeface="Didot" panose="020005030000000200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idot" panose="02000503000000020003" pitchFamily="2" charset="-79"/>
              <a:ea typeface="+mn-ea"/>
              <a:cs typeface="Didot" panose="02000503000000020003" pitchFamily="2" charset="-79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484255092729311E-6"/>
          <c:y val="0.21441648692240195"/>
          <c:w val="0.95498721952800703"/>
          <c:h val="0.753029040661595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'Proforma _Summary'!$C$12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996003996003996E-3"/>
                  <c:y val="-6.12244897959183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40-8D49-BABD-405DDF29B213}"/>
                </c:ext>
              </c:extLst>
            </c:dLbl>
            <c:dLbl>
              <c:idx val="1"/>
              <c:layout>
                <c:manualLayout>
                  <c:x val="0"/>
                  <c:y val="-3.06122448979593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40-8D49-BABD-405DDF29B213}"/>
                </c:ext>
              </c:extLst>
            </c:dLbl>
            <c:numFmt formatCode="_(&quot;$&quot;* #,##0.0,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'Proforma _Summary'!$E$6:$J$6</c:f>
              <c:numCache>
                <c:formatCode>0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'Proforma _Summary'!$E$12:$J$12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1265714.2</c:v>
                </c:pt>
                <c:pt idx="3">
                  <c:v>6043829.4399999995</c:v>
                </c:pt>
                <c:pt idx="4">
                  <c:v>22563136.050000001</c:v>
                </c:pt>
                <c:pt idx="5">
                  <c:v>57483212.620000005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40-8D49-BABD-405DDF29B2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44213935"/>
        <c:axId val="1479083439"/>
      </c:barChart>
      <c:lineChart>
        <c:grouping val="standard"/>
        <c:varyColors val="0"/>
        <c:ser>
          <c:idx val="1"/>
          <c:order val="1"/>
          <c:tx>
            <c:strRef>
              <c:f>'Proforma _Summary'!$C$32</c:f>
              <c:strCache>
                <c:ptCount val="1"/>
                <c:pt idx="0">
                  <c:v>Operating Income (Loss)</c:v>
                </c:pt>
              </c:strCache>
            </c:strRef>
          </c:tx>
          <c:spPr>
            <a:ln w="381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725384326959133E-2"/>
                  <c:y val="3.2214740825241367E-2"/>
                </c:manualLayout>
              </c:layout>
              <c:numFmt formatCode="_(* #&quot;$&quot;##0.0,,_);_(* \(&quot;$&quot;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40-8D49-BABD-405DDF29B213}"/>
                </c:ext>
              </c:extLst>
            </c:dLbl>
            <c:dLbl>
              <c:idx val="1"/>
              <c:layout>
                <c:manualLayout>
                  <c:x val="-5.6568428946381664E-2"/>
                  <c:y val="2.788792743663213E-2"/>
                </c:manualLayout>
              </c:layout>
              <c:numFmt formatCode="_(* #&quot;$&quot;##0.0,,_);_(* \(&quot;$&quot;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40-8D49-BABD-405DDF29B213}"/>
                </c:ext>
              </c:extLst>
            </c:dLbl>
            <c:dLbl>
              <c:idx val="2"/>
              <c:layout>
                <c:manualLayout>
                  <c:x val="-5.6898237720285037E-2"/>
                  <c:y val="3.6148409893992935E-2"/>
                </c:manualLayout>
              </c:layout>
              <c:numFmt formatCode="_(* #&quot;$&quot;##0.0,,_);_(* \(&quot;$&quot;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40-8D49-BABD-405DDF29B213}"/>
                </c:ext>
              </c:extLst>
            </c:dLbl>
            <c:dLbl>
              <c:idx val="3"/>
              <c:layout>
                <c:manualLayout>
                  <c:x val="-5.4900187476565429E-2"/>
                  <c:y val="4.4573884978158645E-2"/>
                </c:manualLayout>
              </c:layout>
              <c:numFmt formatCode="_(* #&quot;$&quot;##0.0,,_);_(* \(&quot;$&quot;#,##0.0,,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40-8D49-BABD-405DDF29B213}"/>
                </c:ext>
              </c:extLst>
            </c:dLbl>
            <c:numFmt formatCode="_(* #&quot;$&quot;##0.0,,_);_(* \(&quot;$&quot;#,##0.0,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'Proforma _Summary'!$E$6:$J$6</c:f>
              <c:numCache>
                <c:formatCode>0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'Proforma _Summary'!$E$32:$J$32</c:f>
              <c:numCache>
                <c:formatCode>_(* #,##0_);_(* \(#,##0\);_(* "-"??_);_(@_)</c:formatCode>
                <c:ptCount val="6"/>
                <c:pt idx="0">
                  <c:v>-193573.5</c:v>
                </c:pt>
                <c:pt idx="1">
                  <c:v>-1095033.125</c:v>
                </c:pt>
                <c:pt idx="2">
                  <c:v>-595168.04076589842</c:v>
                </c:pt>
                <c:pt idx="3">
                  <c:v>1017347.9464076255</c:v>
                </c:pt>
                <c:pt idx="4">
                  <c:v>9680394.9910697117</c:v>
                </c:pt>
                <c:pt idx="5">
                  <c:v>30569841.223860808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40-8D49-BABD-405DDF29B2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2988015"/>
        <c:axId val="1542607119"/>
      </c:lineChart>
      <c:catAx>
        <c:axId val="154421393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idot" panose="02000503000000020003" pitchFamily="2" charset="-79"/>
                <a:ea typeface="+mn-ea"/>
                <a:cs typeface="Didot" panose="02000503000000020003" pitchFamily="2" charset="-79"/>
              </a:defRPr>
            </a:pPr>
            <a:endParaRPr lang="en-US"/>
          </a:p>
        </c:txPr>
        <c:crossAx val="1479083439"/>
        <c:crosses val="autoZero"/>
        <c:auto val="1"/>
        <c:lblAlgn val="ctr"/>
        <c:lblOffset val="200"/>
        <c:noMultiLvlLbl val="0"/>
      </c:catAx>
      <c:valAx>
        <c:axId val="1479083439"/>
        <c:scaling>
          <c:orientation val="minMax"/>
          <c:min val="-2000000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544213935"/>
        <c:crosses val="autoZero"/>
        <c:crossBetween val="between"/>
      </c:valAx>
      <c:valAx>
        <c:axId val="1542607119"/>
        <c:scaling>
          <c:orientation val="minMax"/>
        </c:scaling>
        <c:delete val="1"/>
        <c:axPos val="r"/>
        <c:numFmt formatCode="_(* #,##0_);_(* \(#,##0\);_(* &quot;-&quot;??_);_(@_)" sourceLinked="1"/>
        <c:majorTickMark val="none"/>
        <c:minorTickMark val="none"/>
        <c:tickLblPos val="nextTo"/>
        <c:crossAx val="1542988015"/>
        <c:crosses val="max"/>
        <c:crossBetween val="between"/>
        <c:majorUnit val="500000000"/>
      </c:valAx>
      <c:catAx>
        <c:axId val="15429880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542607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71243420216914E-2"/>
          <c:y val="2.6369168356997971E-2"/>
          <c:w val="0.94245399718160516"/>
          <c:h val="0.91583264864618852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5AA-3047-8278-A59A62F2C47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AA-3047-8278-A59A62F2C47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5AA-3047-8278-A59A62F2C47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AA-3047-8278-A59A62F2C47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AA-3047-8278-A59A62F2C47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A-3047-8278-A59A62F2C4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A-3047-8278-A59A62F2C47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AA-3047-8278-A59A62F2C47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A-3047-8278-A59A62F2C47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AA-3047-8278-A59A62F2C472}"/>
              </c:ext>
            </c:extLst>
          </c:dPt>
          <c:dLbls>
            <c:dLbl>
              <c:idx val="0"/>
              <c:layout>
                <c:manualLayout>
                  <c:x val="-6.2512654667952902E-2"/>
                  <c:y val="-0.1758163900911980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AA-3047-8278-A59A62F2C472}"/>
                </c:ext>
              </c:extLst>
            </c:dLbl>
            <c:dLbl>
              <c:idx val="2"/>
              <c:layout>
                <c:manualLayout>
                  <c:x val="8.7477798794842715E-2"/>
                  <c:y val="7.65312804459280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AA-3047-8278-A59A62F2C472}"/>
                </c:ext>
              </c:extLst>
            </c:dLbl>
            <c:dLbl>
              <c:idx val="3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AA-3047-8278-A59A62F2C472}"/>
                </c:ext>
              </c:extLst>
            </c:dLbl>
            <c:dLbl>
              <c:idx val="5"/>
              <c:layout>
                <c:manualLayout>
                  <c:x val="-6.2616568454090873E-2"/>
                  <c:y val="7.693199713672088E-3"/>
                </c:manualLayout>
              </c:layout>
              <c:tx>
                <c:rich>
                  <a:bodyPr/>
                  <a:lstStyle/>
                  <a:p>
                    <a:fld id="{FD3DE38A-8C3F-B542-859E-41AFF9112593}" type="CATEGORYNAME">
                      <a:rPr lang="en-US"/>
                      <a:pPr/>
                      <a:t>[]</a:t>
                    </a:fld>
                    <a:r>
                      <a:rPr lang="en-US"/>
                      <a:t>, </a:t>
                    </a:r>
                    <a:r>
                      <a:rPr lang="en-US" baseline="0"/>
                      <a:t>51%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5AA-3047-8278-A59A62F2C472}"/>
                </c:ext>
              </c:extLst>
            </c:dLbl>
            <c:dLbl>
              <c:idx val="6"/>
              <c:layout>
                <c:manualLayout>
                  <c:x val="-1.6865415792862271E-2"/>
                  <c:y val="5.8750178954903361E-3"/>
                </c:manualLayout>
              </c:layout>
              <c:tx>
                <c:rich>
                  <a:bodyPr/>
                  <a:lstStyle/>
                  <a:p>
                    <a:fld id="{499B2C61-9383-2142-8558-06138A6FFF33}" type="CATEGORYNAME">
                      <a:rPr lang="en-US" sz="1400">
                        <a:solidFill>
                          <a:schemeClr val="bg1"/>
                        </a:solidFill>
                      </a:rPr>
                      <a:pPr/>
                      <a:t>[]</a:t>
                    </a:fld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, 31%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8696813370438"/>
                      <c:h val="0.120792895074162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5AA-3047-8278-A59A62F2C472}"/>
                </c:ext>
              </c:extLst>
            </c:dLbl>
            <c:dLbl>
              <c:idx val="7"/>
              <c:layout>
                <c:manualLayout>
                  <c:x val="-6.9176295296775863E-3"/>
                  <c:y val="1.9924599082153517E-3"/>
                </c:manualLayout>
              </c:layout>
              <c:tx>
                <c:rich>
                  <a:bodyPr/>
                  <a:lstStyle/>
                  <a:p>
                    <a:fld id="{C91B9B4F-E6AA-DC46-98A0-30B073418FCA}" type="CATEGORYNAME">
                      <a:rPr lang="en-US" sz="1400" b="1">
                        <a:solidFill>
                          <a:schemeClr val="bg1"/>
                        </a:solidFill>
                      </a:rPr>
                      <a:pPr/>
                      <a:t>[]</a:t>
                    </a:fld>
                    <a:r>
                      <a:rPr lang="en-US" sz="1400" b="1" baseline="0">
                        <a:solidFill>
                          <a:schemeClr val="bg1"/>
                        </a:solidFill>
                      </a:rPr>
                      <a:t>, 14%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06540084292051"/>
                      <c:h val="7.929006085192696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5AA-3047-8278-A59A62F2C472}"/>
                </c:ext>
              </c:extLst>
            </c:dLbl>
            <c:dLbl>
              <c:idx val="8"/>
              <c:layout>
                <c:manualLayout>
                  <c:x val="-0.16412488230728547"/>
                  <c:y val="8.09256263421617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bg1"/>
                        </a:solidFill>
                        <a:latin typeface="Didot" panose="02000503000000020003" pitchFamily="2" charset="-79"/>
                        <a:ea typeface="+mn-ea"/>
                        <a:cs typeface="Didot" panose="02000503000000020003" pitchFamily="2" charset="-79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Labor 2 4%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223455803937671"/>
                      <c:h val="9.542604334701569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75AA-3047-8278-A59A62F2C4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Photo Training</a:t>
                    </a:r>
                    <a:r>
                      <a:rPr lang="en-US" baseline="0"/>
                      <a:t>, </a:t>
                    </a:r>
                    <a:fld id="{4C192D06-F479-8842-B925-43E90D1434A1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5AA-3047-8278-A59A62F2C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'Proforma _Summary'!$D$45:$D$53</c:f>
              <c:strCache>
                <c:ptCount val="9"/>
                <c:pt idx="0">
                  <c:v>Tech Hires</c:v>
                </c:pt>
                <c:pt idx="1">
                  <c:v>Non-Tech Hires</c:v>
                </c:pt>
                <c:pt idx="2">
                  <c:v>Marketing</c:v>
                </c:pt>
                <c:pt idx="3">
                  <c:v>Technology</c:v>
                </c:pt>
                <c:pt idx="4">
                  <c:v>G &amp; A</c:v>
                </c:pt>
                <c:pt idx="5">
                  <c:v>AI Training</c:v>
                </c:pt>
                <c:pt idx="6">
                  <c:v>Rent &amp; Equipment</c:v>
                </c:pt>
                <c:pt idx="7">
                  <c:v>Labor 1</c:v>
                </c:pt>
                <c:pt idx="8">
                  <c:v>Labor 2</c:v>
                </c:pt>
              </c:strCache>
            </c:strRef>
          </c:cat>
          <c:val>
            <c:numRef>
              <c:f>'Proforma _Summary'!$F$45:$F$53</c:f>
              <c:numCache>
                <c:formatCode>0%</c:formatCode>
                <c:ptCount val="9"/>
                <c:pt idx="0">
                  <c:v>0.25817567969672134</c:v>
                </c:pt>
                <c:pt idx="1">
                  <c:v>0.13019529371871189</c:v>
                </c:pt>
                <c:pt idx="2">
                  <c:v>0.19846843554681692</c:v>
                </c:pt>
                <c:pt idx="3">
                  <c:v>9.6698457629175227E-2</c:v>
                </c:pt>
                <c:pt idx="4">
                  <c:v>0.10760899574651893</c:v>
                </c:pt>
                <c:pt idx="5">
                  <c:v>0.10613694996172675</c:v>
                </c:pt>
                <c:pt idx="6">
                  <c:v>6.5246736348138712E-2</c:v>
                </c:pt>
                <c:pt idx="7">
                  <c:v>2.8493716354585412E-2</c:v>
                </c:pt>
                <c:pt idx="8">
                  <c:v>8.9757349976047947E-3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A-3047-8278-A59A62F2C4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10"/>
        <c:splitType val="pos"/>
        <c:splitPos val="4"/>
        <c:secondPieSize val="77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'Proforma _Summary'!$D$79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_Summary'!$F$79</c:f>
              <c:numCache>
                <c:formatCode>"$"#,##0.00</c:formatCode>
                <c:ptCount val="1"/>
                <c:pt idx="0">
                  <c:v>0.24349652124103038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9-F24A-8694-373010BE1DE3}"/>
            </c:ext>
          </c:extLst>
        </c:ser>
        <c:ser>
          <c:idx val="3"/>
          <c:order val="1"/>
          <c:tx>
            <c:strRef>
              <c:f>'Proforma _Summary'!$D$78</c:f>
              <c:strCache>
                <c:ptCount val="1"/>
                <c:pt idx="0">
                  <c:v>Marketing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7F39-F24A-8694-373010BE1D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_Summary'!$F$78</c:f>
              <c:numCache>
                <c:formatCode>"$"#,##0.00</c:formatCode>
                <c:ptCount val="1"/>
                <c:pt idx="0">
                  <c:v>1.8123258143765169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9-F24A-8694-373010BE1DE3}"/>
            </c:ext>
          </c:extLst>
        </c:ser>
        <c:ser>
          <c:idx val="2"/>
          <c:order val="2"/>
          <c:tx>
            <c:strRef>
              <c:f>'Proforma _Summary'!$D$77</c:f>
              <c:strCache>
                <c:ptCount val="1"/>
                <c:pt idx="0">
                  <c:v>Engineers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2654871807521679"/>
                  <c:y val="-6.08724994344129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F8-0A45-938A-6B7DAEDCA6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_Summary'!$F$77</c:f>
              <c:numCache>
                <c:formatCode>"$"#,##0.00</c:formatCode>
                <c:ptCount val="1"/>
                <c:pt idx="0">
                  <c:v>0.15527576816913122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9-F24A-8694-373010BE1DE3}"/>
            </c:ext>
          </c:extLst>
        </c:ser>
        <c:ser>
          <c:idx val="1"/>
          <c:order val="3"/>
          <c:tx>
            <c:strRef>
              <c:f>'Proforma _Summary'!$D$76</c:f>
              <c:strCache>
                <c:ptCount val="1"/>
                <c:pt idx="0">
                  <c:v>Tech 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_Summary'!$F$76</c:f>
              <c:numCache>
                <c:formatCode>"$"#,##0.00</c:formatCode>
                <c:ptCount val="1"/>
                <c:pt idx="0">
                  <c:v>0.51379868583764021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9-F24A-8694-373010BE1DE3}"/>
            </c:ext>
          </c:extLst>
        </c:ser>
        <c:ser>
          <c:idx val="0"/>
          <c:order val="4"/>
          <c:tx>
            <c:strRef>
              <c:f>'Proforma _Summary'!$D$75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_Summary'!$F$75</c:f>
              <c:numCache>
                <c:formatCode>"$"#,##0.00</c:formatCode>
                <c:ptCount val="1"/>
                <c:pt idx="0">
                  <c:v>3.0951032103756813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9-F24A-8694-373010BE1DE3}"/>
            </c:ext>
          </c:extLst>
        </c:ser>
        <c:ser>
          <c:idx val="5"/>
          <c:order val="5"/>
          <c:tx>
            <c:strRef>
              <c:f>'Proforma _Summary'!$D$80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829700066852493E-2"/>
                  <c:y val="2.602790644615803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1" i="1" u="none" strike="noStrike" kern="1200" baseline="0">
                        <a:solidFill>
                          <a:sysClr val="windowText" lastClr="000000"/>
                        </a:solidFill>
                        <a:latin typeface="Didot" panose="02000503000000020003" pitchFamily="2" charset="-79"/>
                        <a:ea typeface="+mn-ea"/>
                        <a:cs typeface="Didot" panose="02000503000000020003" pitchFamily="2" charset="-79"/>
                      </a:defRPr>
                    </a:pPr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963C15C4-756D-114E-92A7-659C2BC3E843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 sz="1600" b="1" i="1">
                          <a:solidFill>
                            <a:sysClr val="windowText" lastClr="000000"/>
                          </a:solidFill>
                          <a:latin typeface="Didot" panose="02000503000000020003" pitchFamily="2" charset="-79"/>
                          <a:cs typeface="Didot" panose="02000503000000020003" pitchFamily="2" charset="-79"/>
                        </a:defRPr>
                      </a:pPr>
                      <a:t>[]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 in Revenue per Order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1" u="none" strike="noStrike" kern="1200" baseline="0">
                      <a:solidFill>
                        <a:sysClr val="windowText" lastClr="000000"/>
                      </a:solidFill>
                      <a:latin typeface="Didot" panose="02000503000000020003" pitchFamily="2" charset="-79"/>
                      <a:ea typeface="+mn-ea"/>
                      <a:cs typeface="Didot" panose="02000503000000020003" pitchFamily="2" charset="-79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32698645766657"/>
                      <c:h val="0.2210433833989669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DF8-0A45-938A-6B7DAEDCA6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idot" panose="02000503000000020003" pitchFamily="2" charset="-79"/>
                    <a:ea typeface="+mn-ea"/>
                    <a:cs typeface="Didot" panose="02000503000000020003" pitchFamily="2" charset="-79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'Proforma _Summary'!$F$74</c:f>
              <c:strCache>
                <c:ptCount val="1"/>
                <c:pt idx="0">
                  <c:v>Per Order</c:v>
                </c:pt>
              </c:strCache>
            </c:strRef>
          </c:cat>
          <c:val>
            <c:numRef>
              <c:f>'Proforma _Summary'!$F$80</c:f>
              <c:numCache>
                <c:formatCode>"$"#,##0.00</c:formatCode>
                <c:ptCount val="1"/>
                <c:pt idx="0">
                  <c:v>5.8199999999999994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39-F24A-8694-373010BE1D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3551935"/>
        <c:axId val="1425184319"/>
      </c:barChart>
      <c:catAx>
        <c:axId val="1423551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184319"/>
        <c:crosses val="autoZero"/>
        <c:auto val="1"/>
        <c:lblAlgn val="ctr"/>
        <c:lblOffset val="100"/>
        <c:noMultiLvlLbl val="0"/>
      </c:catAx>
      <c:valAx>
        <c:axId val="1425184319"/>
        <c:scaling>
          <c:orientation val="minMax"/>
          <c:max val="7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42355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2"/>
          <c:order val="0"/>
          <c:tx>
            <c:strRef>
              <c:f>'Assumptions &amp; Sensitivity'!$B$44</c:f>
              <c:strCache>
                <c:ptCount val="1"/>
                <c:pt idx="0">
                  <c:v>Total Projected Revenues (in US$)</c:v>
                </c:pt>
              </c:strCache>
            </c:strRef>
          </c:tx>
          <c:invertIfNegative val="0"/>
          <c:cat>
            <c:strRef>
              <c:f>'Assumptions &amp; Sensitivity'!$K$1:$X$1</c:f>
              <c:strCache>
                <c:ptCount val="14"/>
                <c:pt idx="0">
                  <c:v>Q3-18</c:v>
                </c:pt>
                <c:pt idx="1">
                  <c:v>Q4-18</c:v>
                </c:pt>
                <c:pt idx="2">
                  <c:v>Q1-19</c:v>
                </c:pt>
                <c:pt idx="3">
                  <c:v>Q2-19</c:v>
                </c:pt>
                <c:pt idx="4">
                  <c:v>Q3-19</c:v>
                </c:pt>
                <c:pt idx="5">
                  <c:v>Q4-19</c:v>
                </c:pt>
                <c:pt idx="6">
                  <c:v>Q1-20</c:v>
                </c:pt>
                <c:pt idx="7">
                  <c:v>Q2-20</c:v>
                </c:pt>
                <c:pt idx="8">
                  <c:v>Q3-20</c:v>
                </c:pt>
                <c:pt idx="9">
                  <c:v>Q4-20</c:v>
                </c:pt>
                <c:pt idx="10">
                  <c:v>Q1-21</c:v>
                </c:pt>
                <c:pt idx="11">
                  <c:v>Q2-21</c:v>
                </c:pt>
                <c:pt idx="12">
                  <c:v>Q3-21</c:v>
                </c:pt>
                <c:pt idx="13">
                  <c:v>Q4-21</c:v>
                </c:pt>
              </c:strCache>
            </c:strRef>
          </c:cat>
          <c:val>
            <c:numRef>
              <c:f>'Assumptions &amp; Sensitivity'!$L$44:$X$44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128907.18</c:v>
                </c:pt>
                <c:pt idx="2">
                  <c:v>234368.49</c:v>
                </c:pt>
                <c:pt idx="3">
                  <c:v>366934.51</c:v>
                </c:pt>
                <c:pt idx="4">
                  <c:v>535504.02</c:v>
                </c:pt>
                <c:pt idx="5">
                  <c:v>779491.02999999991</c:v>
                </c:pt>
                <c:pt idx="6">
                  <c:v>1149722.5699999998</c:v>
                </c:pt>
                <c:pt idx="7">
                  <c:v>1722697.69</c:v>
                </c:pt>
                <c:pt idx="8">
                  <c:v>2391918.15</c:v>
                </c:pt>
                <c:pt idx="9">
                  <c:v>3646864.38</c:v>
                </c:pt>
                <c:pt idx="10">
                  <c:v>4740916.71</c:v>
                </c:pt>
                <c:pt idx="11">
                  <c:v>6163197.6399999997</c:v>
                </c:pt>
                <c:pt idx="12">
                  <c:v>8012157.3200000003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9-4393-B941-27214AA4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35984"/>
        <c:axId val="106016336"/>
      </c:barChart>
      <c:catAx>
        <c:axId val="95235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6016336"/>
        <c:crosses val="autoZero"/>
        <c:auto val="1"/>
        <c:lblAlgn val="ctr"/>
        <c:lblOffset val="100"/>
        <c:noMultiLvlLbl val="0"/>
      </c:catAx>
      <c:valAx>
        <c:axId val="10601633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crossAx val="952359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8375546914299"/>
          <c:y val="8.7892349793165098E-2"/>
          <c:w val="0.85316624593833701"/>
          <c:h val="0.84555820619823396"/>
        </c:manualLayout>
      </c:layout>
      <c:lineChart>
        <c:grouping val="stacked"/>
        <c:varyColors val="0"/>
        <c:ser>
          <c:idx val="0"/>
          <c:order val="0"/>
          <c:tx>
            <c:strRef>
              <c:f>'Assumptions &amp; Sensitivity'!$I$40:$J$40</c:f>
              <c:strCache>
                <c:ptCount val="2"/>
                <c:pt idx="0">
                  <c:v>Q1-18</c:v>
                </c:pt>
                <c:pt idx="1">
                  <c:v>Q2-18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2.5458069863855501E-2"/>
                  <c:y val="-2.6897012015165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9-EB42-833E-AD7904CE46F5}"/>
                </c:ext>
              </c:extLst>
            </c:dLbl>
            <c:dLbl>
              <c:idx val="10"/>
              <c:layout>
                <c:manualLayout>
                  <c:x val="4.4708069105981602E-2"/>
                  <c:y val="-2.6897012015165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99-EB42-833E-AD7904CE46F5}"/>
                </c:ext>
              </c:extLst>
            </c:dLbl>
            <c:dLbl>
              <c:idx val="11"/>
              <c:layout>
                <c:manualLayout>
                  <c:x val="3.9208069322516803E-2"/>
                  <c:y val="-3.6864391216023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99-EB42-833E-AD7904CE46F5}"/>
                </c:ext>
              </c:extLst>
            </c:dLbl>
            <c:dLbl>
              <c:idx val="12"/>
              <c:layout>
                <c:manualLayout>
                  <c:x val="1.31307081444583E-3"/>
                  <c:y val="-2.7893749935251299E-2"/>
                </c:manualLayout>
              </c:layout>
              <c:numFmt formatCode="#,##0,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123854798273393E-2"/>
                      <c:h val="2.58853622679287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499-EB42-833E-AD7904CE46F5}"/>
                </c:ext>
              </c:extLst>
            </c:dLbl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'Assumptions &amp; Sensitivity'!$I$1:$X$1</c:f>
              <c:strCache>
                <c:ptCount val="16"/>
                <c:pt idx="0">
                  <c:v>Q1-18</c:v>
                </c:pt>
                <c:pt idx="1">
                  <c:v>Q2-18</c:v>
                </c:pt>
                <c:pt idx="2">
                  <c:v>Q3-18</c:v>
                </c:pt>
                <c:pt idx="3">
                  <c:v>Q4-18</c:v>
                </c:pt>
                <c:pt idx="4">
                  <c:v>Q1-19</c:v>
                </c:pt>
                <c:pt idx="5">
                  <c:v>Q2-19</c:v>
                </c:pt>
                <c:pt idx="6">
                  <c:v>Q3-19</c:v>
                </c:pt>
                <c:pt idx="7">
                  <c:v>Q4-19</c:v>
                </c:pt>
                <c:pt idx="8">
                  <c:v>Q1-20</c:v>
                </c:pt>
                <c:pt idx="9">
                  <c:v>Q2-20</c:v>
                </c:pt>
                <c:pt idx="10">
                  <c:v>Q3-20</c:v>
                </c:pt>
                <c:pt idx="11">
                  <c:v>Q4-20</c:v>
                </c:pt>
                <c:pt idx="12">
                  <c:v>Q1-21</c:v>
                </c:pt>
                <c:pt idx="13">
                  <c:v>Q2-21</c:v>
                </c:pt>
                <c:pt idx="14">
                  <c:v>Q3-21</c:v>
                </c:pt>
                <c:pt idx="15">
                  <c:v>Q4-21</c:v>
                </c:pt>
              </c:strCache>
            </c:strRef>
          </c:cat>
          <c:val>
            <c:numRef>
              <c:f>'Assumptions &amp; Sensitivity'!$K$40:$X$40</c:f>
              <c:numCache>
                <c:formatCode>_(* #,##0_);_(* \(#,##0\);_(* "-"??_);_(@_)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56891.373174999993</c:v>
                </c:pt>
                <c:pt idx="3">
                  <c:v>103437</c:v>
                </c:pt>
                <c:pt idx="4">
                  <c:v>161942</c:v>
                </c:pt>
                <c:pt idx="5">
                  <c:v>236340</c:v>
                </c:pt>
                <c:pt idx="6">
                  <c:v>344023</c:v>
                </c:pt>
                <c:pt idx="7">
                  <c:v>507422</c:v>
                </c:pt>
                <c:pt idx="8">
                  <c:v>760302</c:v>
                </c:pt>
                <c:pt idx="9">
                  <c:v>1055661</c:v>
                </c:pt>
                <c:pt idx="10">
                  <c:v>1609524</c:v>
                </c:pt>
                <c:pt idx="11">
                  <c:v>2092382</c:v>
                </c:pt>
                <c:pt idx="12">
                  <c:v>2720098</c:v>
                </c:pt>
                <c:pt idx="13">
                  <c:v>3536128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99-EB42-833E-AD7904CE4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66736"/>
        <c:axId val="161633520"/>
      </c:lineChart>
      <c:catAx>
        <c:axId val="16166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3520"/>
        <c:crosses val="autoZero"/>
        <c:auto val="1"/>
        <c:lblAlgn val="ctr"/>
        <c:lblOffset val="100"/>
        <c:noMultiLvlLbl val="0"/>
      </c:catAx>
      <c:valAx>
        <c:axId val="1616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644878</xdr:colOff>
      <xdr:row>1</xdr:row>
      <xdr:rowOff>62089</xdr:rowOff>
    </xdr:from>
    <xdr:to>
      <xdr:col>33</xdr:col>
      <xdr:colOff>759178</xdr:colOff>
      <xdr:row>19</xdr:row>
      <xdr:rowOff>128411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563424-3120-8444-94B9-3F5445747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22931</xdr:colOff>
      <xdr:row>21</xdr:row>
      <xdr:rowOff>247298</xdr:rowOff>
    </xdr:from>
    <xdr:to>
      <xdr:col>26</xdr:col>
      <xdr:colOff>454024</xdr:colOff>
      <xdr:row>38</xdr:row>
      <xdr:rowOff>68086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9F6CF8-831F-8C49-9DC0-87DCDCC28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1000829</xdr:colOff>
      <xdr:row>1</xdr:row>
      <xdr:rowOff>215547</xdr:rowOff>
    </xdr:from>
    <xdr:to>
      <xdr:col>26</xdr:col>
      <xdr:colOff>485773</xdr:colOff>
      <xdr:row>21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7D339D-0B73-1847-BFDD-52201150C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564444</xdr:colOff>
      <xdr:row>40</xdr:row>
      <xdr:rowOff>239889</xdr:rowOff>
    </xdr:from>
    <xdr:to>
      <xdr:col>16</xdr:col>
      <xdr:colOff>0</xdr:colOff>
      <xdr:row>68</xdr:row>
      <xdr:rowOff>112889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1BC0DC-DB14-D34B-B0B6-01EAC6C49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635000</xdr:colOff>
      <xdr:row>69</xdr:row>
      <xdr:rowOff>131233</xdr:rowOff>
    </xdr:from>
    <xdr:to>
      <xdr:col>11</xdr:col>
      <xdr:colOff>959555</xdr:colOff>
      <xdr:row>85</xdr:row>
      <xdr:rowOff>239889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B9DA2-3948-614D-A229-1F88A372E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867287</xdr:colOff>
      <xdr:row>3</xdr:row>
      <xdr:rowOff>254683</xdr:rowOff>
    </xdr:from>
    <xdr:to>
      <xdr:col>45</xdr:col>
      <xdr:colOff>587751</xdr:colOff>
      <xdr:row>23</xdr:row>
      <xdr:rowOff>137788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284788</xdr:colOff>
      <xdr:row>25</xdr:row>
      <xdr:rowOff>163944</xdr:rowOff>
    </xdr:from>
    <xdr:to>
      <xdr:col>36</xdr:col>
      <xdr:colOff>450274</xdr:colOff>
      <xdr:row>48</xdr:row>
      <xdr:rowOff>161636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cstories.net/news/a-look-back-at-instagrams-growth-as-it-hits-100-million-monthly-active-us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B2:M81"/>
  <sheetViews>
    <sheetView showGridLines="0" tabSelected="1" zoomScale="80" zoomScaleNormal="80" workbookViewId="0">
      <selection activeCell="A4" sqref="A4"/>
    </sheetView>
  </sheetViews>
  <sheetFormatPr defaultColWidth="10.85546875" defaultRowHeight="20.100000000000001" customHeight="1"/>
  <cols>
    <col min="1" max="1" width="6" style="158" customWidth="1"/>
    <col min="2" max="2" width="2.42578125" style="158" customWidth="1"/>
    <col min="3" max="3" width="2.85546875" style="158" customWidth="1"/>
    <col min="4" max="4" width="39.7109375" style="158" customWidth="1"/>
    <col min="5" max="8" width="14" style="158" customWidth="1"/>
    <col min="9" max="9" width="18.140625" style="158" customWidth="1"/>
    <col min="10" max="10" width="17.7109375" style="158" customWidth="1"/>
    <col min="11" max="11" width="13.28515625" style="159" customWidth="1"/>
    <col min="12" max="12" width="16.7109375" style="158" customWidth="1"/>
    <col min="13" max="13" width="20.85546875" style="158" customWidth="1"/>
    <col min="14" max="14" width="13.42578125" style="158" customWidth="1"/>
    <col min="15" max="24" width="0.85546875" style="158" customWidth="1"/>
    <col min="25" max="16384" width="10.85546875" style="158"/>
  </cols>
  <sheetData>
    <row r="2" spans="2:11" ht="20.100000000000001" customHeight="1">
      <c r="B2" s="157" t="s">
        <v>0</v>
      </c>
    </row>
    <row r="3" spans="2:11" ht="9" customHeight="1"/>
    <row r="4" spans="2:11" ht="20.100000000000001" customHeight="1">
      <c r="B4" s="160"/>
    </row>
    <row r="5" spans="2:11" ht="9" customHeight="1"/>
    <row r="6" spans="2:11" ht="20.100000000000001" customHeight="1">
      <c r="B6" s="522" t="s">
        <v>1</v>
      </c>
      <c r="C6" s="523"/>
      <c r="D6" s="523"/>
      <c r="E6" s="161">
        <v>2017</v>
      </c>
      <c r="F6" s="161">
        <v>2018</v>
      </c>
      <c r="G6" s="161">
        <v>2019</v>
      </c>
      <c r="H6" s="161">
        <v>2020</v>
      </c>
      <c r="I6" s="161">
        <v>2021</v>
      </c>
      <c r="J6" s="162">
        <v>2022</v>
      </c>
    </row>
    <row r="7" spans="2:11" ht="9" customHeight="1">
      <c r="B7" s="163"/>
      <c r="J7" s="164"/>
    </row>
    <row r="8" spans="2:11" ht="20.100000000000001" customHeight="1">
      <c r="B8" s="163"/>
      <c r="C8" s="165" t="s">
        <v>2</v>
      </c>
      <c r="E8" s="166">
        <v>0</v>
      </c>
      <c r="F8" s="166">
        <f>'Assumptions &amp; Sensitivity'!L13+'Assumptions &amp; Sensitivity'!L30</f>
        <v>0</v>
      </c>
      <c r="G8" s="166">
        <f>SUM('Assumptions &amp; Sensitivity'!P13)+SUM('Assumptions &amp; Sensitivity'!P30)</f>
        <v>236340</v>
      </c>
      <c r="H8" s="166">
        <f>SUM('Assumptions &amp; Sensitivity'!T13)+SUM('Assumptions &amp; Sensitivity'!T30)</f>
        <v>1055661</v>
      </c>
      <c r="I8" s="166">
        <f>SUM('Assumptions &amp; Sensitivity'!X13)+SUM('Assumptions &amp; Sensitivity'!X30)</f>
        <v>3536128</v>
      </c>
      <c r="J8" s="167">
        <f>SUM('Assumptions &amp; Sensitivity'!AB13)+SUM('Assumptions &amp; Sensitivity'!AB30)</f>
        <v>7943561</v>
      </c>
    </row>
    <row r="9" spans="2:11" ht="20.100000000000001" customHeight="1">
      <c r="B9" s="163"/>
      <c r="C9" s="165" t="s">
        <v>3</v>
      </c>
      <c r="E9" s="166">
        <v>0</v>
      </c>
      <c r="F9" s="166">
        <f>SUM('Assumptions &amp; Sensitivity'!I17:L17)+SUM('Assumptions &amp; Sensitivity'!I34:L34)</f>
        <v>0</v>
      </c>
      <c r="G9" s="166">
        <f>SUM('Assumptions &amp; Sensitivity'!M17:P17)+SUM('Assumptions &amp; Sensitivity'!M34:P34)</f>
        <v>223447</v>
      </c>
      <c r="H9" s="166">
        <f>SUM('Assumptions &amp; Sensitivity'!Q17:T17)+SUM('Assumptions &amp; Sensitivity'!Q34:T34)</f>
        <v>1066967</v>
      </c>
      <c r="I9" s="166">
        <f>SUM('Assumptions &amp; Sensitivity'!U17:X17)+SUM('Assumptions &amp; Sensitivity'!U34:X34)</f>
        <v>3983256</v>
      </c>
      <c r="J9" s="167">
        <f>SUM('Assumptions &amp; Sensitivity'!Y17:AB17)+SUM('Assumptions &amp; Sensitivity'!Y34:AB34)</f>
        <v>9870612</v>
      </c>
    </row>
    <row r="10" spans="2:11" s="170" customFormat="1" ht="20.100000000000001" customHeight="1">
      <c r="B10" s="168"/>
      <c r="C10" s="169" t="s">
        <v>4</v>
      </c>
      <c r="E10" s="171">
        <v>0</v>
      </c>
      <c r="F10" s="171">
        <f>SUM('Assumptions &amp; Sensitivity'!I19:L19)+SUM('Assumptions &amp; Sensitivity'!I36:L36)</f>
        <v>0</v>
      </c>
      <c r="G10" s="171">
        <f>SUM('Assumptions &amp; Sensitivity'!M19:P19)+SUM('Assumptions &amp; Sensitivity'!M36:P36)</f>
        <v>21674359</v>
      </c>
      <c r="H10" s="171">
        <f>SUM('Assumptions &amp; Sensitivity'!Q19:T19)+SUM('Assumptions &amp; Sensitivity'!Q36:T36)</f>
        <v>103495799</v>
      </c>
      <c r="I10" s="171">
        <f>SUM('Assumptions &amp; Sensitivity'!U19:X19)+SUM('Assumptions &amp; Sensitivity'!U36:X36)</f>
        <v>386375832</v>
      </c>
      <c r="J10" s="172">
        <f>SUM('Assumptions &amp; Sensitivity'!Y19:AB19)+SUM('Assumptions &amp; Sensitivity'!Y36:AB36)</f>
        <v>984354507</v>
      </c>
      <c r="K10" s="173"/>
    </row>
    <row r="11" spans="2:11" ht="9" customHeight="1">
      <c r="B11" s="163"/>
      <c r="C11" s="165"/>
      <c r="E11" s="166"/>
      <c r="F11" s="166"/>
      <c r="G11" s="166"/>
      <c r="H11" s="166"/>
      <c r="I11" s="166"/>
      <c r="J11" s="167"/>
    </row>
    <row r="12" spans="2:11" s="170" customFormat="1" ht="20.100000000000001" customHeight="1">
      <c r="B12" s="168"/>
      <c r="C12" s="169" t="s">
        <v>5</v>
      </c>
      <c r="E12" s="171">
        <v>0</v>
      </c>
      <c r="F12" s="171">
        <f>'P&amp;L'!N3</f>
        <v>0</v>
      </c>
      <c r="G12" s="171">
        <f>'P&amp;L'!S3</f>
        <v>1265714.2</v>
      </c>
      <c r="H12" s="171">
        <f>'P&amp;L'!X3</f>
        <v>6043829.4399999995</v>
      </c>
      <c r="I12" s="171">
        <f>'P&amp;L'!AC3</f>
        <v>22563136.050000001</v>
      </c>
      <c r="J12" s="172">
        <f>'P&amp;L'!AH3</f>
        <v>57483212.620000005</v>
      </c>
      <c r="K12" s="173"/>
    </row>
    <row r="13" spans="2:11" ht="20.100000000000001" customHeight="1">
      <c r="B13" s="163"/>
      <c r="C13" s="165" t="s">
        <v>6</v>
      </c>
      <c r="E13" s="166">
        <f>SUM('Assumptions &amp; Sensitivity'!E57:H57)</f>
        <v>12788.220000000001</v>
      </c>
      <c r="F13" s="166">
        <f>SUM('Assumptions &amp; Sensitivity'!I57:L57)</f>
        <v>58722.5</v>
      </c>
      <c r="G13" s="166">
        <f>SUM('Assumptions &amp; Sensitivity'!M57:P57)</f>
        <v>235642.09876589838</v>
      </c>
      <c r="H13" s="166">
        <f>SUM('Assumptions &amp; Sensitivity'!Q57:T57)</f>
        <v>771210.23969237413</v>
      </c>
      <c r="I13" s="166">
        <f>SUM('Assumptions &amp; Sensitivity'!U57:X57)</f>
        <v>2233425.6009302884</v>
      </c>
      <c r="J13" s="167">
        <f>SUM('Assumptions &amp; Sensitivity'!Y57:AB57)</f>
        <v>5074707.7494642027</v>
      </c>
      <c r="K13" s="174">
        <f>J13/$J$12</f>
        <v>8.8281561140488019E-2</v>
      </c>
    </row>
    <row r="14" spans="2:11" ht="20.100000000000001" customHeight="1">
      <c r="B14" s="163"/>
      <c r="C14" s="175" t="s">
        <v>7</v>
      </c>
      <c r="E14" s="166">
        <f>E12-E13</f>
        <v>-12788.220000000001</v>
      </c>
      <c r="F14" s="166">
        <f t="shared" ref="F14:I14" si="0">F12-F13</f>
        <v>-58722.5</v>
      </c>
      <c r="G14" s="166">
        <f t="shared" si="0"/>
        <v>1030072.1012341016</v>
      </c>
      <c r="H14" s="166">
        <f t="shared" si="0"/>
        <v>5272619.2003076253</v>
      </c>
      <c r="I14" s="166">
        <f t="shared" si="0"/>
        <v>20329710.449069712</v>
      </c>
      <c r="J14" s="167">
        <f t="shared" ref="J14" si="1">J12-J13</f>
        <v>52408504.870535806</v>
      </c>
      <c r="K14" s="174"/>
    </row>
    <row r="15" spans="2:11" ht="9" customHeight="1">
      <c r="B15" s="163"/>
      <c r="C15" s="165"/>
      <c r="E15" s="166"/>
      <c r="F15" s="166"/>
      <c r="G15" s="166"/>
      <c r="H15" s="166"/>
      <c r="I15" s="166"/>
      <c r="J15" s="167"/>
      <c r="K15" s="174"/>
    </row>
    <row r="16" spans="2:11" ht="20.100000000000001" customHeight="1">
      <c r="B16" s="163"/>
      <c r="C16" s="169" t="s">
        <v>8</v>
      </c>
      <c r="D16" s="170"/>
      <c r="J16" s="164"/>
      <c r="K16" s="174"/>
    </row>
    <row r="17" spans="2:11" ht="20.100000000000001" customHeight="1">
      <c r="B17" s="163"/>
      <c r="C17" s="165"/>
      <c r="D17" s="165" t="s">
        <v>9</v>
      </c>
      <c r="E17" s="166">
        <f>SUM(E18:E19)</f>
        <v>38000</v>
      </c>
      <c r="F17" s="166">
        <f t="shared" ref="F17:I17" si="2">SUM(F18:F19)</f>
        <v>387000</v>
      </c>
      <c r="G17" s="166">
        <f t="shared" si="2"/>
        <v>561825</v>
      </c>
      <c r="H17" s="166">
        <f t="shared" si="2"/>
        <v>1373557.5</v>
      </c>
      <c r="I17" s="166">
        <f t="shared" si="2"/>
        <v>2355424.8949999996</v>
      </c>
      <c r="J17" s="167">
        <f t="shared" ref="J17" si="3">SUM(J18:J19)</f>
        <v>2494157.0199999996</v>
      </c>
      <c r="K17" s="174">
        <f>J17/$J$12</f>
        <v>4.3389311528009712E-2</v>
      </c>
    </row>
    <row r="18" spans="2:11" ht="20.100000000000001" customHeight="1">
      <c r="B18" s="163"/>
      <c r="C18" s="165"/>
      <c r="D18" s="176" t="s">
        <v>10</v>
      </c>
      <c r="E18" s="177">
        <f>SUM('Hiring Plan'!D105:G105)</f>
        <v>38000</v>
      </c>
      <c r="F18" s="177">
        <f>SUM('Hiring Plan'!H105:K105)</f>
        <v>337000</v>
      </c>
      <c r="G18" s="177">
        <f>SUM('Hiring Plan'!L108:O108)</f>
        <v>201824.99999999997</v>
      </c>
      <c r="H18" s="177">
        <f>SUM('Hiring Plan'!P105:S105)</f>
        <v>890857.5</v>
      </c>
      <c r="I18" s="177">
        <f>SUM('Hiring Plan'!T105:W105)</f>
        <v>1533634.0199999998</v>
      </c>
      <c r="J18" s="178">
        <f>SUM('Hiring Plan'!X105:AA105)</f>
        <v>1533634.0199999998</v>
      </c>
      <c r="K18" s="174">
        <f t="shared" ref="K18:K29" si="4">J18/$J$12</f>
        <v>2.6679685252428045E-2</v>
      </c>
    </row>
    <row r="19" spans="2:11" ht="20.100000000000001" customHeight="1">
      <c r="B19" s="163"/>
      <c r="C19" s="165"/>
      <c r="D19" s="176" t="s">
        <v>11</v>
      </c>
      <c r="E19" s="177">
        <f>SUM('Hiring Plan'!D101:G101)+SUM('Hiring Plan'!D129:G129)+SUM('Hiring Plan'!D132:G132)+SUM('Hiring Plan'!D135:G136)+SUM('Hiring Plan'!D141:G141)</f>
        <v>0</v>
      </c>
      <c r="F19" s="177">
        <f>SUM('Hiring Plan'!H101:K101)+SUM('Hiring Plan'!H129:K129)+SUM('Hiring Plan'!H132:K132)+SUM('Hiring Plan'!H135:K136)+SUM('Hiring Plan'!H141:K141)</f>
        <v>50000</v>
      </c>
      <c r="G19" s="177">
        <f>SUM('Hiring Plan'!L101:O101)+SUM('Hiring Plan'!L129:O129)+SUM('Hiring Plan'!L132:O132)+SUM('Hiring Plan'!L135:O136)+SUM('Hiring Plan'!L141:O141)</f>
        <v>360000</v>
      </c>
      <c r="H19" s="177">
        <f>SUM('Hiring Plan'!P101:S101)+SUM('Hiring Plan'!P129:S129)+SUM('Hiring Plan'!P132:S132)+SUM('Hiring Plan'!P135:S136)+SUM('Hiring Plan'!P141:S141)</f>
        <v>482700</v>
      </c>
      <c r="I19" s="177">
        <f>SUM('Hiring Plan'!T101:W101)+SUM('Hiring Plan'!T129:W129)+SUM('Hiring Plan'!T132:W132)+SUM('Hiring Plan'!T135:W136)+SUM('Hiring Plan'!T141:W141)</f>
        <v>821790.875</v>
      </c>
      <c r="J19" s="178">
        <f>SUM('Hiring Plan'!X101:AA101)+SUM('Hiring Plan'!X129:AA129)+SUM('Hiring Plan'!X132:AA132)+SUM('Hiring Plan'!X135:AA136)+SUM('Hiring Plan'!X141:AA141)</f>
        <v>960523</v>
      </c>
      <c r="K19" s="174">
        <f t="shared" si="4"/>
        <v>1.670962627558167E-2</v>
      </c>
    </row>
    <row r="20" spans="2:11" ht="20.100000000000001" customHeight="1">
      <c r="B20" s="163"/>
      <c r="C20" s="165"/>
      <c r="D20" s="165" t="s">
        <v>12</v>
      </c>
      <c r="E20" s="166">
        <f>SUM('Assumptions &amp; Sensitivity'!E49:H49)</f>
        <v>33049.369999999995</v>
      </c>
      <c r="F20" s="166">
        <f>SUM('Assumptions &amp; Sensitivity'!I49:L49)</f>
        <v>95203.125</v>
      </c>
      <c r="G20" s="166">
        <f>SUM('Assumptions &amp; Sensitivity'!M49:P49)</f>
        <v>52792.5</v>
      </c>
      <c r="H20" s="166">
        <f>SUM('Assumptions &amp; Sensitivity'!Q49:T49)</f>
        <v>53444.55</v>
      </c>
      <c r="I20" s="166">
        <f>SUM('Assumptions &amp; Sensitivity'!U49:X49)</f>
        <v>34162.5</v>
      </c>
      <c r="J20" s="167">
        <f>SUM('Assumptions &amp; Sensitivity'!Y49:AB49)</f>
        <v>34162.5</v>
      </c>
      <c r="K20" s="174">
        <f t="shared" si="4"/>
        <v>5.9430394445480106E-4</v>
      </c>
    </row>
    <row r="21" spans="2:11" ht="20.100000000000001" customHeight="1">
      <c r="B21" s="163"/>
      <c r="D21" s="165" t="s">
        <v>13</v>
      </c>
      <c r="E21" s="166">
        <f>SUM('Assumptions &amp; Sensitivity'!E50:H50)</f>
        <v>3683.9500000000003</v>
      </c>
      <c r="F21" s="166">
        <f>SUM('Assumptions &amp; Sensitivity'!I50:L50)</f>
        <v>57120</v>
      </c>
      <c r="G21" s="166">
        <f>SUM('Assumptions &amp; Sensitivity'!M50:P50)</f>
        <v>117096</v>
      </c>
      <c r="H21" s="166">
        <f>SUM('Assumptions &amp; Sensitivity'!Q50:T50)</f>
        <v>184426.2</v>
      </c>
      <c r="I21" s="166">
        <f>SUM('Assumptions &amp; Sensitivity'!U50:X50)</f>
        <v>193647.50999999998</v>
      </c>
      <c r="J21" s="167">
        <f>SUM('Assumptions &amp; Sensitivity'!Y50:AB50)</f>
        <v>198535.92885000003</v>
      </c>
      <c r="K21" s="174">
        <f t="shared" si="4"/>
        <v>3.4538071169133624E-3</v>
      </c>
    </row>
    <row r="22" spans="2:11" ht="20.100000000000001" customHeight="1">
      <c r="B22" s="163"/>
      <c r="D22" s="165" t="s">
        <v>14</v>
      </c>
      <c r="E22" s="179">
        <f>SUM('Assumptions &amp; Sensitivity'!E67:H67)</f>
        <v>0</v>
      </c>
      <c r="F22" s="179">
        <f>SUM('Assumptions &amp; Sensitivity'!I67:L67)</f>
        <v>272987.5</v>
      </c>
      <c r="G22" s="166">
        <f>SUM('Assumptions &amp; Sensitivity'!M67:P67)</f>
        <v>266719.5</v>
      </c>
      <c r="H22" s="166">
        <f>SUM('Assumptions &amp; Sensitivity'!Q67:T67)</f>
        <v>275955.87749999994</v>
      </c>
      <c r="I22" s="166">
        <f>SUM('Assumptions &amp; Sensitivity'!U67:X67)</f>
        <v>154755.87749999994</v>
      </c>
      <c r="J22" s="167">
        <f>SUM('Assumptions &amp; Sensitivity'!Y67:AB67)</f>
        <v>270832.7856249999</v>
      </c>
      <c r="K22" s="174">
        <f t="shared" si="4"/>
        <v>4.7115109486899074E-3</v>
      </c>
    </row>
    <row r="23" spans="2:11" ht="20.100000000000001" customHeight="1">
      <c r="B23" s="163"/>
      <c r="D23" s="165" t="s">
        <v>15</v>
      </c>
      <c r="E23" s="166">
        <f>SUM('Assumptions &amp; Sensitivity'!E71:H71)</f>
        <v>1902.54</v>
      </c>
      <c r="F23" s="166">
        <f>SUM('Assumptions &amp; Sensitivity'!I71:L71)</f>
        <v>5200</v>
      </c>
      <c r="G23" s="166">
        <f>SUM('Assumptions &amp; Sensitivity'!M71:P71)</f>
        <v>8550</v>
      </c>
      <c r="H23" s="166">
        <f>SUM('Assumptions &amp; Sensitivity'!Q71:T71)</f>
        <v>15300</v>
      </c>
      <c r="I23" s="166">
        <f>SUM('Assumptions &amp; Sensitivity'!U71:X71)</f>
        <v>25842</v>
      </c>
      <c r="J23" s="167">
        <f>SUM('Assumptions &amp; Sensitivity'!Y71:AB71)</f>
        <v>27642</v>
      </c>
      <c r="K23" s="174">
        <f t="shared" si="4"/>
        <v>4.8087082715315358E-4</v>
      </c>
    </row>
    <row r="24" spans="2:11" ht="20.100000000000001" customHeight="1">
      <c r="B24" s="163"/>
      <c r="D24" s="165" t="s">
        <v>16</v>
      </c>
      <c r="E24" s="166">
        <f>SUM('Assumptions &amp; Sensitivity'!E72:H72)</f>
        <v>0</v>
      </c>
      <c r="F24" s="166">
        <f>SUM('Assumptions &amp; Sensitivity'!I72:L72)</f>
        <v>1800</v>
      </c>
      <c r="G24" s="166">
        <f>SUM('Assumptions &amp; Sensitivity'!M72:P72)</f>
        <v>5600</v>
      </c>
      <c r="H24" s="166">
        <f>SUM('Assumptions &amp; Sensitivity'!Q72:T72)</f>
        <v>8500</v>
      </c>
      <c r="I24" s="166">
        <f>SUM('Assumptions &amp; Sensitivity'!U72:X72)</f>
        <v>15821</v>
      </c>
      <c r="J24" s="167">
        <f>SUM('Assumptions &amp; Sensitivity'!Y72:AB72)</f>
        <v>18428</v>
      </c>
      <c r="K24" s="174">
        <f t="shared" si="4"/>
        <v>3.2058055143543572E-4</v>
      </c>
    </row>
    <row r="25" spans="2:11" ht="20.100000000000001" customHeight="1">
      <c r="B25" s="163"/>
      <c r="D25" s="165" t="s">
        <v>17</v>
      </c>
      <c r="E25" s="166">
        <f>SUM('Assumptions &amp; Sensitivity'!E73:H73)</f>
        <v>64404.04</v>
      </c>
      <c r="F25" s="166">
        <f>SUM('Assumptions &amp; Sensitivity'!I73:L73)</f>
        <v>50000</v>
      </c>
      <c r="G25" s="166">
        <f>SUM('Assumptions &amp; Sensitivity'!M73:P73)</f>
        <v>60000</v>
      </c>
      <c r="H25" s="166">
        <f>SUM('Assumptions &amp; Sensitivity'!Q73:T73)</f>
        <v>100000</v>
      </c>
      <c r="I25" s="166">
        <f>SUM('Assumptions &amp; Sensitivity'!U73:X73)</f>
        <v>120000</v>
      </c>
      <c r="J25" s="167">
        <f>SUM('Assumptions &amp; Sensitivity'!Y73:AB73)</f>
        <v>120010</v>
      </c>
      <c r="K25" s="174">
        <f t="shared" si="4"/>
        <v>2.0877399597225223E-3</v>
      </c>
    </row>
    <row r="26" spans="2:11" ht="20.100000000000001" customHeight="1">
      <c r="B26" s="163"/>
      <c r="D26" s="165" t="s">
        <v>18</v>
      </c>
      <c r="E26" s="166">
        <f>SUM('Assumptions &amp; Sensitivity'!E74:H74)+E27</f>
        <v>129.99</v>
      </c>
      <c r="F26" s="166">
        <f>SUM('Assumptions &amp; Sensitivity'!I74:L74)+F27</f>
        <v>125000</v>
      </c>
      <c r="G26" s="166">
        <f>SUM('Assumptions &amp; Sensitivity'!M74:P74)+G27</f>
        <v>500000</v>
      </c>
      <c r="H26" s="166">
        <f>SUM('Assumptions &amp; Sensitivity'!Q74:T74)+H27</f>
        <v>2053648.8319999999</v>
      </c>
      <c r="I26" s="166">
        <f>SUM('Assumptions &amp; Sensitivity'!U74:X74)+I27</f>
        <v>7324030.3149999995</v>
      </c>
      <c r="J26" s="167">
        <f>SUM('Assumptions &amp; Sensitivity'!Y74:AB74)+J27</f>
        <v>17900053.285999998</v>
      </c>
      <c r="K26" s="174">
        <f t="shared" si="4"/>
        <v>0.31139618803720226</v>
      </c>
    </row>
    <row r="27" spans="2:11" ht="20.100000000000001" customHeight="1">
      <c r="B27" s="163"/>
      <c r="D27" s="180" t="s">
        <v>19</v>
      </c>
      <c r="E27" s="181">
        <f>SUM('Hiring Plan'!D118:G118)</f>
        <v>0</v>
      </c>
      <c r="F27" s="181">
        <f>SUM('Hiring Plan'!H118:K118)</f>
        <v>50000</v>
      </c>
      <c r="G27" s="181">
        <f>SUM('Hiring Plan'!L118:O118)</f>
        <v>100000</v>
      </c>
      <c r="H27" s="181">
        <f>SUM('Hiring Plan'!P118:S118)</f>
        <v>240500</v>
      </c>
      <c r="I27" s="181">
        <f>SUM('Hiring Plan'!T118:W118)</f>
        <v>555089.5</v>
      </c>
      <c r="J27" s="182">
        <f>SUM('Hiring Plan'!X118:AA118)</f>
        <v>655089.5</v>
      </c>
      <c r="K27" s="174">
        <f t="shared" si="4"/>
        <v>1.1396188037202295E-2</v>
      </c>
    </row>
    <row r="28" spans="2:11" ht="20.100000000000001" customHeight="1">
      <c r="B28" s="163"/>
      <c r="D28" s="165" t="s">
        <v>20</v>
      </c>
      <c r="E28" s="166">
        <f>SUM('Assumptions &amp; Sensitivity'!E75:H75)</f>
        <v>20603.740000000002</v>
      </c>
      <c r="F28" s="166">
        <f>SUM('Assumptions &amp; Sensitivity'!I75:L75)</f>
        <v>22000</v>
      </c>
      <c r="G28" s="166">
        <f>SUM('Assumptions &amp; Sensitivity'!M75:P75)</f>
        <v>40000</v>
      </c>
      <c r="H28" s="166">
        <f>SUM('Assumptions &amp; Sensitivity'!Q75:T75)</f>
        <v>130000</v>
      </c>
      <c r="I28" s="166">
        <f>SUM('Assumptions &amp; Sensitivity'!U75:X75)</f>
        <v>200000</v>
      </c>
      <c r="J28" s="167">
        <f>SUM('Assumptions &amp; Sensitivity'!Y75:AB75)</f>
        <v>200010</v>
      </c>
      <c r="K28" s="174">
        <f t="shared" si="4"/>
        <v>3.4794506236488767E-3</v>
      </c>
    </row>
    <row r="29" spans="2:11" ht="20.100000000000001" customHeight="1">
      <c r="B29" s="163"/>
      <c r="D29" s="165" t="s">
        <v>21</v>
      </c>
      <c r="E29" s="166">
        <f>SUM('Assumptions &amp; Sensitivity'!E76:H76)</f>
        <v>19011.650000000001</v>
      </c>
      <c r="F29" s="166">
        <f>SUM('Assumptions &amp; Sensitivity'!I76:L76)</f>
        <v>20000</v>
      </c>
      <c r="G29" s="166">
        <f>SUM('Assumptions &amp; Sensitivity'!M76:P76)</f>
        <v>12657.142</v>
      </c>
      <c r="H29" s="166">
        <f>SUM('Assumptions &amp; Sensitivity'!Q76:T76)</f>
        <v>60438.294399999999</v>
      </c>
      <c r="I29" s="166">
        <f>SUM('Assumptions &amp; Sensitivity'!U76:X76)</f>
        <v>225631.36050000001</v>
      </c>
      <c r="J29" s="167">
        <f>SUM('Assumptions &amp; Sensitivity'!Y76:AB76)</f>
        <v>574832.12620000006</v>
      </c>
      <c r="K29" s="174">
        <f t="shared" si="4"/>
        <v>0.01</v>
      </c>
    </row>
    <row r="30" spans="2:11" ht="20.100000000000001" customHeight="1">
      <c r="B30" s="163"/>
      <c r="E30" s="183">
        <f>E17+SUM(E20:E26)+E28+E29</f>
        <v>180785.28</v>
      </c>
      <c r="F30" s="183">
        <f t="shared" ref="F30:I30" si="5">F17+SUM(F20:F26)+F28+F29</f>
        <v>1036310.625</v>
      </c>
      <c r="G30" s="183">
        <f t="shared" si="5"/>
        <v>1625240.142</v>
      </c>
      <c r="H30" s="183">
        <f t="shared" si="5"/>
        <v>4255271.2538999999</v>
      </c>
      <c r="I30" s="183">
        <f t="shared" si="5"/>
        <v>10649315.458000001</v>
      </c>
      <c r="J30" s="184">
        <f t="shared" ref="J30" si="6">J17+SUM(J20:J26)+J28+J29</f>
        <v>21838663.646674998</v>
      </c>
    </row>
    <row r="31" spans="2:11" ht="9" customHeight="1">
      <c r="B31" s="163"/>
      <c r="F31" s="185"/>
      <c r="G31" s="185"/>
      <c r="H31" s="185"/>
      <c r="I31" s="185"/>
      <c r="J31" s="186"/>
    </row>
    <row r="32" spans="2:11" s="170" customFormat="1" ht="20.100000000000001" customHeight="1">
      <c r="B32" s="168"/>
      <c r="C32" s="169" t="s">
        <v>22</v>
      </c>
      <c r="E32" s="171">
        <f>E14-E30</f>
        <v>-193573.5</v>
      </c>
      <c r="F32" s="171">
        <f>F14-F30</f>
        <v>-1095033.125</v>
      </c>
      <c r="G32" s="171">
        <f>G14-G30</f>
        <v>-595168.04076589842</v>
      </c>
      <c r="H32" s="171">
        <f>H14-H30</f>
        <v>1017347.9464076255</v>
      </c>
      <c r="I32" s="171">
        <f>I14-I30</f>
        <v>9680394.9910697117</v>
      </c>
      <c r="J32" s="172">
        <f t="shared" ref="J32" si="7">J14-J30</f>
        <v>30569841.223860808</v>
      </c>
      <c r="K32" s="174">
        <f>J32/$J$12</f>
        <v>0.53180467532228204</v>
      </c>
    </row>
    <row r="33" spans="2:10" ht="9" customHeight="1">
      <c r="B33" s="163"/>
      <c r="F33" s="185"/>
      <c r="G33" s="185"/>
      <c r="H33" s="185"/>
      <c r="I33" s="185"/>
      <c r="J33" s="186"/>
    </row>
    <row r="34" spans="2:10" ht="20.100000000000001" customHeight="1">
      <c r="B34" s="163"/>
      <c r="C34" s="169" t="s">
        <v>23</v>
      </c>
      <c r="F34" s="185"/>
      <c r="G34" s="185"/>
      <c r="H34" s="187"/>
      <c r="I34" s="185"/>
      <c r="J34" s="186"/>
    </row>
    <row r="35" spans="2:10" ht="20.100000000000001" customHeight="1">
      <c r="B35" s="163"/>
      <c r="D35" s="165" t="s">
        <v>24</v>
      </c>
      <c r="E35" s="188" t="s">
        <v>25</v>
      </c>
      <c r="F35" s="188" t="s">
        <v>25</v>
      </c>
      <c r="G35" s="189">
        <f>G30/G12</f>
        <v>1.2840498605451374</v>
      </c>
      <c r="H35" s="189">
        <f>H30/H12</f>
        <v>0.70406871936809656</v>
      </c>
      <c r="I35" s="189">
        <f>I30/I12</f>
        <v>0.47197851550427539</v>
      </c>
      <c r="J35" s="190">
        <f>J30/J12</f>
        <v>0.37991376353723</v>
      </c>
    </row>
    <row r="36" spans="2:10" ht="20.100000000000001" customHeight="1">
      <c r="B36" s="163"/>
      <c r="D36" s="165" t="s">
        <v>26</v>
      </c>
      <c r="E36" s="188" t="s">
        <v>25</v>
      </c>
      <c r="F36" s="188" t="s">
        <v>25</v>
      </c>
      <c r="G36" s="189">
        <f>G26/G12</f>
        <v>0.39503388679687723</v>
      </c>
      <c r="H36" s="189">
        <f>H26/H12</f>
        <v>0.33979265172645245</v>
      </c>
      <c r="I36" s="189">
        <f>I26/I12</f>
        <v>0.32460161117541103</v>
      </c>
      <c r="J36" s="190">
        <f>J26/J12</f>
        <v>0.31139618803720226</v>
      </c>
    </row>
    <row r="37" spans="2:10" ht="20.100000000000001" customHeight="1">
      <c r="B37" s="163"/>
      <c r="D37" s="165" t="s">
        <v>7</v>
      </c>
      <c r="E37" s="188" t="s">
        <v>25</v>
      </c>
      <c r="F37" s="188" t="s">
        <v>25</v>
      </c>
      <c r="G37" s="189">
        <f>G14/G12</f>
        <v>0.81382677166306705</v>
      </c>
      <c r="H37" s="189">
        <f>H14/H12</f>
        <v>0.87239708741807676</v>
      </c>
      <c r="I37" s="189">
        <f>I14/I12</f>
        <v>0.90101439817669815</v>
      </c>
      <c r="J37" s="190">
        <f>J14/J12</f>
        <v>0.91171843885951209</v>
      </c>
    </row>
    <row r="38" spans="2:10" ht="20.100000000000001" customHeight="1">
      <c r="B38" s="191"/>
      <c r="C38" s="192"/>
      <c r="D38" s="193" t="s">
        <v>27</v>
      </c>
      <c r="E38" s="194" t="s">
        <v>25</v>
      </c>
      <c r="F38" s="194" t="s">
        <v>25</v>
      </c>
      <c r="G38" s="195">
        <f>G32/G12</f>
        <v>-0.47022308888207026</v>
      </c>
      <c r="H38" s="195">
        <f>H32/H12</f>
        <v>0.16832836804998016</v>
      </c>
      <c r="I38" s="195">
        <f>I32/I12</f>
        <v>0.42903588267242271</v>
      </c>
      <c r="J38" s="196">
        <f>J32/J12</f>
        <v>0.53180467532228204</v>
      </c>
    </row>
    <row r="39" spans="2:10" ht="20.100000000000001" customHeight="1">
      <c r="F39" s="197"/>
      <c r="G39" s="197"/>
      <c r="H39" s="197"/>
      <c r="I39" s="197"/>
    </row>
    <row r="40" spans="2:10" ht="20.100000000000001" customHeight="1">
      <c r="F40" s="197"/>
      <c r="G40" s="197"/>
      <c r="H40" s="197"/>
      <c r="I40" s="197"/>
    </row>
    <row r="42" spans="2:10" ht="20.100000000000001" customHeight="1">
      <c r="B42" s="158" t="s">
        <v>28</v>
      </c>
    </row>
    <row r="44" spans="2:10" ht="20.100000000000001" customHeight="1" thickBot="1">
      <c r="D44" s="158" t="s">
        <v>29</v>
      </c>
    </row>
    <row r="45" spans="2:10" ht="20.100000000000001" customHeight="1">
      <c r="D45" s="200" t="s">
        <v>30</v>
      </c>
      <c r="E45" s="201">
        <f>SUM('Hiring Plan'!J105:O105)</f>
        <v>813025</v>
      </c>
      <c r="F45" s="202">
        <f t="shared" ref="F45:F50" si="8">E45/$E$54</f>
        <v>0.25817567969672134</v>
      </c>
    </row>
    <row r="46" spans="2:10" ht="20.100000000000001" customHeight="1">
      <c r="D46" s="203" t="s">
        <v>31</v>
      </c>
      <c r="E46" s="204">
        <f>SUM('Hiring Plan'!J144:O144)-SUM('Hiring Plan'!J105:O105)-SUM('Hiring Plan'!J118:O118)</f>
        <v>410000</v>
      </c>
      <c r="F46" s="205">
        <f t="shared" si="8"/>
        <v>0.13019529371871189</v>
      </c>
    </row>
    <row r="47" spans="2:10" ht="20.100000000000001" customHeight="1">
      <c r="D47" s="203" t="s">
        <v>32</v>
      </c>
      <c r="E47" s="204">
        <f>SUM('Assumptions &amp; Sensitivity'!K74:P74)+SUM('Hiring Plan'!J118:O118)</f>
        <v>625000</v>
      </c>
      <c r="F47" s="205">
        <f t="shared" si="8"/>
        <v>0.19846843554681692</v>
      </c>
    </row>
    <row r="48" spans="2:10" ht="20.100000000000001" customHeight="1">
      <c r="D48" s="203" t="s">
        <v>33</v>
      </c>
      <c r="E48" s="204">
        <f>SUM('Assumptions &amp; Sensitivity'!K57:P57)+SUM('Assumptions &amp; Sensitivity'!K71:P72)</f>
        <v>304514.59876589838</v>
      </c>
      <c r="F48" s="205">
        <f t="shared" si="8"/>
        <v>9.6698457629175227E-2</v>
      </c>
    </row>
    <row r="49" spans="4:13" ht="20.100000000000001" customHeight="1">
      <c r="D49" s="203" t="s">
        <v>34</v>
      </c>
      <c r="E49" s="204">
        <f>SUM('Assumptions &amp; Sensitivity'!K78:P78)</f>
        <v>338873.14199999999</v>
      </c>
      <c r="F49" s="205">
        <f t="shared" si="8"/>
        <v>0.10760899574651893</v>
      </c>
    </row>
    <row r="50" spans="4:13" ht="20.100000000000001" customHeight="1">
      <c r="D50" s="203" t="s">
        <v>14</v>
      </c>
      <c r="E50" s="204">
        <f>SUM('Assumptions &amp; Sensitivity'!K69:P69)</f>
        <v>334237.5</v>
      </c>
      <c r="F50" s="205">
        <f t="shared" si="8"/>
        <v>0.10613694996172675</v>
      </c>
      <c r="G50" s="199">
        <f>E50/SUM($E$50:$E$53)</f>
        <v>0.50818939638563854</v>
      </c>
    </row>
    <row r="51" spans="4:13" ht="20.100000000000001" customHeight="1">
      <c r="D51" s="203" t="s">
        <v>35</v>
      </c>
      <c r="E51" s="204">
        <f>SUM('Assumptions &amp; Sensitivity'!K68:P68)+SUM('Assumptions &amp; Sensitivity'!K70:P70)</f>
        <v>205469.5</v>
      </c>
      <c r="F51" s="205">
        <f t="shared" ref="F51:F52" si="9">E51/$E$54</f>
        <v>6.5246736348138712E-2</v>
      </c>
      <c r="G51" s="199">
        <f t="shared" ref="G51:G53" si="10">E51/SUM($E$50:$E$53)</f>
        <v>0.31240486534472933</v>
      </c>
    </row>
    <row r="52" spans="4:13" ht="20.100000000000001" customHeight="1">
      <c r="D52" s="203" t="s">
        <v>36</v>
      </c>
      <c r="E52" s="204">
        <f>SUM('Hiring Plan'!J152:O153)+SUM('Hiring Plan'!J156:O156)</f>
        <v>89730</v>
      </c>
      <c r="F52" s="205">
        <f t="shared" si="9"/>
        <v>2.8493716354585412E-2</v>
      </c>
      <c r="G52" s="199">
        <f t="shared" si="10"/>
        <v>0.13642943876041244</v>
      </c>
    </row>
    <row r="53" spans="4:13" ht="20.100000000000001" customHeight="1" thickBot="1">
      <c r="D53" s="206" t="s">
        <v>37</v>
      </c>
      <c r="E53" s="207">
        <f>SUM('Hiring Plan'!J154:O155)</f>
        <v>28265.625</v>
      </c>
      <c r="F53" s="208">
        <f>E53/$E$54</f>
        <v>8.9757349976047947E-3</v>
      </c>
      <c r="G53" s="199">
        <f t="shared" si="10"/>
        <v>4.297629950921969E-2</v>
      </c>
    </row>
    <row r="54" spans="4:13" ht="20.100000000000001" customHeight="1" thickBot="1">
      <c r="D54" s="209" t="s">
        <v>38</v>
      </c>
      <c r="E54" s="210">
        <f>SUM(E45:E53)</f>
        <v>3149115.3657658985</v>
      </c>
      <c r="F54" s="211">
        <f>E54/$E$54</f>
        <v>1</v>
      </c>
    </row>
    <row r="57" spans="4:13" ht="20.100000000000001" customHeight="1">
      <c r="D57" s="212" t="s">
        <v>39</v>
      </c>
      <c r="E57" s="213">
        <f>SUM('Assumptions &amp; Sensitivity'!K77:P77)-E54</f>
        <v>0</v>
      </c>
      <c r="F57" s="214"/>
    </row>
    <row r="58" spans="4:13" ht="20.100000000000001" customHeight="1">
      <c r="F58" s="214"/>
    </row>
    <row r="59" spans="4:13" ht="20.100000000000001" customHeight="1">
      <c r="E59" s="204"/>
      <c r="F59" s="214"/>
    </row>
    <row r="60" spans="4:13" ht="20.100000000000001" customHeight="1">
      <c r="E60" s="204"/>
      <c r="F60" s="214"/>
      <c r="H60" s="215"/>
      <c r="I60" s="215"/>
      <c r="M60" s="215"/>
    </row>
    <row r="61" spans="4:13" ht="20.100000000000001" customHeight="1">
      <c r="E61" s="204"/>
      <c r="F61" s="214"/>
      <c r="H61" s="215"/>
      <c r="M61" s="215"/>
    </row>
    <row r="62" spans="4:13" ht="20.100000000000001" customHeight="1">
      <c r="E62" s="204"/>
      <c r="F62" s="214"/>
      <c r="H62" s="215"/>
      <c r="M62" s="215"/>
    </row>
    <row r="63" spans="4:13" ht="20.100000000000001" customHeight="1">
      <c r="E63" s="204"/>
      <c r="F63" s="214"/>
      <c r="H63" s="215"/>
      <c r="M63" s="215"/>
    </row>
    <row r="64" spans="4:13" ht="20.100000000000001" customHeight="1">
      <c r="H64" s="215"/>
      <c r="M64" s="215"/>
    </row>
    <row r="65" spans="4:13" ht="20.100000000000001" customHeight="1">
      <c r="H65" s="215"/>
      <c r="M65" s="215"/>
    </row>
    <row r="66" spans="4:13" ht="20.100000000000001" customHeight="1">
      <c r="H66" s="215"/>
      <c r="M66" s="215"/>
    </row>
    <row r="67" spans="4:13" ht="20.100000000000001" customHeight="1">
      <c r="D67" s="212"/>
      <c r="E67" s="213"/>
    </row>
    <row r="69" spans="4:13" ht="20.100000000000001" customHeight="1" thickBot="1">
      <c r="D69" s="158" t="s">
        <v>40</v>
      </c>
    </row>
    <row r="70" spans="4:13" ht="20.100000000000001" customHeight="1">
      <c r="D70" s="200" t="s">
        <v>41</v>
      </c>
      <c r="E70" s="216"/>
      <c r="F70" s="217">
        <f>'Assumptions &amp; Sensitivity'!$M$18</f>
        <v>97</v>
      </c>
    </row>
    <row r="71" spans="4:13" ht="20.100000000000001" customHeight="1">
      <c r="D71" s="203" t="s">
        <v>42</v>
      </c>
      <c r="F71" s="218">
        <f>'Assumptions &amp; Sensitivity'!$M$20</f>
        <v>0.06</v>
      </c>
    </row>
    <row r="72" spans="4:13" ht="20.100000000000001" customHeight="1" thickBot="1">
      <c r="D72" s="206" t="s">
        <v>43</v>
      </c>
      <c r="E72" s="219"/>
      <c r="F72" s="220">
        <f>F70*F71</f>
        <v>5.8199999999999994</v>
      </c>
    </row>
    <row r="73" spans="4:13" ht="20.100000000000001" customHeight="1" thickBot="1"/>
    <row r="74" spans="4:13" ht="20.100000000000001" customHeight="1" thickBot="1">
      <c r="D74" s="221" t="s">
        <v>44</v>
      </c>
      <c r="E74" s="222" t="s">
        <v>45</v>
      </c>
      <c r="F74" s="223" t="s">
        <v>46</v>
      </c>
    </row>
    <row r="75" spans="4:13" ht="20.100000000000001" customHeight="1">
      <c r="D75" s="203" t="s">
        <v>47</v>
      </c>
      <c r="E75" s="215">
        <f>K32</f>
        <v>0.53180467532228204</v>
      </c>
      <c r="F75" s="224">
        <f>$F$72*E75</f>
        <v>3.0951032103756813</v>
      </c>
    </row>
    <row r="76" spans="4:13" ht="20.100000000000001" customHeight="1">
      <c r="D76" s="203" t="s">
        <v>48</v>
      </c>
      <c r="E76" s="215">
        <f>K13</f>
        <v>8.8281561140488019E-2</v>
      </c>
      <c r="F76" s="224">
        <f>$F$72*E76</f>
        <v>0.51379868583764021</v>
      </c>
    </row>
    <row r="77" spans="4:13" ht="20.100000000000001" customHeight="1">
      <c r="D77" s="203" t="s">
        <v>49</v>
      </c>
      <c r="E77" s="215">
        <f>K18</f>
        <v>2.6679685252428045E-2</v>
      </c>
      <c r="F77" s="224">
        <f>$F$72*E77</f>
        <v>0.15527576816913122</v>
      </c>
    </row>
    <row r="78" spans="4:13" ht="20.100000000000001" customHeight="1">
      <c r="D78" s="203" t="s">
        <v>50</v>
      </c>
      <c r="E78" s="215">
        <f>K26</f>
        <v>0.31139618803720226</v>
      </c>
      <c r="F78" s="224">
        <f>$F$72*E78</f>
        <v>1.8123258143765169</v>
      </c>
    </row>
    <row r="79" spans="4:13" ht="20.100000000000001" customHeight="1" thickBot="1">
      <c r="D79" s="206" t="s">
        <v>51</v>
      </c>
      <c r="E79" s="225">
        <f>K19+SUM(K20:K25)+K28+K29</f>
        <v>4.1837890247599728E-2</v>
      </c>
      <c r="F79" s="220">
        <f>$F$72*E79</f>
        <v>0.24349652124103038</v>
      </c>
    </row>
    <row r="80" spans="4:13" ht="20.100000000000001" customHeight="1">
      <c r="D80" s="158" t="s">
        <v>38</v>
      </c>
      <c r="E80" s="215">
        <v>1</v>
      </c>
      <c r="F80" s="226">
        <f>SUM(F75:F79)</f>
        <v>5.8199999999999994</v>
      </c>
    </row>
    <row r="81" spans="13:13" ht="20.100000000000001" customHeight="1">
      <c r="M81" s="227"/>
    </row>
  </sheetData>
  <sheetProtection algorithmName="SHA-512" hashValue="xIYfgIzRMO30iBKipxpsYT63KE2ByoGtosWazHpbW96P1cmMYhkhY9WLorvAv+GVIXszL1koSOj61mBAO5X1AQ==" saltValue="QmT89L73p99qQpTD5qkeoA==" spinCount="100000" sheet="1" objects="1" scenarios="1"/>
  <mergeCells count="1">
    <mergeCell ref="B6:D6"/>
  </mergeCells>
  <pageMargins left="0.75" right="0.75" top="1" bottom="1" header="0.5" footer="0.5"/>
  <pageSetup paperSize="9" orientation="portrait" horizontalDpi="4294967292" verticalDpi="4294967292"/>
  <ignoredErrors>
    <ignoredError sqref="F9:I10" emptyCellReference="1"/>
    <ignoredError sqref="E28:I28 E25:I25 E47 E51 F26:G2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4"/>
  </sheetPr>
  <dimension ref="A1:AB112"/>
  <sheetViews>
    <sheetView showGridLines="0" zoomScale="60" zoomScaleNormal="60" workbookViewId="0">
      <pane xSplit="3" ySplit="1" topLeftCell="D29" activePane="bottomRight" state="frozen"/>
      <selection pane="bottomRight" activeCell="A2" sqref="A2"/>
      <selection pane="bottomLeft" activeCell="F19" sqref="F19"/>
      <selection pane="topRight" activeCell="F19" sqref="F19"/>
    </sheetView>
  </sheetViews>
  <sheetFormatPr defaultColWidth="8.85546875" defaultRowHeight="21.95" customHeight="1"/>
  <cols>
    <col min="1" max="1" width="1.85546875" style="229" customWidth="1"/>
    <col min="2" max="2" width="3.28515625" style="229" customWidth="1"/>
    <col min="3" max="3" width="57.7109375" style="229" bestFit="1" customWidth="1"/>
    <col min="4" max="4" width="14.140625" style="240" customWidth="1"/>
    <col min="5" max="10" width="12.7109375" style="240" customWidth="1"/>
    <col min="11" max="11" width="14.42578125" style="229" bestFit="1" customWidth="1"/>
    <col min="12" max="20" width="15.28515625" style="229" bestFit="1" customWidth="1"/>
    <col min="21" max="22" width="15.28515625" style="240" bestFit="1" customWidth="1"/>
    <col min="23" max="24" width="15.28515625" style="229" bestFit="1" customWidth="1"/>
    <col min="25" max="28" width="16.7109375" style="229" customWidth="1"/>
    <col min="29" max="29" width="11.28515625" style="229" bestFit="1" customWidth="1"/>
    <col min="30" max="30" width="12.28515625" style="229" bestFit="1" customWidth="1"/>
    <col min="31" max="31" width="14" style="229" bestFit="1" customWidth="1"/>
    <col min="32" max="16384" width="8.85546875" style="229"/>
  </cols>
  <sheetData>
    <row r="1" spans="1:28" ht="21.95" customHeight="1">
      <c r="A1" s="524" t="s">
        <v>52</v>
      </c>
      <c r="B1" s="524"/>
      <c r="C1" s="524"/>
      <c r="D1" s="228"/>
      <c r="E1" s="198" t="s">
        <v>53</v>
      </c>
      <c r="F1" s="198" t="s">
        <v>54</v>
      </c>
      <c r="G1" s="198" t="s">
        <v>55</v>
      </c>
      <c r="H1" s="198" t="s">
        <v>56</v>
      </c>
      <c r="I1" s="198" t="s">
        <v>57</v>
      </c>
      <c r="J1" s="198" t="s">
        <v>58</v>
      </c>
      <c r="K1" s="198" t="s">
        <v>59</v>
      </c>
      <c r="L1" s="198" t="s">
        <v>60</v>
      </c>
      <c r="M1" s="198" t="s">
        <v>61</v>
      </c>
      <c r="N1" s="198" t="s">
        <v>62</v>
      </c>
      <c r="O1" s="198" t="s">
        <v>63</v>
      </c>
      <c r="P1" s="198" t="s">
        <v>64</v>
      </c>
      <c r="Q1" s="198" t="s">
        <v>65</v>
      </c>
      <c r="R1" s="198" t="s">
        <v>66</v>
      </c>
      <c r="S1" s="198" t="s">
        <v>67</v>
      </c>
      <c r="T1" s="198" t="s">
        <v>68</v>
      </c>
      <c r="U1" s="198" t="s">
        <v>69</v>
      </c>
      <c r="V1" s="198" t="s">
        <v>70</v>
      </c>
      <c r="W1" s="198" t="s">
        <v>71</v>
      </c>
      <c r="X1" s="198" t="s">
        <v>72</v>
      </c>
      <c r="Y1" s="198" t="s">
        <v>73</v>
      </c>
      <c r="Z1" s="198" t="s">
        <v>74</v>
      </c>
      <c r="AA1" s="198" t="s">
        <v>75</v>
      </c>
      <c r="AB1" s="198" t="s">
        <v>76</v>
      </c>
    </row>
    <row r="2" spans="1:28" ht="21.95" customHeight="1">
      <c r="D2" s="230"/>
      <c r="E2" s="230"/>
      <c r="F2" s="230"/>
      <c r="G2" s="230"/>
      <c r="H2" s="230"/>
      <c r="I2" s="230"/>
      <c r="J2" s="230"/>
      <c r="K2" s="231"/>
      <c r="L2" s="231"/>
      <c r="M2" s="231"/>
      <c r="N2" s="231"/>
      <c r="U2" s="232"/>
      <c r="V2" s="232"/>
      <c r="W2" s="232"/>
      <c r="X2" s="232"/>
      <c r="Y2" s="232"/>
      <c r="Z2" s="232"/>
      <c r="AA2" s="232"/>
      <c r="AB2" s="232"/>
    </row>
    <row r="3" spans="1:28" ht="21.95" customHeight="1">
      <c r="B3" s="233" t="s">
        <v>77</v>
      </c>
      <c r="D3" s="232"/>
      <c r="E3" s="232"/>
      <c r="F3" s="232"/>
      <c r="G3" s="232"/>
      <c r="H3" s="232"/>
      <c r="I3" s="232"/>
      <c r="J3" s="232"/>
      <c r="U3" s="232"/>
      <c r="V3" s="232"/>
      <c r="W3" s="232"/>
      <c r="X3" s="232"/>
      <c r="Y3" s="232"/>
      <c r="Z3" s="232"/>
      <c r="AA3" s="232"/>
      <c r="AB3" s="232"/>
    </row>
    <row r="4" spans="1:28" ht="21.95" customHeight="1">
      <c r="B4" s="234"/>
      <c r="D4" s="232"/>
      <c r="E4" s="232"/>
      <c r="F4" s="232"/>
      <c r="G4" s="232"/>
      <c r="H4" s="232"/>
      <c r="I4" s="232"/>
      <c r="J4" s="232"/>
      <c r="K4" s="235"/>
      <c r="L4" s="235"/>
      <c r="M4" s="235"/>
      <c r="N4" s="236"/>
      <c r="O4" s="237"/>
      <c r="U4" s="232"/>
      <c r="V4" s="232"/>
      <c r="W4" s="232"/>
      <c r="X4" s="232"/>
      <c r="Y4" s="232"/>
      <c r="Z4" s="232"/>
      <c r="AA4" s="232"/>
      <c r="AB4" s="232"/>
    </row>
    <row r="5" spans="1:28" ht="21.95" customHeight="1">
      <c r="B5" s="238" t="s">
        <v>78</v>
      </c>
      <c r="D5" s="232"/>
      <c r="E5" s="232"/>
      <c r="F5" s="232"/>
      <c r="G5" s="232"/>
      <c r="H5" s="232"/>
      <c r="I5" s="232"/>
      <c r="J5" s="232"/>
      <c r="K5" s="239"/>
      <c r="L5" s="235"/>
      <c r="M5" s="235"/>
    </row>
    <row r="6" spans="1:28" ht="21.95" customHeight="1">
      <c r="B6" s="234"/>
      <c r="C6" s="234" t="s">
        <v>79</v>
      </c>
      <c r="D6" s="232"/>
      <c r="E6" s="232"/>
      <c r="F6" s="232"/>
      <c r="G6" s="232"/>
      <c r="H6" s="232"/>
      <c r="I6" s="232"/>
      <c r="J6" s="232"/>
      <c r="L6" s="241"/>
    </row>
    <row r="7" spans="1:28" ht="21.95" customHeight="1">
      <c r="B7" s="234"/>
      <c r="C7" s="175" t="s">
        <v>80</v>
      </c>
      <c r="D7" s="232"/>
      <c r="E7" s="232"/>
      <c r="F7" s="232"/>
      <c r="G7" s="232"/>
      <c r="H7" s="232"/>
      <c r="I7" s="232"/>
      <c r="J7" s="232"/>
      <c r="K7" s="235">
        <f>SUM('U.S. Population'!V100:AG100)</f>
        <v>26459763</v>
      </c>
      <c r="L7" s="235">
        <f>K7+(O7-K7)/4</f>
        <v>26487561</v>
      </c>
      <c r="M7" s="241">
        <f>K7+2*(O7-K7)/4</f>
        <v>26515359</v>
      </c>
      <c r="N7" s="241">
        <f>K7+3*(O7-K7)/4</f>
        <v>26543157</v>
      </c>
      <c r="O7" s="235">
        <f>SUM('U.S. Population'!V101:AG101)</f>
        <v>26570955</v>
      </c>
      <c r="P7" s="235">
        <f>O7+(S7-O7)/4</f>
        <v>26577469.75</v>
      </c>
      <c r="Q7" s="241">
        <f>O7+2*(S7-O7)/4</f>
        <v>26583984.5</v>
      </c>
      <c r="R7" s="241">
        <f>O7+3*(S7-O7)/4</f>
        <v>26590499.25</v>
      </c>
      <c r="S7" s="235">
        <f>SUM('U.S. Population'!V102:AG102)</f>
        <v>26597014</v>
      </c>
      <c r="T7" s="235">
        <f>S7+(W7-S7)/4</f>
        <v>26566608.25</v>
      </c>
      <c r="U7" s="241">
        <f>S7+2*(W7-S7)/4</f>
        <v>26536202.5</v>
      </c>
      <c r="V7" s="241">
        <f>S7+3*(W7-S7)/4</f>
        <v>26505796.75</v>
      </c>
      <c r="W7" s="232">
        <f>SUM('U.S. Population'!V103:AG103)</f>
        <v>26475391</v>
      </c>
      <c r="X7" s="232">
        <f>W7+45000</f>
        <v>26520391</v>
      </c>
      <c r="Y7" s="232">
        <f t="shared" ref="Y7:AB7" si="0">X7+45000</f>
        <v>26565391</v>
      </c>
      <c r="Z7" s="232">
        <f t="shared" si="0"/>
        <v>26610391</v>
      </c>
      <c r="AA7" s="232">
        <f t="shared" si="0"/>
        <v>26655391</v>
      </c>
      <c r="AB7" s="232">
        <f t="shared" si="0"/>
        <v>26700391</v>
      </c>
    </row>
    <row r="8" spans="1:28" ht="21.95" customHeight="1">
      <c r="B8" s="234"/>
      <c r="C8" s="175" t="s">
        <v>81</v>
      </c>
      <c r="D8" s="232"/>
      <c r="E8" s="232"/>
      <c r="F8" s="232"/>
      <c r="G8" s="232"/>
      <c r="H8" s="232"/>
      <c r="I8" s="232"/>
      <c r="J8" s="232"/>
      <c r="K8" s="235">
        <f>SUM('U.S. Population'!AH100:AP100)</f>
        <v>19454990</v>
      </c>
      <c r="L8" s="235">
        <f>K8+(O8-K8)/4</f>
        <v>19454990</v>
      </c>
      <c r="M8" s="241">
        <f>K8+2*(O8-K8)/4</f>
        <v>19454990</v>
      </c>
      <c r="N8" s="241">
        <f>K8+3*(O8-K8)/4</f>
        <v>19454990</v>
      </c>
      <c r="O8" s="235">
        <f>SUM('U.S. Population'!AH100:AP100)</f>
        <v>19454990</v>
      </c>
      <c r="P8" s="235">
        <f>O8+(S8-O8)/4</f>
        <v>19557783.5</v>
      </c>
      <c r="Q8" s="241">
        <f>O8+2*(S8-O8)/4</f>
        <v>19660577</v>
      </c>
      <c r="R8" s="241">
        <f>O8+3*(S8-O8)/4</f>
        <v>19763370.5</v>
      </c>
      <c r="S8" s="235">
        <f>SUM('U.S. Population'!AH102:AP102)</f>
        <v>19866164</v>
      </c>
      <c r="T8" s="235">
        <f>S8+(W8-S8)/4</f>
        <v>19866164</v>
      </c>
      <c r="U8" s="241">
        <f>S8+2*(W8-S8)/4</f>
        <v>19866164</v>
      </c>
      <c r="V8" s="241">
        <f>S8+3*(W8-S8)/4</f>
        <v>19866164</v>
      </c>
      <c r="W8" s="235">
        <f>SUM('U.S. Population'!AH102:AP102)</f>
        <v>19866164</v>
      </c>
      <c r="X8" s="232">
        <f>W8+45000</f>
        <v>19911164</v>
      </c>
      <c r="Y8" s="232">
        <f t="shared" ref="Y8:AB8" si="1">X8+45000</f>
        <v>19956164</v>
      </c>
      <c r="Z8" s="232">
        <f t="shared" si="1"/>
        <v>20001164</v>
      </c>
      <c r="AA8" s="232">
        <f t="shared" si="1"/>
        <v>20046164</v>
      </c>
      <c r="AB8" s="232">
        <f t="shared" si="1"/>
        <v>20091164</v>
      </c>
    </row>
    <row r="9" spans="1:28" ht="21.95" customHeight="1">
      <c r="B9" s="234"/>
      <c r="C9" s="175" t="s">
        <v>82</v>
      </c>
      <c r="D9" s="242">
        <v>0.6</v>
      </c>
      <c r="E9" s="232"/>
      <c r="F9" s="232"/>
      <c r="G9" s="232"/>
      <c r="H9" s="232"/>
      <c r="I9" s="232"/>
      <c r="J9" s="232"/>
      <c r="K9" s="235">
        <f>K7*$D$9</f>
        <v>15875857.799999999</v>
      </c>
      <c r="L9" s="235">
        <f t="shared" ref="L9:X9" si="2">L7*$D$9</f>
        <v>15892536.6</v>
      </c>
      <c r="M9" s="235">
        <f t="shared" si="2"/>
        <v>15909215.399999999</v>
      </c>
      <c r="N9" s="235">
        <f t="shared" si="2"/>
        <v>15925894.199999999</v>
      </c>
      <c r="O9" s="235">
        <f t="shared" si="2"/>
        <v>15942573</v>
      </c>
      <c r="P9" s="235">
        <f t="shared" si="2"/>
        <v>15946481.85</v>
      </c>
      <c r="Q9" s="235">
        <f t="shared" si="2"/>
        <v>15950390.699999999</v>
      </c>
      <c r="R9" s="235">
        <f t="shared" si="2"/>
        <v>15954299.549999999</v>
      </c>
      <c r="S9" s="235">
        <f t="shared" si="2"/>
        <v>15958208.399999999</v>
      </c>
      <c r="T9" s="235">
        <f t="shared" si="2"/>
        <v>15939964.949999999</v>
      </c>
      <c r="U9" s="235">
        <f t="shared" si="2"/>
        <v>15921721.5</v>
      </c>
      <c r="V9" s="235">
        <f t="shared" si="2"/>
        <v>15903478.049999999</v>
      </c>
      <c r="W9" s="235">
        <f t="shared" si="2"/>
        <v>15885234.6</v>
      </c>
      <c r="X9" s="235">
        <f t="shared" si="2"/>
        <v>15912234.6</v>
      </c>
      <c r="Y9" s="235">
        <f t="shared" ref="Y9:AB9" si="3">Y7*$D$9</f>
        <v>15939234.6</v>
      </c>
      <c r="Z9" s="235">
        <f t="shared" si="3"/>
        <v>15966234.6</v>
      </c>
      <c r="AA9" s="235">
        <f t="shared" si="3"/>
        <v>15993234.6</v>
      </c>
      <c r="AB9" s="235">
        <f t="shared" si="3"/>
        <v>16020234.6</v>
      </c>
    </row>
    <row r="10" spans="1:28" ht="21.95" customHeight="1">
      <c r="B10" s="234"/>
      <c r="C10" s="175" t="s">
        <v>83</v>
      </c>
      <c r="D10" s="242">
        <v>0.41</v>
      </c>
      <c r="E10" s="232"/>
      <c r="F10" s="232"/>
      <c r="G10" s="232"/>
      <c r="H10" s="232"/>
      <c r="I10" s="232"/>
      <c r="J10" s="232"/>
      <c r="K10" s="235">
        <f>K8*$D$10</f>
        <v>7976545.8999999994</v>
      </c>
      <c r="L10" s="235">
        <f t="shared" ref="L10:X10" si="4">L8*$D$10</f>
        <v>7976545.8999999994</v>
      </c>
      <c r="M10" s="235">
        <f t="shared" si="4"/>
        <v>7976545.8999999994</v>
      </c>
      <c r="N10" s="235">
        <f t="shared" si="4"/>
        <v>7976545.8999999994</v>
      </c>
      <c r="O10" s="235">
        <f t="shared" si="4"/>
        <v>7976545.8999999994</v>
      </c>
      <c r="P10" s="235">
        <f t="shared" si="4"/>
        <v>8018691.2349999994</v>
      </c>
      <c r="Q10" s="235">
        <f t="shared" si="4"/>
        <v>8060836.5699999994</v>
      </c>
      <c r="R10" s="235">
        <f t="shared" si="4"/>
        <v>8102981.9049999993</v>
      </c>
      <c r="S10" s="235">
        <f t="shared" si="4"/>
        <v>8145127.2399999993</v>
      </c>
      <c r="T10" s="235">
        <f t="shared" si="4"/>
        <v>8145127.2399999993</v>
      </c>
      <c r="U10" s="235">
        <f t="shared" si="4"/>
        <v>8145127.2399999993</v>
      </c>
      <c r="V10" s="235">
        <f t="shared" si="4"/>
        <v>8145127.2399999993</v>
      </c>
      <c r="W10" s="235">
        <f t="shared" si="4"/>
        <v>8145127.2399999993</v>
      </c>
      <c r="X10" s="235">
        <f t="shared" si="4"/>
        <v>8163577.2399999993</v>
      </c>
      <c r="Y10" s="235">
        <f t="shared" ref="Y10:AB10" si="5">Y8*$D$10</f>
        <v>8182027.2399999993</v>
      </c>
      <c r="Z10" s="235">
        <f t="shared" si="5"/>
        <v>8200477.2399999993</v>
      </c>
      <c r="AA10" s="235">
        <f t="shared" si="5"/>
        <v>8218927.2399999993</v>
      </c>
      <c r="AB10" s="235">
        <f t="shared" si="5"/>
        <v>8237377.2399999993</v>
      </c>
    </row>
    <row r="11" spans="1:28" ht="21.95" customHeight="1">
      <c r="B11" s="234"/>
      <c r="C11" s="175" t="s">
        <v>84</v>
      </c>
      <c r="D11" s="232"/>
      <c r="E11" s="232"/>
      <c r="F11" s="232"/>
      <c r="G11" s="232"/>
      <c r="H11" s="232"/>
      <c r="I11" s="232"/>
      <c r="J11" s="232"/>
      <c r="K11" s="235">
        <f>K9+K10</f>
        <v>23852403.699999999</v>
      </c>
      <c r="L11" s="235">
        <f t="shared" ref="L11:X11" si="6">L9+L10</f>
        <v>23869082.5</v>
      </c>
      <c r="M11" s="235">
        <f t="shared" si="6"/>
        <v>23885761.299999997</v>
      </c>
      <c r="N11" s="235">
        <f t="shared" si="6"/>
        <v>23902440.099999998</v>
      </c>
      <c r="O11" s="235">
        <f t="shared" si="6"/>
        <v>23919118.899999999</v>
      </c>
      <c r="P11" s="235">
        <f t="shared" si="6"/>
        <v>23965173.085000001</v>
      </c>
      <c r="Q11" s="235">
        <f t="shared" si="6"/>
        <v>24011227.27</v>
      </c>
      <c r="R11" s="235">
        <f t="shared" si="6"/>
        <v>24057281.454999998</v>
      </c>
      <c r="S11" s="235">
        <f t="shared" si="6"/>
        <v>24103335.639999997</v>
      </c>
      <c r="T11" s="235">
        <f t="shared" si="6"/>
        <v>24085092.189999998</v>
      </c>
      <c r="U11" s="235">
        <f t="shared" si="6"/>
        <v>24066848.739999998</v>
      </c>
      <c r="V11" s="235">
        <f t="shared" si="6"/>
        <v>24048605.289999999</v>
      </c>
      <c r="W11" s="235">
        <f t="shared" si="6"/>
        <v>24030361.84</v>
      </c>
      <c r="X11" s="235">
        <f t="shared" si="6"/>
        <v>24075811.84</v>
      </c>
      <c r="Y11" s="235">
        <f t="shared" ref="Y11:AB11" si="7">Y9+Y10</f>
        <v>24121261.84</v>
      </c>
      <c r="Z11" s="235">
        <f t="shared" si="7"/>
        <v>24166711.84</v>
      </c>
      <c r="AA11" s="235">
        <f t="shared" si="7"/>
        <v>24212161.84</v>
      </c>
      <c r="AB11" s="235">
        <f t="shared" si="7"/>
        <v>24257611.84</v>
      </c>
    </row>
    <row r="12" spans="1:28" ht="21.95" customHeight="1">
      <c r="B12" s="234"/>
      <c r="C12" s="175" t="s">
        <v>85</v>
      </c>
      <c r="L12" s="243"/>
      <c r="M12" s="243">
        <v>2E-3</v>
      </c>
      <c r="N12" s="239">
        <f t="shared" ref="N12" si="8">N13/N7</f>
        <v>3.2722181464699168E-3</v>
      </c>
      <c r="O12" s="239">
        <f>O13/O7</f>
        <v>5.1176557259609221E-3</v>
      </c>
      <c r="P12" s="239">
        <f>P13/P7</f>
        <v>7.466926004120464E-3</v>
      </c>
      <c r="Q12" s="239">
        <f t="shared" ref="Q12:X12" si="9">Q13/Q7</f>
        <v>1.0866392131698693E-2</v>
      </c>
      <c r="R12" s="239">
        <f t="shared" si="9"/>
        <v>1.6023617909317743E-2</v>
      </c>
      <c r="S12" s="239">
        <f t="shared" si="9"/>
        <v>2.4003296009093351E-2</v>
      </c>
      <c r="T12" s="239">
        <f t="shared" si="9"/>
        <v>3.3366133593662639E-2</v>
      </c>
      <c r="U12" s="239">
        <f t="shared" si="9"/>
        <v>5.0930271578987232E-2</v>
      </c>
      <c r="V12" s="239">
        <f t="shared" si="9"/>
        <v>6.6285311721482207E-2</v>
      </c>
      <c r="W12" s="239">
        <f t="shared" si="9"/>
        <v>8.6269887383344027E-2</v>
      </c>
      <c r="X12" s="239">
        <f t="shared" si="9"/>
        <v>0.11196056649391029</v>
      </c>
      <c r="Y12" s="239">
        <f t="shared" ref="Y12:AB12" si="10">Y13/Y7</f>
        <v>0.14530220917885228</v>
      </c>
      <c r="Z12" s="239">
        <f t="shared" si="10"/>
        <v>0.17406779178855358</v>
      </c>
      <c r="AA12" s="239">
        <f t="shared" si="10"/>
        <v>0.20852873626952237</v>
      </c>
      <c r="AB12" s="239">
        <f t="shared" si="10"/>
        <v>0.24981274618787419</v>
      </c>
    </row>
    <row r="13" spans="1:28" ht="21.95" customHeight="1">
      <c r="B13" s="234"/>
      <c r="C13" s="175" t="s">
        <v>2</v>
      </c>
      <c r="D13" s="232"/>
      <c r="E13" s="232"/>
      <c r="F13" s="232"/>
      <c r="G13" s="232"/>
      <c r="H13" s="232"/>
      <c r="I13" s="232"/>
      <c r="J13" s="232"/>
      <c r="L13" s="241"/>
      <c r="M13" s="241">
        <f>M11*M12</f>
        <v>47771.522599999997</v>
      </c>
      <c r="N13" s="241">
        <f>ROUNDUP(M13*(1+M14),0)</f>
        <v>86855</v>
      </c>
      <c r="O13" s="241">
        <f t="shared" ref="O13:W13" si="11">ROUNDUP(N13*(1+N14),0)</f>
        <v>135981</v>
      </c>
      <c r="P13" s="241">
        <f t="shared" si="11"/>
        <v>198452</v>
      </c>
      <c r="Q13" s="241">
        <f t="shared" si="11"/>
        <v>288872</v>
      </c>
      <c r="R13" s="241">
        <f t="shared" si="11"/>
        <v>426076</v>
      </c>
      <c r="S13" s="241">
        <f t="shared" si="11"/>
        <v>638416</v>
      </c>
      <c r="T13" s="241">
        <f t="shared" si="11"/>
        <v>886425</v>
      </c>
      <c r="U13" s="241">
        <f t="shared" si="11"/>
        <v>1351496</v>
      </c>
      <c r="V13" s="241">
        <f t="shared" si="11"/>
        <v>1756945</v>
      </c>
      <c r="W13" s="241">
        <f t="shared" si="11"/>
        <v>2284029</v>
      </c>
      <c r="X13" s="241">
        <f>ROUNDUP(W13*(1+W14),0)</f>
        <v>2969238</v>
      </c>
      <c r="Y13" s="241">
        <f t="shared" ref="Y13:AA13" si="12">ROUNDUP(X13*(1+X14),0)</f>
        <v>3860010</v>
      </c>
      <c r="Z13" s="241">
        <f t="shared" si="12"/>
        <v>4632012</v>
      </c>
      <c r="AA13" s="241">
        <f t="shared" si="12"/>
        <v>5558415</v>
      </c>
      <c r="AB13" s="241">
        <f>ROUNDUP(AA13*(1+AA14),0)</f>
        <v>6670098</v>
      </c>
    </row>
    <row r="14" spans="1:28" ht="21.95" customHeight="1">
      <c r="B14" s="234"/>
      <c r="C14" s="175" t="s">
        <v>86</v>
      </c>
      <c r="D14" s="232"/>
      <c r="E14" s="232"/>
      <c r="F14" s="232"/>
      <c r="G14" s="232"/>
      <c r="H14" s="232"/>
      <c r="I14" s="232"/>
      <c r="J14" s="232"/>
      <c r="L14" s="244"/>
      <c r="M14" s="244">
        <v>0.8181250000000001</v>
      </c>
      <c r="N14" s="244">
        <v>0.56560096153846162</v>
      </c>
      <c r="O14" s="244">
        <v>0.45940318302387262</v>
      </c>
      <c r="P14" s="244">
        <v>0.455625</v>
      </c>
      <c r="Q14" s="244">
        <v>0.47496428571428567</v>
      </c>
      <c r="R14" s="244">
        <v>0.4983611111111112</v>
      </c>
      <c r="S14" s="244">
        <v>0.38847527472527466</v>
      </c>
      <c r="T14" s="244">
        <v>0.52465860215053772</v>
      </c>
      <c r="U14" s="244">
        <v>0.3</v>
      </c>
      <c r="V14" s="244">
        <v>0.3</v>
      </c>
      <c r="W14" s="244">
        <v>0.3</v>
      </c>
      <c r="X14" s="244">
        <v>0.3</v>
      </c>
      <c r="Y14" s="244">
        <v>0.2</v>
      </c>
      <c r="Z14" s="244">
        <v>0.2</v>
      </c>
      <c r="AA14" s="244">
        <v>0.2</v>
      </c>
      <c r="AB14" s="244">
        <v>0</v>
      </c>
    </row>
    <row r="15" spans="1:28" ht="21.95" customHeight="1">
      <c r="B15" s="234"/>
      <c r="C15" s="175" t="s">
        <v>87</v>
      </c>
      <c r="D15" s="245">
        <v>4</v>
      </c>
      <c r="E15" s="232" t="s">
        <v>88</v>
      </c>
      <c r="F15" s="232"/>
      <c r="G15" s="232"/>
      <c r="H15" s="232"/>
      <c r="I15" s="232"/>
      <c r="J15" s="232"/>
      <c r="N15" s="246"/>
      <c r="R15" s="246">
        <f>R13/N13-1</f>
        <v>3.9056012895054977</v>
      </c>
      <c r="U15" s="232"/>
      <c r="V15" s="246">
        <f>V13/R13-1</f>
        <v>3.1235483810400027</v>
      </c>
      <c r="W15" s="232"/>
      <c r="X15" s="232"/>
      <c r="Y15" s="232"/>
      <c r="Z15" s="232"/>
      <c r="AA15" s="232"/>
      <c r="AB15" s="232"/>
    </row>
    <row r="16" spans="1:28" ht="21.95" customHeight="1">
      <c r="B16" s="234"/>
      <c r="C16" s="175" t="s">
        <v>89</v>
      </c>
      <c r="D16" s="232"/>
      <c r="E16" s="232"/>
      <c r="F16" s="232"/>
      <c r="G16" s="232"/>
      <c r="H16" s="232"/>
      <c r="I16" s="232"/>
      <c r="J16" s="232"/>
      <c r="L16" s="244"/>
      <c r="M16" s="244">
        <v>0.1</v>
      </c>
      <c r="N16" s="244">
        <v>0.1</v>
      </c>
      <c r="O16" s="244">
        <v>0.1</v>
      </c>
      <c r="P16" s="244">
        <v>0.1</v>
      </c>
      <c r="Q16" s="244">
        <v>0.1</v>
      </c>
      <c r="R16" s="244">
        <v>0.1</v>
      </c>
      <c r="S16" s="244">
        <v>0.1</v>
      </c>
      <c r="T16" s="244">
        <v>0.1</v>
      </c>
      <c r="U16" s="244">
        <v>0.1</v>
      </c>
      <c r="V16" s="244">
        <v>0.1</v>
      </c>
      <c r="W16" s="244">
        <v>0.1</v>
      </c>
      <c r="X16" s="244">
        <v>0.1</v>
      </c>
      <c r="Y16" s="244">
        <v>0.1</v>
      </c>
      <c r="Z16" s="244">
        <v>0.1</v>
      </c>
      <c r="AA16" s="244">
        <v>0.1</v>
      </c>
      <c r="AB16" s="244">
        <v>0.1</v>
      </c>
    </row>
    <row r="17" spans="2:28" ht="21.95" customHeight="1">
      <c r="B17" s="234"/>
      <c r="C17" s="175" t="s">
        <v>90</v>
      </c>
      <c r="D17" s="232"/>
      <c r="E17" s="232"/>
      <c r="F17" s="232"/>
      <c r="G17" s="232"/>
      <c r="H17" s="232"/>
      <c r="I17" s="232"/>
      <c r="J17" s="232"/>
      <c r="L17" s="241"/>
      <c r="M17" s="241">
        <f>ROUNDUP(M13*($D$15*M16),0)</f>
        <v>19109</v>
      </c>
      <c r="N17" s="241">
        <f>ROUNDUP(N13*($D$15*N16),0)</f>
        <v>34742</v>
      </c>
      <c r="O17" s="241">
        <f t="shared" ref="O17:X17" si="13">ROUNDUP(O13*($D$15*O16),0)</f>
        <v>54393</v>
      </c>
      <c r="P17" s="241">
        <f t="shared" si="13"/>
        <v>79381</v>
      </c>
      <c r="Q17" s="241">
        <f t="shared" si="13"/>
        <v>115549</v>
      </c>
      <c r="R17" s="241">
        <f t="shared" si="13"/>
        <v>170431</v>
      </c>
      <c r="S17" s="241">
        <f t="shared" si="13"/>
        <v>255367</v>
      </c>
      <c r="T17" s="241">
        <f t="shared" si="13"/>
        <v>354570</v>
      </c>
      <c r="U17" s="241">
        <f t="shared" si="13"/>
        <v>540599</v>
      </c>
      <c r="V17" s="241">
        <f t="shared" si="13"/>
        <v>702778</v>
      </c>
      <c r="W17" s="241">
        <f t="shared" si="13"/>
        <v>913612</v>
      </c>
      <c r="X17" s="241">
        <f t="shared" si="13"/>
        <v>1187696</v>
      </c>
      <c r="Y17" s="241">
        <f t="shared" ref="Y17:AB17" si="14">ROUNDUP(Y13*($D$15*Y16),0)</f>
        <v>1544004</v>
      </c>
      <c r="Z17" s="241">
        <f t="shared" si="14"/>
        <v>1852805</v>
      </c>
      <c r="AA17" s="241">
        <f t="shared" si="14"/>
        <v>2223366</v>
      </c>
      <c r="AB17" s="241">
        <f t="shared" si="14"/>
        <v>2668040</v>
      </c>
    </row>
    <row r="18" spans="2:28" ht="21.95" customHeight="1">
      <c r="B18" s="234"/>
      <c r="C18" s="175" t="s">
        <v>91</v>
      </c>
      <c r="D18" s="232"/>
      <c r="E18" s="232"/>
      <c r="F18" s="232"/>
      <c r="G18" s="232"/>
      <c r="H18" s="232"/>
      <c r="I18" s="232"/>
      <c r="J18" s="232"/>
      <c r="L18" s="245"/>
      <c r="M18" s="245">
        <v>97</v>
      </c>
      <c r="N18" s="245">
        <v>97</v>
      </c>
      <c r="O18" s="245">
        <v>97</v>
      </c>
      <c r="P18" s="245">
        <v>97</v>
      </c>
      <c r="Q18" s="245">
        <v>97</v>
      </c>
      <c r="R18" s="245">
        <v>97</v>
      </c>
      <c r="S18" s="245">
        <v>97</v>
      </c>
      <c r="T18" s="245">
        <v>97</v>
      </c>
      <c r="U18" s="245">
        <v>97</v>
      </c>
      <c r="V18" s="245">
        <v>97</v>
      </c>
      <c r="W18" s="245">
        <v>97</v>
      </c>
      <c r="X18" s="245">
        <v>97</v>
      </c>
      <c r="Y18" s="245">
        <v>98</v>
      </c>
      <c r="Z18" s="245">
        <v>99</v>
      </c>
      <c r="AA18" s="245">
        <v>100</v>
      </c>
      <c r="AB18" s="245">
        <v>101</v>
      </c>
    </row>
    <row r="19" spans="2:28" ht="21.95" customHeight="1">
      <c r="B19" s="234"/>
      <c r="C19" s="175" t="s">
        <v>4</v>
      </c>
      <c r="D19" s="232"/>
      <c r="E19" s="232"/>
      <c r="F19" s="232"/>
      <c r="G19" s="232"/>
      <c r="H19" s="232"/>
      <c r="I19" s="232"/>
      <c r="J19" s="232"/>
      <c r="L19" s="241"/>
      <c r="M19" s="241">
        <f t="shared" ref="M19:X19" si="15">M18*M17</f>
        <v>1853573</v>
      </c>
      <c r="N19" s="241">
        <f t="shared" si="15"/>
        <v>3369974</v>
      </c>
      <c r="O19" s="241">
        <f t="shared" si="15"/>
        <v>5276121</v>
      </c>
      <c r="P19" s="241">
        <f t="shared" si="15"/>
        <v>7699957</v>
      </c>
      <c r="Q19" s="241">
        <f t="shared" si="15"/>
        <v>11208253</v>
      </c>
      <c r="R19" s="241">
        <f t="shared" si="15"/>
        <v>16531807</v>
      </c>
      <c r="S19" s="241">
        <f t="shared" si="15"/>
        <v>24770599</v>
      </c>
      <c r="T19" s="241">
        <f t="shared" si="15"/>
        <v>34393290</v>
      </c>
      <c r="U19" s="241">
        <f t="shared" si="15"/>
        <v>52438103</v>
      </c>
      <c r="V19" s="241">
        <f t="shared" si="15"/>
        <v>68169466</v>
      </c>
      <c r="W19" s="241">
        <f t="shared" si="15"/>
        <v>88620364</v>
      </c>
      <c r="X19" s="241">
        <f t="shared" si="15"/>
        <v>115206512</v>
      </c>
      <c r="Y19" s="241">
        <f t="shared" ref="Y19:AB19" si="16">Y18*Y17</f>
        <v>151312392</v>
      </c>
      <c r="Z19" s="241">
        <f t="shared" si="16"/>
        <v>183427695</v>
      </c>
      <c r="AA19" s="241">
        <f t="shared" si="16"/>
        <v>222336600</v>
      </c>
      <c r="AB19" s="241">
        <f t="shared" si="16"/>
        <v>269472040</v>
      </c>
    </row>
    <row r="20" spans="2:28" ht="21.95" customHeight="1">
      <c r="B20" s="234"/>
      <c r="C20" s="175" t="s">
        <v>92</v>
      </c>
      <c r="D20" s="232"/>
      <c r="E20" s="232"/>
      <c r="F20" s="232"/>
      <c r="G20" s="232"/>
      <c r="H20" s="232"/>
      <c r="I20" s="232"/>
      <c r="J20" s="232"/>
      <c r="L20" s="244"/>
      <c r="M20" s="244">
        <v>0.06</v>
      </c>
      <c r="N20" s="244">
        <v>0.06</v>
      </c>
      <c r="O20" s="244">
        <v>0.06</v>
      </c>
      <c r="P20" s="244">
        <v>0.06</v>
      </c>
      <c r="Q20" s="244">
        <v>0.06</v>
      </c>
      <c r="R20" s="244">
        <v>0.06</v>
      </c>
      <c r="S20" s="244">
        <v>0.06</v>
      </c>
      <c r="T20" s="244">
        <v>0.06</v>
      </c>
      <c r="U20" s="244">
        <v>0.06</v>
      </c>
      <c r="V20" s="244">
        <v>0.06</v>
      </c>
      <c r="W20" s="244">
        <v>0.06</v>
      </c>
      <c r="X20" s="244">
        <v>0.06</v>
      </c>
      <c r="Y20" s="244">
        <v>0.06</v>
      </c>
      <c r="Z20" s="244">
        <v>0.06</v>
      </c>
      <c r="AA20" s="244">
        <v>0.06</v>
      </c>
      <c r="AB20" s="244">
        <v>0.06</v>
      </c>
    </row>
    <row r="21" spans="2:28" s="234" customFormat="1" ht="21.95" customHeight="1">
      <c r="C21" s="247" t="s">
        <v>93</v>
      </c>
      <c r="D21" s="248"/>
      <c r="E21" s="248"/>
      <c r="F21" s="248"/>
      <c r="G21" s="248"/>
      <c r="H21" s="248"/>
      <c r="I21" s="248"/>
      <c r="J21" s="248"/>
      <c r="K21" s="248"/>
      <c r="L21" s="249"/>
      <c r="M21" s="249">
        <f>M20*M19</f>
        <v>111214.37999999999</v>
      </c>
      <c r="N21" s="249">
        <f t="shared" ref="N21:X21" si="17">N20*N19</f>
        <v>202198.44</v>
      </c>
      <c r="O21" s="249">
        <f t="shared" si="17"/>
        <v>316567.26</v>
      </c>
      <c r="P21" s="249">
        <f t="shared" si="17"/>
        <v>461997.42</v>
      </c>
      <c r="Q21" s="249">
        <f t="shared" si="17"/>
        <v>672495.17999999993</v>
      </c>
      <c r="R21" s="249">
        <f t="shared" si="17"/>
        <v>991908.41999999993</v>
      </c>
      <c r="S21" s="249">
        <f t="shared" si="17"/>
        <v>1486235.94</v>
      </c>
      <c r="T21" s="249">
        <f t="shared" si="17"/>
        <v>2063597.4</v>
      </c>
      <c r="U21" s="249">
        <f t="shared" si="17"/>
        <v>3146286.1799999997</v>
      </c>
      <c r="V21" s="249">
        <f t="shared" si="17"/>
        <v>4090167.96</v>
      </c>
      <c r="W21" s="249">
        <f t="shared" si="17"/>
        <v>5317221.84</v>
      </c>
      <c r="X21" s="249">
        <f t="shared" si="17"/>
        <v>6912390.7199999997</v>
      </c>
      <c r="Y21" s="249">
        <f t="shared" ref="Y21:AB21" si="18">Y20*Y19</f>
        <v>9078743.5199999996</v>
      </c>
      <c r="Z21" s="249">
        <f t="shared" si="18"/>
        <v>11005661.699999999</v>
      </c>
      <c r="AA21" s="249">
        <f t="shared" si="18"/>
        <v>13340196</v>
      </c>
      <c r="AB21" s="249">
        <f t="shared" si="18"/>
        <v>16168322.399999999</v>
      </c>
    </row>
    <row r="22" spans="2:28" ht="21.95" customHeight="1">
      <c r="B22" s="234"/>
      <c r="D22" s="232"/>
      <c r="E22" s="232"/>
      <c r="F22" s="232"/>
      <c r="G22" s="232"/>
      <c r="H22" s="232"/>
      <c r="I22" s="232"/>
      <c r="J22" s="232"/>
      <c r="U22" s="232"/>
      <c r="V22" s="232"/>
      <c r="W22" s="232"/>
      <c r="X22" s="232"/>
      <c r="Y22" s="232"/>
      <c r="Z22" s="232"/>
      <c r="AA22" s="232"/>
      <c r="AB22" s="232"/>
    </row>
    <row r="23" spans="2:28" ht="21.95" customHeight="1">
      <c r="B23" s="234"/>
      <c r="C23" s="234" t="s">
        <v>94</v>
      </c>
      <c r="D23" s="232"/>
      <c r="E23" s="232"/>
      <c r="F23" s="232"/>
      <c r="G23" s="232"/>
      <c r="H23" s="232"/>
      <c r="I23" s="232"/>
      <c r="J23" s="232"/>
      <c r="L23" s="241"/>
      <c r="O23" s="241"/>
      <c r="P23" s="241"/>
      <c r="S23" s="241"/>
      <c r="T23" s="241"/>
      <c r="U23" s="232"/>
      <c r="V23" s="232"/>
      <c r="W23" s="241"/>
      <c r="X23" s="241"/>
      <c r="Y23" s="241"/>
      <c r="Z23" s="241"/>
      <c r="AA23" s="241"/>
      <c r="AB23" s="241"/>
    </row>
    <row r="24" spans="2:28" ht="21.95" customHeight="1">
      <c r="B24" s="234"/>
      <c r="C24" s="175" t="s">
        <v>80</v>
      </c>
      <c r="D24" s="232"/>
      <c r="E24" s="232"/>
      <c r="F24" s="232"/>
      <c r="G24" s="232"/>
      <c r="H24" s="232"/>
      <c r="I24" s="232"/>
      <c r="J24" s="232"/>
      <c r="K24" s="235">
        <f>SUM('U.S. Population'!V53:AG53)</f>
        <v>27756248</v>
      </c>
      <c r="L24" s="235">
        <f>K24+(O24-K24)/4</f>
        <v>27789970.75</v>
      </c>
      <c r="M24" s="241">
        <f>K24+2*(O24-K24)/4</f>
        <v>27823693.5</v>
      </c>
      <c r="N24" s="241">
        <f>K24+3*(O24-K24)/4</f>
        <v>27857416.25</v>
      </c>
      <c r="O24" s="235">
        <f>SUM('U.S. Population'!V54:AG54)</f>
        <v>27891139</v>
      </c>
      <c r="P24" s="235">
        <f>O24+(S24-O24)/4</f>
        <v>27899573.25</v>
      </c>
      <c r="Q24" s="241">
        <f>O24+2*(S24-O24)/4</f>
        <v>27908007.5</v>
      </c>
      <c r="R24" s="241">
        <f>O24+3*(S24-O24)/4</f>
        <v>27916441.75</v>
      </c>
      <c r="S24" s="235">
        <f>SUM('U.S. Population'!V55:AG55)</f>
        <v>27924876</v>
      </c>
      <c r="T24" s="235">
        <f>S24+(W24-S24)/4</f>
        <v>27894138</v>
      </c>
      <c r="U24" s="241">
        <f>S24+2*(W24-S24)/4</f>
        <v>27863400</v>
      </c>
      <c r="V24" s="241">
        <f>S24+3*(W24-S24)/4</f>
        <v>27832662</v>
      </c>
      <c r="W24" s="232">
        <f>SUM('U.S. Population'!V56:AG56)</f>
        <v>27801924</v>
      </c>
      <c r="X24" s="235">
        <f>W24+(48744844-W24)/4</f>
        <v>33037654</v>
      </c>
      <c r="Y24" s="235">
        <f t="shared" ref="Y24:AB24" si="19">X24+(48744844-X24)/4</f>
        <v>36964451.5</v>
      </c>
      <c r="Z24" s="235">
        <f t="shared" si="19"/>
        <v>39909549.625</v>
      </c>
      <c r="AA24" s="235">
        <f t="shared" si="19"/>
        <v>42118373.21875</v>
      </c>
      <c r="AB24" s="235">
        <f t="shared" si="19"/>
        <v>43774990.9140625</v>
      </c>
    </row>
    <row r="25" spans="2:28" ht="21.95" customHeight="1">
      <c r="B25" s="234"/>
      <c r="C25" s="175" t="s">
        <v>81</v>
      </c>
      <c r="D25" s="232"/>
      <c r="E25" s="232"/>
      <c r="F25" s="232"/>
      <c r="G25" s="232"/>
      <c r="H25" s="232"/>
      <c r="I25" s="232"/>
      <c r="J25" s="232"/>
      <c r="K25" s="235">
        <f>SUM('U.S. Population'!AH55:AP55)</f>
        <v>20314925</v>
      </c>
      <c r="L25" s="235">
        <f>K25+(O25-K25)/4</f>
        <v>20314925</v>
      </c>
      <c r="M25" s="241">
        <f>K25+2*(O25-K25)/4</f>
        <v>20314925</v>
      </c>
      <c r="N25" s="241">
        <f>K25+3*(O25-K25)/4</f>
        <v>20314925</v>
      </c>
      <c r="O25" s="235">
        <f>SUM('U.S. Population'!AH55:AP55)</f>
        <v>20314925</v>
      </c>
      <c r="P25" s="235">
        <f>O25+(S25-O25)/4</f>
        <v>20410855.25</v>
      </c>
      <c r="Q25" s="241">
        <f>O25+2*(S25-O25)/4</f>
        <v>20506785.5</v>
      </c>
      <c r="R25" s="241">
        <f>O25+3*(S25-O25)/4</f>
        <v>20602715.75</v>
      </c>
      <c r="S25" s="235">
        <f>SUM('U.S. Population'!AH56:AP56)</f>
        <v>20698646</v>
      </c>
      <c r="T25" s="235">
        <f>S25+(W25-S25)/4</f>
        <v>20792461.75</v>
      </c>
      <c r="U25" s="241">
        <f>S25+2*(W25-S25)/4</f>
        <v>20886277.5</v>
      </c>
      <c r="V25" s="241">
        <f>S25+3*(W25-S25)/4</f>
        <v>20980093.25</v>
      </c>
      <c r="W25" s="235">
        <f>SUM('U.S. Population'!AH57:AP57)</f>
        <v>21073909</v>
      </c>
      <c r="X25" s="235">
        <f>W25+(SUM('U.S. Population'!AH57:AP57)-W25)/4</f>
        <v>21073909</v>
      </c>
      <c r="Y25" s="235">
        <f>X25+(SUM('U.S. Population'!AI57:AQ57)-X25)/4</f>
        <v>20997929.5</v>
      </c>
      <c r="Z25" s="235">
        <f>Y25+(SUM('U.S. Population'!AJ57:AR57)-Y25)/4</f>
        <v>20860767.875</v>
      </c>
      <c r="AA25" s="235">
        <f>Z25+(SUM('U.S. Population'!AK57:AS57)-Z25)/4</f>
        <v>20713810.65625</v>
      </c>
      <c r="AB25" s="235">
        <f>AA25+(SUM('U.S. Population'!AL57:AT57)-AA25)/4</f>
        <v>20538810.9921875</v>
      </c>
    </row>
    <row r="26" spans="2:28" ht="21.95" customHeight="1">
      <c r="B26" s="234"/>
      <c r="C26" s="175" t="s">
        <v>82</v>
      </c>
      <c r="D26" s="242">
        <v>0.4</v>
      </c>
      <c r="E26" s="232"/>
      <c r="F26" s="232"/>
      <c r="G26" s="232"/>
      <c r="H26" s="232"/>
      <c r="I26" s="232"/>
      <c r="J26" s="232"/>
      <c r="K26" s="179"/>
      <c r="L26" s="235">
        <f>L24*$D$26</f>
        <v>11115988.300000001</v>
      </c>
      <c r="M26" s="235">
        <f t="shared" ref="M26:X26" si="20">M24*$D$26</f>
        <v>11129477.4</v>
      </c>
      <c r="N26" s="235">
        <f t="shared" si="20"/>
        <v>11142966.5</v>
      </c>
      <c r="O26" s="235">
        <f t="shared" si="20"/>
        <v>11156455.600000001</v>
      </c>
      <c r="P26" s="235">
        <f t="shared" si="20"/>
        <v>11159829.300000001</v>
      </c>
      <c r="Q26" s="235">
        <f t="shared" si="20"/>
        <v>11163203</v>
      </c>
      <c r="R26" s="235">
        <f t="shared" si="20"/>
        <v>11166576.700000001</v>
      </c>
      <c r="S26" s="235">
        <f t="shared" si="20"/>
        <v>11169950.4</v>
      </c>
      <c r="T26" s="235">
        <f t="shared" si="20"/>
        <v>11157655.200000001</v>
      </c>
      <c r="U26" s="235">
        <f t="shared" si="20"/>
        <v>11145360</v>
      </c>
      <c r="V26" s="235">
        <f t="shared" si="20"/>
        <v>11133064.800000001</v>
      </c>
      <c r="W26" s="235">
        <f t="shared" si="20"/>
        <v>11120769.600000001</v>
      </c>
      <c r="X26" s="235">
        <f t="shared" si="20"/>
        <v>13215061.600000001</v>
      </c>
      <c r="Y26" s="235">
        <f t="shared" ref="Y26:AB26" si="21">Y24*$D$26</f>
        <v>14785780.600000001</v>
      </c>
      <c r="Z26" s="235">
        <f t="shared" si="21"/>
        <v>15963819.850000001</v>
      </c>
      <c r="AA26" s="235">
        <f t="shared" si="21"/>
        <v>16847349.287500001</v>
      </c>
      <c r="AB26" s="235">
        <f t="shared" si="21"/>
        <v>17509996.365625001</v>
      </c>
    </row>
    <row r="27" spans="2:28" ht="21.95" customHeight="1">
      <c r="B27" s="234"/>
      <c r="C27" s="175" t="s">
        <v>83</v>
      </c>
      <c r="D27" s="242">
        <v>0.35</v>
      </c>
      <c r="E27" s="232"/>
      <c r="F27" s="232"/>
      <c r="G27" s="232"/>
      <c r="H27" s="232"/>
      <c r="I27" s="232"/>
      <c r="J27" s="232"/>
      <c r="K27" s="179"/>
      <c r="L27" s="235">
        <f>L25*$D$27</f>
        <v>7110223.75</v>
      </c>
      <c r="M27" s="235">
        <f t="shared" ref="M27:X27" si="22">M25*$D$27</f>
        <v>7110223.75</v>
      </c>
      <c r="N27" s="235">
        <f t="shared" si="22"/>
        <v>7110223.75</v>
      </c>
      <c r="O27" s="235">
        <f t="shared" si="22"/>
        <v>7110223.75</v>
      </c>
      <c r="P27" s="235">
        <f t="shared" si="22"/>
        <v>7143799.3374999994</v>
      </c>
      <c r="Q27" s="235">
        <f t="shared" si="22"/>
        <v>7177374.9249999998</v>
      </c>
      <c r="R27" s="235">
        <f t="shared" si="22"/>
        <v>7210950.5124999993</v>
      </c>
      <c r="S27" s="235">
        <f t="shared" si="22"/>
        <v>7244526.0999999996</v>
      </c>
      <c r="T27" s="235">
        <f t="shared" si="22"/>
        <v>7277361.6124999998</v>
      </c>
      <c r="U27" s="235">
        <f t="shared" si="22"/>
        <v>7310197.125</v>
      </c>
      <c r="V27" s="235">
        <f t="shared" si="22"/>
        <v>7343032.6374999993</v>
      </c>
      <c r="W27" s="235">
        <f t="shared" si="22"/>
        <v>7375868.1499999994</v>
      </c>
      <c r="X27" s="235">
        <f t="shared" si="22"/>
        <v>7375868.1499999994</v>
      </c>
      <c r="Y27" s="235">
        <f t="shared" ref="Y27:AB27" si="23">Y25*$D$27</f>
        <v>7349275.3249999993</v>
      </c>
      <c r="Z27" s="235">
        <f t="shared" si="23"/>
        <v>7301268.7562499996</v>
      </c>
      <c r="AA27" s="235">
        <f t="shared" si="23"/>
        <v>7249833.7296874998</v>
      </c>
      <c r="AB27" s="235">
        <f t="shared" si="23"/>
        <v>7188583.8472656244</v>
      </c>
    </row>
    <row r="28" spans="2:28" ht="21.95" customHeight="1">
      <c r="B28" s="234"/>
      <c r="C28" s="175" t="s">
        <v>84</v>
      </c>
      <c r="D28" s="232"/>
      <c r="E28" s="232"/>
      <c r="F28" s="232"/>
      <c r="G28" s="232"/>
      <c r="H28" s="232"/>
      <c r="I28" s="232"/>
      <c r="J28" s="232"/>
      <c r="K28" s="179"/>
      <c r="L28" s="250">
        <f>L26+L27</f>
        <v>18226212.050000001</v>
      </c>
      <c r="M28" s="250">
        <f t="shared" ref="M28:X28" si="24">M26+M27</f>
        <v>18239701.149999999</v>
      </c>
      <c r="N28" s="250">
        <f t="shared" si="24"/>
        <v>18253190.25</v>
      </c>
      <c r="O28" s="250">
        <f t="shared" si="24"/>
        <v>18266679.350000001</v>
      </c>
      <c r="P28" s="250">
        <f t="shared" si="24"/>
        <v>18303628.637499999</v>
      </c>
      <c r="Q28" s="250">
        <f t="shared" si="24"/>
        <v>18340577.925000001</v>
      </c>
      <c r="R28" s="250">
        <f t="shared" si="24"/>
        <v>18377527.212499999</v>
      </c>
      <c r="S28" s="250">
        <f t="shared" si="24"/>
        <v>18414476.5</v>
      </c>
      <c r="T28" s="250">
        <f t="shared" si="24"/>
        <v>18435016.8125</v>
      </c>
      <c r="U28" s="250">
        <f t="shared" si="24"/>
        <v>18455557.125</v>
      </c>
      <c r="V28" s="250">
        <f t="shared" si="24"/>
        <v>18476097.4375</v>
      </c>
      <c r="W28" s="250">
        <f t="shared" si="24"/>
        <v>18496637.75</v>
      </c>
      <c r="X28" s="250">
        <f t="shared" si="24"/>
        <v>20590929.75</v>
      </c>
      <c r="Y28" s="250">
        <f t="shared" ref="Y28:AB28" si="25">Y26+Y27</f>
        <v>22135055.925000001</v>
      </c>
      <c r="Z28" s="250">
        <f t="shared" si="25"/>
        <v>23265088.606250003</v>
      </c>
      <c r="AA28" s="250">
        <f t="shared" si="25"/>
        <v>24097183.017187502</v>
      </c>
      <c r="AB28" s="250">
        <f t="shared" si="25"/>
        <v>24698580.212890625</v>
      </c>
    </row>
    <row r="29" spans="2:28" ht="21.95" customHeight="1">
      <c r="B29" s="234"/>
      <c r="C29" s="175" t="s">
        <v>85</v>
      </c>
      <c r="K29" s="251"/>
      <c r="L29" s="243"/>
      <c r="M29" s="243">
        <f>M12/4</f>
        <v>5.0000000000000001E-4</v>
      </c>
      <c r="N29" s="239">
        <f t="shared" ref="N29" si="26">N30/N24</f>
        <v>5.9524544025148056E-4</v>
      </c>
      <c r="O29" s="239">
        <f>O30/O24</f>
        <v>9.307974120382821E-4</v>
      </c>
      <c r="P29" s="239">
        <f t="shared" ref="P29" si="27">P30/P24</f>
        <v>1.3580136033084305E-3</v>
      </c>
      <c r="Q29" s="239">
        <f t="shared" ref="Q29" si="28">Q30/Q24</f>
        <v>1.9761711759608779E-3</v>
      </c>
      <c r="R29" s="239">
        <f t="shared" ref="R29" si="29">R30/R24</f>
        <v>2.9139100437110686E-3</v>
      </c>
      <c r="S29" s="239">
        <f t="shared" ref="S29" si="30">S30/S24</f>
        <v>4.3647821390505014E-3</v>
      </c>
      <c r="T29" s="239">
        <f t="shared" ref="T29" si="31">T30/T24</f>
        <v>6.0670811910373424E-3</v>
      </c>
      <c r="U29" s="239">
        <f t="shared" ref="U29" si="32">U30/U24</f>
        <v>9.260463547162227E-3</v>
      </c>
      <c r="V29" s="239">
        <f t="shared" ref="V29" si="33">V30/V24</f>
        <v>1.2051919431924981E-2</v>
      </c>
      <c r="W29" s="239">
        <f t="shared" ref="W29" si="34">W30/W24</f>
        <v>1.568484972478883E-2</v>
      </c>
      <c r="X29" s="239">
        <f t="shared" ref="X29:AB29" si="35">X30/X24</f>
        <v>1.7158906016752885E-2</v>
      </c>
      <c r="Y29" s="239">
        <f t="shared" si="35"/>
        <v>1.9936911548653711E-2</v>
      </c>
      <c r="Z29" s="239">
        <f t="shared" si="35"/>
        <v>2.2158831866296712E-2</v>
      </c>
      <c r="AA29" s="239">
        <f t="shared" si="35"/>
        <v>2.5196106091000994E-2</v>
      </c>
      <c r="AB29" s="239">
        <f t="shared" si="35"/>
        <v>2.9091108265448123E-2</v>
      </c>
    </row>
    <row r="30" spans="2:28" ht="21.95" customHeight="1">
      <c r="B30" s="234"/>
      <c r="C30" s="175" t="s">
        <v>2</v>
      </c>
      <c r="D30" s="232"/>
      <c r="E30" s="232"/>
      <c r="F30" s="232"/>
      <c r="G30" s="232"/>
      <c r="H30" s="232"/>
      <c r="I30" s="232"/>
      <c r="J30" s="232"/>
      <c r="K30" s="241"/>
      <c r="L30" s="241"/>
      <c r="M30" s="241">
        <f>M28*M29</f>
        <v>9119.8505749999986</v>
      </c>
      <c r="N30" s="241">
        <f t="shared" ref="N30:X30" si="36">ROUNDUP(M30*(1+M31),0)</f>
        <v>16582</v>
      </c>
      <c r="O30" s="241">
        <f t="shared" si="36"/>
        <v>25961</v>
      </c>
      <c r="P30" s="241">
        <f t="shared" si="36"/>
        <v>37888</v>
      </c>
      <c r="Q30" s="241">
        <f t="shared" si="36"/>
        <v>55151</v>
      </c>
      <c r="R30" s="241">
        <f t="shared" si="36"/>
        <v>81346</v>
      </c>
      <c r="S30" s="241">
        <f t="shared" si="36"/>
        <v>121886</v>
      </c>
      <c r="T30" s="241">
        <f t="shared" si="36"/>
        <v>169236</v>
      </c>
      <c r="U30" s="241">
        <f t="shared" si="36"/>
        <v>258028</v>
      </c>
      <c r="V30" s="241">
        <f t="shared" si="36"/>
        <v>335437</v>
      </c>
      <c r="W30" s="241">
        <f t="shared" si="36"/>
        <v>436069</v>
      </c>
      <c r="X30" s="241">
        <f t="shared" si="36"/>
        <v>566890</v>
      </c>
      <c r="Y30" s="241">
        <f t="shared" ref="Y30" si="37">ROUNDUP(X30*(1+X31),0)</f>
        <v>736957</v>
      </c>
      <c r="Z30" s="241">
        <f t="shared" ref="Z30" si="38">ROUNDUP(Y30*(1+Y31),0)</f>
        <v>884349</v>
      </c>
      <c r="AA30" s="241">
        <f t="shared" ref="AA30" si="39">ROUNDUP(Z30*(1+Z31),0)</f>
        <v>1061219</v>
      </c>
      <c r="AB30" s="241">
        <f t="shared" ref="AB30" si="40">ROUNDUP(AA30*(1+AA31),0)</f>
        <v>1273463</v>
      </c>
    </row>
    <row r="31" spans="2:28" ht="21.95" customHeight="1">
      <c r="B31" s="234"/>
      <c r="C31" s="175" t="s">
        <v>86</v>
      </c>
      <c r="D31" s="232"/>
      <c r="E31" s="232"/>
      <c r="F31" s="232"/>
      <c r="G31" s="232"/>
      <c r="H31" s="232"/>
      <c r="I31" s="232"/>
      <c r="J31" s="232"/>
      <c r="L31" s="244"/>
      <c r="M31" s="244">
        <f>M14</f>
        <v>0.8181250000000001</v>
      </c>
      <c r="N31" s="244">
        <f t="shared" ref="N31:X31" si="41">N14</f>
        <v>0.56560096153846162</v>
      </c>
      <c r="O31" s="244">
        <f t="shared" si="41"/>
        <v>0.45940318302387262</v>
      </c>
      <c r="P31" s="244">
        <f t="shared" si="41"/>
        <v>0.455625</v>
      </c>
      <c r="Q31" s="244">
        <f t="shared" si="41"/>
        <v>0.47496428571428567</v>
      </c>
      <c r="R31" s="244">
        <f t="shared" si="41"/>
        <v>0.4983611111111112</v>
      </c>
      <c r="S31" s="244">
        <f t="shared" si="41"/>
        <v>0.38847527472527466</v>
      </c>
      <c r="T31" s="244">
        <f t="shared" si="41"/>
        <v>0.52465860215053772</v>
      </c>
      <c r="U31" s="244">
        <f t="shared" si="41"/>
        <v>0.3</v>
      </c>
      <c r="V31" s="244">
        <f t="shared" si="41"/>
        <v>0.3</v>
      </c>
      <c r="W31" s="244">
        <f t="shared" si="41"/>
        <v>0.3</v>
      </c>
      <c r="X31" s="244">
        <f t="shared" si="41"/>
        <v>0.3</v>
      </c>
      <c r="Y31" s="244">
        <f t="shared" ref="Y31:AB31" si="42">Y14</f>
        <v>0.2</v>
      </c>
      <c r="Z31" s="244">
        <f t="shared" si="42"/>
        <v>0.2</v>
      </c>
      <c r="AA31" s="244">
        <f t="shared" si="42"/>
        <v>0.2</v>
      </c>
      <c r="AB31" s="244">
        <f t="shared" si="42"/>
        <v>0</v>
      </c>
    </row>
    <row r="32" spans="2:28" ht="21.95" customHeight="1">
      <c r="B32" s="234"/>
      <c r="C32" s="175" t="s">
        <v>87</v>
      </c>
      <c r="D32" s="245">
        <v>2</v>
      </c>
      <c r="E32" s="232" t="s">
        <v>95</v>
      </c>
      <c r="F32" s="232"/>
      <c r="G32" s="232"/>
      <c r="H32" s="232"/>
      <c r="I32" s="232"/>
      <c r="J32" s="232"/>
      <c r="U32" s="232"/>
      <c r="V32" s="232"/>
      <c r="W32" s="232"/>
      <c r="X32" s="232"/>
      <c r="Y32" s="232"/>
      <c r="Z32" s="232"/>
      <c r="AA32" s="232"/>
      <c r="AB32" s="232"/>
    </row>
    <row r="33" spans="2:28" ht="21.95" customHeight="1">
      <c r="B33" s="234"/>
      <c r="C33" s="175" t="s">
        <v>96</v>
      </c>
      <c r="D33" s="232"/>
      <c r="E33" s="232"/>
      <c r="F33" s="232"/>
      <c r="G33" s="232"/>
      <c r="H33" s="232"/>
      <c r="I33" s="232"/>
      <c r="J33" s="232"/>
      <c r="K33" s="252"/>
      <c r="L33" s="244"/>
      <c r="M33" s="244">
        <v>0.1</v>
      </c>
      <c r="N33" s="244">
        <v>0.1</v>
      </c>
      <c r="O33" s="244">
        <v>0.1</v>
      </c>
      <c r="P33" s="244">
        <v>0.1</v>
      </c>
      <c r="Q33" s="244">
        <v>0.1</v>
      </c>
      <c r="R33" s="244">
        <v>0.1</v>
      </c>
      <c r="S33" s="244">
        <v>0.1</v>
      </c>
      <c r="T33" s="244">
        <v>0.1</v>
      </c>
      <c r="U33" s="244">
        <v>0.1</v>
      </c>
      <c r="V33" s="244">
        <v>0.1</v>
      </c>
      <c r="W33" s="244">
        <v>0.1</v>
      </c>
      <c r="X33" s="244">
        <v>0.1</v>
      </c>
      <c r="Y33" s="244">
        <v>0.1</v>
      </c>
      <c r="Z33" s="244">
        <v>0.1</v>
      </c>
      <c r="AA33" s="244">
        <v>0.1</v>
      </c>
      <c r="AB33" s="244">
        <v>0.1</v>
      </c>
    </row>
    <row r="34" spans="2:28" ht="21.95" customHeight="1">
      <c r="B34" s="234"/>
      <c r="C34" s="175" t="s">
        <v>90</v>
      </c>
      <c r="D34" s="232"/>
      <c r="E34" s="232"/>
      <c r="F34" s="232"/>
      <c r="G34" s="232"/>
      <c r="H34" s="232"/>
      <c r="I34" s="232"/>
      <c r="J34" s="232"/>
      <c r="K34" s="241"/>
      <c r="L34" s="241"/>
      <c r="M34" s="241">
        <f>ROUNDUP(M30*($D$15*M33),0)</f>
        <v>3648</v>
      </c>
      <c r="N34" s="241">
        <f t="shared" ref="N34" si="43">ROUNDUP(N30*($D$15*N33),0)</f>
        <v>6633</v>
      </c>
      <c r="O34" s="241">
        <f t="shared" ref="O34" si="44">ROUNDUP(O30*($D$15*O33),0)</f>
        <v>10385</v>
      </c>
      <c r="P34" s="241">
        <f t="shared" ref="P34" si="45">ROUNDUP(P30*($D$15*P33),0)</f>
        <v>15156</v>
      </c>
      <c r="Q34" s="241">
        <f t="shared" ref="Q34" si="46">ROUNDUP(Q30*($D$15*Q33),0)</f>
        <v>22061</v>
      </c>
      <c r="R34" s="241">
        <f t="shared" ref="R34" si="47">ROUNDUP(R30*($D$15*R33),0)</f>
        <v>32539</v>
      </c>
      <c r="S34" s="241">
        <f t="shared" ref="S34" si="48">ROUNDUP(S30*($D$15*S33),0)</f>
        <v>48755</v>
      </c>
      <c r="T34" s="241">
        <f t="shared" ref="T34" si="49">ROUNDUP(T30*($D$15*T33),0)</f>
        <v>67695</v>
      </c>
      <c r="U34" s="241">
        <f t="shared" ref="U34" si="50">ROUNDUP(U30*($D$15*U33),0)</f>
        <v>103212</v>
      </c>
      <c r="V34" s="241">
        <f t="shared" ref="V34" si="51">ROUNDUP(V30*($D$15*V33),0)</f>
        <v>134175</v>
      </c>
      <c r="W34" s="241">
        <f t="shared" ref="W34" si="52">ROUNDUP(W30*($D$15*W33),0)</f>
        <v>174428</v>
      </c>
      <c r="X34" s="241">
        <f t="shared" ref="X34:AB34" si="53">ROUNDUP(X30*($D$15*X33),0)</f>
        <v>226756</v>
      </c>
      <c r="Y34" s="241">
        <f t="shared" si="53"/>
        <v>294783</v>
      </c>
      <c r="Z34" s="241">
        <f t="shared" si="53"/>
        <v>353740</v>
      </c>
      <c r="AA34" s="241">
        <f t="shared" si="53"/>
        <v>424488</v>
      </c>
      <c r="AB34" s="241">
        <f t="shared" si="53"/>
        <v>509386</v>
      </c>
    </row>
    <row r="35" spans="2:28" ht="21.95" customHeight="1">
      <c r="B35" s="234"/>
      <c r="C35" s="175" t="s">
        <v>91</v>
      </c>
      <c r="D35" s="232"/>
      <c r="E35" s="232"/>
      <c r="F35" s="232"/>
      <c r="G35" s="232"/>
      <c r="H35" s="232"/>
      <c r="I35" s="232"/>
      <c r="J35" s="232"/>
      <c r="K35" s="253"/>
      <c r="L35" s="245"/>
      <c r="M35" s="245">
        <v>97</v>
      </c>
      <c r="N35" s="245">
        <v>97</v>
      </c>
      <c r="O35" s="245">
        <v>97</v>
      </c>
      <c r="P35" s="245">
        <v>97</v>
      </c>
      <c r="Q35" s="245">
        <v>97</v>
      </c>
      <c r="R35" s="245">
        <v>97</v>
      </c>
      <c r="S35" s="245">
        <v>97</v>
      </c>
      <c r="T35" s="245">
        <v>97</v>
      </c>
      <c r="U35" s="245">
        <v>97</v>
      </c>
      <c r="V35" s="245">
        <v>97</v>
      </c>
      <c r="W35" s="245">
        <v>97</v>
      </c>
      <c r="X35" s="245">
        <v>97</v>
      </c>
      <c r="Y35" s="245">
        <v>98</v>
      </c>
      <c r="Z35" s="245">
        <v>99</v>
      </c>
      <c r="AA35" s="245">
        <v>100</v>
      </c>
      <c r="AB35" s="245">
        <v>101</v>
      </c>
    </row>
    <row r="36" spans="2:28" ht="21.95" customHeight="1">
      <c r="B36" s="234"/>
      <c r="C36" s="175" t="s">
        <v>97</v>
      </c>
      <c r="D36" s="232"/>
      <c r="E36" s="232"/>
      <c r="F36" s="232"/>
      <c r="G36" s="232"/>
      <c r="H36" s="232"/>
      <c r="I36" s="232"/>
      <c r="J36" s="232"/>
      <c r="K36" s="241"/>
      <c r="L36" s="241"/>
      <c r="M36" s="241">
        <f t="shared" ref="M36" si="54">M35*M34</f>
        <v>353856</v>
      </c>
      <c r="N36" s="241">
        <f t="shared" ref="N36" si="55">N35*N34</f>
        <v>643401</v>
      </c>
      <c r="O36" s="241">
        <f t="shared" ref="O36" si="56">O35*O34</f>
        <v>1007345</v>
      </c>
      <c r="P36" s="241">
        <f t="shared" ref="P36" si="57">P35*P34</f>
        <v>1470132</v>
      </c>
      <c r="Q36" s="241">
        <f t="shared" ref="Q36" si="58">Q35*Q34</f>
        <v>2139917</v>
      </c>
      <c r="R36" s="241">
        <f t="shared" ref="R36" si="59">R35*R34</f>
        <v>3156283</v>
      </c>
      <c r="S36" s="241">
        <f t="shared" ref="S36" si="60">S35*S34</f>
        <v>4729235</v>
      </c>
      <c r="T36" s="241">
        <f t="shared" ref="T36" si="61">T35*T34</f>
        <v>6566415</v>
      </c>
      <c r="U36" s="241">
        <f t="shared" ref="U36" si="62">U35*U34</f>
        <v>10011564</v>
      </c>
      <c r="V36" s="241">
        <f t="shared" ref="V36" si="63">V35*V34</f>
        <v>13014975</v>
      </c>
      <c r="W36" s="241">
        <f t="shared" ref="W36" si="64">W35*W34</f>
        <v>16919516</v>
      </c>
      <c r="X36" s="241">
        <f t="shared" ref="X36:AB36" si="65">X35*X34</f>
        <v>21995332</v>
      </c>
      <c r="Y36" s="241">
        <f t="shared" si="65"/>
        <v>28888734</v>
      </c>
      <c r="Z36" s="241">
        <f t="shared" si="65"/>
        <v>35020260</v>
      </c>
      <c r="AA36" s="241">
        <f t="shared" si="65"/>
        <v>42448800</v>
      </c>
      <c r="AB36" s="241">
        <f t="shared" si="65"/>
        <v>51447986</v>
      </c>
    </row>
    <row r="37" spans="2:28" ht="21.95" customHeight="1">
      <c r="B37" s="234"/>
      <c r="C37" s="175" t="s">
        <v>92</v>
      </c>
      <c r="D37" s="232"/>
      <c r="E37" s="232"/>
      <c r="F37" s="232"/>
      <c r="G37" s="232"/>
      <c r="H37" s="232"/>
      <c r="I37" s="232"/>
      <c r="J37" s="232"/>
      <c r="K37" s="252"/>
      <c r="L37" s="244"/>
      <c r="M37" s="244">
        <v>0.05</v>
      </c>
      <c r="N37" s="244">
        <v>0.05</v>
      </c>
      <c r="O37" s="244">
        <v>0.05</v>
      </c>
      <c r="P37" s="244">
        <v>0.05</v>
      </c>
      <c r="Q37" s="244">
        <v>0.05</v>
      </c>
      <c r="R37" s="244">
        <v>0.05</v>
      </c>
      <c r="S37" s="244">
        <v>0.05</v>
      </c>
      <c r="T37" s="244">
        <v>0.05</v>
      </c>
      <c r="U37" s="244">
        <v>0.05</v>
      </c>
      <c r="V37" s="244">
        <v>0.05</v>
      </c>
      <c r="W37" s="244">
        <v>0.05</v>
      </c>
      <c r="X37" s="244">
        <v>0.05</v>
      </c>
      <c r="Y37" s="244">
        <v>0.05</v>
      </c>
      <c r="Z37" s="244">
        <v>0.05</v>
      </c>
      <c r="AA37" s="244">
        <v>0.05</v>
      </c>
      <c r="AB37" s="244">
        <v>0.05</v>
      </c>
    </row>
    <row r="38" spans="2:28" ht="21.95" customHeight="1">
      <c r="B38" s="234"/>
      <c r="C38" s="247" t="s">
        <v>98</v>
      </c>
      <c r="D38" s="248"/>
      <c r="E38" s="248"/>
      <c r="F38" s="248"/>
      <c r="G38" s="248"/>
      <c r="H38" s="248"/>
      <c r="I38" s="248"/>
      <c r="J38" s="248"/>
      <c r="K38" s="249">
        <f>K37*K36</f>
        <v>0</v>
      </c>
      <c r="L38" s="249">
        <f t="shared" ref="L38" si="66">L37*L36</f>
        <v>0</v>
      </c>
      <c r="M38" s="249">
        <f t="shared" ref="M38" si="67">M37*M36</f>
        <v>17692.8</v>
      </c>
      <c r="N38" s="249">
        <f t="shared" ref="N38" si="68">N37*N36</f>
        <v>32170.050000000003</v>
      </c>
      <c r="O38" s="249">
        <f t="shared" ref="O38" si="69">O37*O36</f>
        <v>50367.25</v>
      </c>
      <c r="P38" s="249">
        <f t="shared" ref="P38" si="70">P37*P36</f>
        <v>73506.600000000006</v>
      </c>
      <c r="Q38" s="249">
        <f t="shared" ref="Q38" si="71">Q37*Q36</f>
        <v>106995.85</v>
      </c>
      <c r="R38" s="249">
        <f t="shared" ref="R38" si="72">R37*R36</f>
        <v>157814.15000000002</v>
      </c>
      <c r="S38" s="249">
        <f t="shared" ref="S38" si="73">S37*S36</f>
        <v>236461.75</v>
      </c>
      <c r="T38" s="249">
        <f t="shared" ref="T38" si="74">T37*T36</f>
        <v>328320.75</v>
      </c>
      <c r="U38" s="249">
        <f t="shared" ref="U38" si="75">U37*U36</f>
        <v>500578.2</v>
      </c>
      <c r="V38" s="249">
        <f t="shared" ref="V38" si="76">V37*V36</f>
        <v>650748.75</v>
      </c>
      <c r="W38" s="249">
        <f t="shared" ref="W38" si="77">W37*W36</f>
        <v>845975.8</v>
      </c>
      <c r="X38" s="249">
        <f t="shared" ref="X38:AB38" si="78">X37*X36</f>
        <v>1099766.6000000001</v>
      </c>
      <c r="Y38" s="249">
        <f t="shared" si="78"/>
        <v>1444436.7000000002</v>
      </c>
      <c r="Z38" s="249">
        <f t="shared" si="78"/>
        <v>1751013</v>
      </c>
      <c r="AA38" s="249">
        <f t="shared" si="78"/>
        <v>2122440</v>
      </c>
      <c r="AB38" s="249">
        <f t="shared" si="78"/>
        <v>2572399.3000000003</v>
      </c>
    </row>
    <row r="39" spans="2:28" ht="21.95" customHeight="1">
      <c r="B39" s="234"/>
      <c r="C39" s="254"/>
      <c r="D39" s="255"/>
      <c r="E39" s="255"/>
      <c r="F39" s="255"/>
      <c r="G39" s="255"/>
      <c r="H39" s="255"/>
      <c r="I39" s="255"/>
      <c r="J39" s="255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</row>
    <row r="40" spans="2:28" ht="21.95" customHeight="1">
      <c r="B40" s="234"/>
      <c r="C40" s="254" t="s">
        <v>99</v>
      </c>
      <c r="D40" s="255"/>
      <c r="E40" s="255"/>
      <c r="F40" s="255"/>
      <c r="G40" s="255"/>
      <c r="H40" s="255"/>
      <c r="I40" s="255"/>
      <c r="J40" s="255"/>
      <c r="K40" s="256">
        <f>J30+K13</f>
        <v>0</v>
      </c>
      <c r="L40" s="256">
        <f>K30+L13</f>
        <v>0</v>
      </c>
      <c r="M40" s="256">
        <f t="shared" ref="M40:X40" si="79">M30+M13</f>
        <v>56891.373174999993</v>
      </c>
      <c r="N40" s="256">
        <f t="shared" si="79"/>
        <v>103437</v>
      </c>
      <c r="O40" s="256">
        <f t="shared" si="79"/>
        <v>161942</v>
      </c>
      <c r="P40" s="256">
        <f t="shared" si="79"/>
        <v>236340</v>
      </c>
      <c r="Q40" s="256">
        <f t="shared" si="79"/>
        <v>344023</v>
      </c>
      <c r="R40" s="256">
        <f t="shared" si="79"/>
        <v>507422</v>
      </c>
      <c r="S40" s="256">
        <f t="shared" si="79"/>
        <v>760302</v>
      </c>
      <c r="T40" s="256">
        <f t="shared" si="79"/>
        <v>1055661</v>
      </c>
      <c r="U40" s="256">
        <f t="shared" si="79"/>
        <v>1609524</v>
      </c>
      <c r="V40" s="256">
        <f t="shared" si="79"/>
        <v>2092382</v>
      </c>
      <c r="W40" s="256">
        <f t="shared" si="79"/>
        <v>2720098</v>
      </c>
      <c r="X40" s="256">
        <f t="shared" si="79"/>
        <v>3536128</v>
      </c>
      <c r="Y40" s="256">
        <f t="shared" ref="Y40:AB40" si="80">Y30+Y13</f>
        <v>4596967</v>
      </c>
      <c r="Z40" s="256">
        <f t="shared" si="80"/>
        <v>5516361</v>
      </c>
      <c r="AA40" s="256">
        <f t="shared" si="80"/>
        <v>6619634</v>
      </c>
      <c r="AB40" s="256">
        <f t="shared" si="80"/>
        <v>7943561</v>
      </c>
    </row>
    <row r="41" spans="2:28" ht="21.95" customHeight="1">
      <c r="B41" s="234"/>
      <c r="C41" s="254" t="s">
        <v>100</v>
      </c>
      <c r="D41" s="255"/>
      <c r="E41" s="255"/>
      <c r="F41" s="255"/>
      <c r="G41" s="255"/>
      <c r="H41" s="255"/>
      <c r="I41" s="255"/>
      <c r="J41" s="255"/>
      <c r="K41" s="256">
        <f>J36+K19</f>
        <v>0</v>
      </c>
      <c r="L41" s="256">
        <f>K36+L19</f>
        <v>0</v>
      </c>
      <c r="M41" s="256">
        <f t="shared" ref="M41:X41" si="81">M36+M19</f>
        <v>2207429</v>
      </c>
      <c r="N41" s="256">
        <f t="shared" si="81"/>
        <v>4013375</v>
      </c>
      <c r="O41" s="256">
        <f t="shared" si="81"/>
        <v>6283466</v>
      </c>
      <c r="P41" s="256">
        <f t="shared" si="81"/>
        <v>9170089</v>
      </c>
      <c r="Q41" s="256">
        <f t="shared" si="81"/>
        <v>13348170</v>
      </c>
      <c r="R41" s="256">
        <f t="shared" si="81"/>
        <v>19688090</v>
      </c>
      <c r="S41" s="256">
        <f t="shared" si="81"/>
        <v>29499834</v>
      </c>
      <c r="T41" s="256">
        <f t="shared" si="81"/>
        <v>40959705</v>
      </c>
      <c r="U41" s="256">
        <f t="shared" si="81"/>
        <v>62449667</v>
      </c>
      <c r="V41" s="256">
        <f t="shared" si="81"/>
        <v>81184441</v>
      </c>
      <c r="W41" s="256">
        <f t="shared" si="81"/>
        <v>105539880</v>
      </c>
      <c r="X41" s="256">
        <f t="shared" si="81"/>
        <v>137201844</v>
      </c>
      <c r="Y41" s="256">
        <f t="shared" ref="Y41:AB41" si="82">Y36+Y19</f>
        <v>180201126</v>
      </c>
      <c r="Z41" s="256">
        <f t="shared" si="82"/>
        <v>218447955</v>
      </c>
      <c r="AA41" s="256">
        <f t="shared" si="82"/>
        <v>264785400</v>
      </c>
      <c r="AB41" s="256">
        <f t="shared" si="82"/>
        <v>320920026</v>
      </c>
    </row>
    <row r="42" spans="2:28" ht="21.95" customHeight="1" thickBot="1">
      <c r="B42" s="234"/>
      <c r="C42" s="257" t="s">
        <v>101</v>
      </c>
      <c r="D42" s="258"/>
      <c r="E42" s="258"/>
      <c r="F42" s="258"/>
      <c r="G42" s="258"/>
      <c r="H42" s="258"/>
      <c r="I42" s="258"/>
      <c r="J42" s="258"/>
      <c r="K42" s="259">
        <f>K21+J38</f>
        <v>0</v>
      </c>
      <c r="L42" s="259">
        <f>L21+K38</f>
        <v>0</v>
      </c>
      <c r="M42" s="259">
        <f t="shared" ref="M42:X42" si="83">M21+M38</f>
        <v>128907.18</v>
      </c>
      <c r="N42" s="259">
        <f t="shared" si="83"/>
        <v>234368.49</v>
      </c>
      <c r="O42" s="259">
        <f t="shared" si="83"/>
        <v>366934.51</v>
      </c>
      <c r="P42" s="259">
        <f t="shared" si="83"/>
        <v>535504.02</v>
      </c>
      <c r="Q42" s="259">
        <f t="shared" si="83"/>
        <v>779491.02999999991</v>
      </c>
      <c r="R42" s="259">
        <f t="shared" si="83"/>
        <v>1149722.5699999998</v>
      </c>
      <c r="S42" s="259">
        <f t="shared" si="83"/>
        <v>1722697.69</v>
      </c>
      <c r="T42" s="259">
        <f t="shared" si="83"/>
        <v>2391918.15</v>
      </c>
      <c r="U42" s="259">
        <f t="shared" si="83"/>
        <v>3646864.38</v>
      </c>
      <c r="V42" s="259">
        <f t="shared" si="83"/>
        <v>4740916.71</v>
      </c>
      <c r="W42" s="259">
        <f t="shared" si="83"/>
        <v>6163197.6399999997</v>
      </c>
      <c r="X42" s="259">
        <f t="shared" si="83"/>
        <v>8012157.3200000003</v>
      </c>
      <c r="Y42" s="259">
        <f t="shared" ref="Y42:AB42" si="84">Y21+Y38</f>
        <v>10523180.219999999</v>
      </c>
      <c r="Z42" s="259">
        <f t="shared" si="84"/>
        <v>12756674.699999999</v>
      </c>
      <c r="AA42" s="259">
        <f t="shared" si="84"/>
        <v>15462636</v>
      </c>
      <c r="AB42" s="259">
        <f t="shared" si="84"/>
        <v>18740721.699999999</v>
      </c>
    </row>
    <row r="43" spans="2:28" s="234" customFormat="1" ht="21.95" customHeight="1">
      <c r="B43" s="260"/>
      <c r="D43" s="255"/>
      <c r="E43" s="255"/>
      <c r="F43" s="255"/>
      <c r="G43" s="255"/>
      <c r="H43" s="255"/>
      <c r="I43" s="255"/>
      <c r="J43" s="255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  <c r="AA43" s="261"/>
      <c r="AB43" s="261"/>
    </row>
    <row r="44" spans="2:28" ht="21.95" customHeight="1">
      <c r="B44" s="262" t="s">
        <v>102</v>
      </c>
      <c r="C44" s="263"/>
      <c r="D44" s="249"/>
      <c r="E44" s="249"/>
      <c r="F44" s="249"/>
      <c r="G44" s="249"/>
      <c r="H44" s="249"/>
      <c r="I44" s="249"/>
      <c r="J44" s="249"/>
      <c r="K44" s="249">
        <f>K42</f>
        <v>0</v>
      </c>
      <c r="L44" s="249">
        <f>L42</f>
        <v>0</v>
      </c>
      <c r="M44" s="249">
        <f t="shared" ref="M44:X44" si="85">M42</f>
        <v>128907.18</v>
      </c>
      <c r="N44" s="249">
        <f t="shared" si="85"/>
        <v>234368.49</v>
      </c>
      <c r="O44" s="249">
        <f t="shared" si="85"/>
        <v>366934.51</v>
      </c>
      <c r="P44" s="249">
        <f t="shared" si="85"/>
        <v>535504.02</v>
      </c>
      <c r="Q44" s="249">
        <f t="shared" si="85"/>
        <v>779491.02999999991</v>
      </c>
      <c r="R44" s="249">
        <f t="shared" si="85"/>
        <v>1149722.5699999998</v>
      </c>
      <c r="S44" s="249">
        <f t="shared" si="85"/>
        <v>1722697.69</v>
      </c>
      <c r="T44" s="249">
        <f t="shared" si="85"/>
        <v>2391918.15</v>
      </c>
      <c r="U44" s="249">
        <f t="shared" si="85"/>
        <v>3646864.38</v>
      </c>
      <c r="V44" s="249">
        <f t="shared" si="85"/>
        <v>4740916.71</v>
      </c>
      <c r="W44" s="249">
        <f t="shared" si="85"/>
        <v>6163197.6399999997</v>
      </c>
      <c r="X44" s="249">
        <f t="shared" si="85"/>
        <v>8012157.3200000003</v>
      </c>
      <c r="Y44" s="249">
        <f t="shared" ref="Y44:AB44" si="86">Y42</f>
        <v>10523180.219999999</v>
      </c>
      <c r="Z44" s="249">
        <f t="shared" si="86"/>
        <v>12756674.699999999</v>
      </c>
      <c r="AA44" s="249">
        <f t="shared" si="86"/>
        <v>15462636</v>
      </c>
      <c r="AB44" s="249">
        <f t="shared" si="86"/>
        <v>18740721.699999999</v>
      </c>
    </row>
    <row r="45" spans="2:28" ht="21.95" customHeight="1">
      <c r="D45" s="232"/>
      <c r="E45" s="232"/>
      <c r="F45" s="232"/>
      <c r="G45" s="232"/>
      <c r="H45" s="232"/>
      <c r="I45" s="232"/>
      <c r="J45" s="232"/>
      <c r="U45" s="232"/>
      <c r="V45" s="232"/>
      <c r="W45" s="232"/>
      <c r="X45" s="232"/>
      <c r="Y45" s="232"/>
      <c r="Z45" s="232"/>
      <c r="AA45" s="232"/>
      <c r="AB45" s="232"/>
    </row>
    <row r="46" spans="2:28" ht="21.95" customHeight="1">
      <c r="B46" s="233" t="s">
        <v>103</v>
      </c>
      <c r="D46" s="232"/>
      <c r="E46" s="232"/>
      <c r="F46" s="232"/>
      <c r="G46" s="232"/>
      <c r="H46" s="232"/>
      <c r="I46" s="232"/>
      <c r="J46" s="232"/>
      <c r="U46" s="232"/>
      <c r="V46" s="232"/>
      <c r="W46" s="232"/>
      <c r="X46" s="232"/>
      <c r="Y46" s="232"/>
      <c r="Z46" s="232"/>
      <c r="AA46" s="232"/>
      <c r="AB46" s="232"/>
    </row>
    <row r="47" spans="2:28" ht="21.95" customHeight="1">
      <c r="B47" s="233"/>
      <c r="D47" s="232"/>
      <c r="E47" s="232"/>
      <c r="F47" s="232"/>
      <c r="G47" s="232"/>
      <c r="H47" s="232"/>
      <c r="I47" s="232"/>
      <c r="J47" s="232"/>
      <c r="U47" s="232"/>
      <c r="V47" s="232"/>
      <c r="W47" s="232"/>
      <c r="X47" s="232"/>
      <c r="Y47" s="232"/>
      <c r="Z47" s="232"/>
      <c r="AA47" s="232"/>
      <c r="AB47" s="232"/>
    </row>
    <row r="48" spans="2:28" s="234" customFormat="1" ht="21.95" customHeight="1">
      <c r="B48" s="234" t="s">
        <v>104</v>
      </c>
      <c r="C48" s="234" t="s">
        <v>105</v>
      </c>
      <c r="D48" s="256"/>
      <c r="E48" s="264">
        <f>'Hiring Plan'!D144</f>
        <v>0</v>
      </c>
      <c r="F48" s="264">
        <f>'Hiring Plan'!E144</f>
        <v>0</v>
      </c>
      <c r="G48" s="264">
        <f>'Hiring Plan'!F144</f>
        <v>9500</v>
      </c>
      <c r="H48" s="264">
        <f>'Hiring Plan'!G144</f>
        <v>28500</v>
      </c>
      <c r="I48" s="264">
        <f>'Hiring Plan'!H144</f>
        <v>28500</v>
      </c>
      <c r="J48" s="264">
        <f>'Hiring Plan'!I144</f>
        <v>28500</v>
      </c>
      <c r="K48" s="264">
        <f>'Hiring Plan'!J144</f>
        <v>190000</v>
      </c>
      <c r="L48" s="264">
        <f>'Hiring Plan'!K144</f>
        <v>190000</v>
      </c>
      <c r="M48" s="264">
        <f>'Hiring Plan'!L144</f>
        <v>244900</v>
      </c>
      <c r="N48" s="264">
        <f>'Hiring Plan'!M144</f>
        <v>229375</v>
      </c>
      <c r="O48" s="264">
        <f>'Hiring Plan'!N144</f>
        <v>259375</v>
      </c>
      <c r="P48" s="264">
        <f>'Hiring Plan'!O144</f>
        <v>259375</v>
      </c>
      <c r="Q48" s="264">
        <f>'Hiring Plan'!P144</f>
        <v>304521.5</v>
      </c>
      <c r="R48" s="264">
        <f>'Hiring Plan'!Q144</f>
        <v>304521.5</v>
      </c>
      <c r="S48" s="264">
        <f>'Hiring Plan'!R144</f>
        <v>480007.25</v>
      </c>
      <c r="T48" s="264">
        <f>'Hiring Plan'!S144</f>
        <v>525007.25</v>
      </c>
      <c r="U48" s="264">
        <f>'Hiring Plan'!T144</f>
        <v>668579.50499999989</v>
      </c>
      <c r="V48" s="264">
        <f>'Hiring Plan'!U144</f>
        <v>667311.62999999989</v>
      </c>
      <c r="W48" s="264">
        <f>'Hiring Plan'!V144</f>
        <v>787311.62999999989</v>
      </c>
      <c r="X48" s="264">
        <f>'Hiring Plan'!W144</f>
        <v>787311.62999999989</v>
      </c>
      <c r="Y48" s="264">
        <f>'Hiring Plan'!X144</f>
        <v>787311.62999999989</v>
      </c>
      <c r="Z48" s="264">
        <f>'Hiring Plan'!Y144</f>
        <v>787311.62999999989</v>
      </c>
      <c r="AA48" s="264">
        <f>'Hiring Plan'!Z144</f>
        <v>787311.62999999989</v>
      </c>
      <c r="AB48" s="264">
        <f>'Hiring Plan'!AA144</f>
        <v>787311.62999999989</v>
      </c>
    </row>
    <row r="49" spans="1:28" s="234" customFormat="1" ht="21.95" customHeight="1">
      <c r="B49" s="234" t="s">
        <v>106</v>
      </c>
      <c r="C49" s="234" t="s">
        <v>12</v>
      </c>
      <c r="D49" s="265"/>
      <c r="E49" s="266">
        <f>'2017 IS'!P60</f>
        <v>605.27</v>
      </c>
      <c r="F49" s="266">
        <f>'2017 IS'!Q60</f>
        <v>10233.34</v>
      </c>
      <c r="G49" s="266">
        <f>'2017 IS'!R60</f>
        <v>9371.74</v>
      </c>
      <c r="H49" s="266">
        <f>'2017 IS'!S60</f>
        <v>12839.02</v>
      </c>
      <c r="I49" s="266">
        <v>15000</v>
      </c>
      <c r="J49" s="266">
        <v>15000</v>
      </c>
      <c r="K49" s="266">
        <f>'Hiring Plan'!J146</f>
        <v>32601.5625</v>
      </c>
      <c r="L49" s="266">
        <f>'Hiring Plan'!K146</f>
        <v>32601.5625</v>
      </c>
      <c r="M49" s="266">
        <f>'Hiring Plan'!L146</f>
        <v>13198.125</v>
      </c>
      <c r="N49" s="266">
        <f>'Hiring Plan'!M146</f>
        <v>13198.125</v>
      </c>
      <c r="O49" s="266">
        <f>'Hiring Plan'!N146</f>
        <v>13198.125</v>
      </c>
      <c r="P49" s="266">
        <f>'Hiring Plan'!O146</f>
        <v>13198.125</v>
      </c>
      <c r="Q49" s="266">
        <f>'Hiring Plan'!P146</f>
        <v>13361.137500000001</v>
      </c>
      <c r="R49" s="266">
        <f>'Hiring Plan'!Q146</f>
        <v>13361.137500000001</v>
      </c>
      <c r="S49" s="266">
        <f>'Hiring Plan'!R146</f>
        <v>13361.137500000001</v>
      </c>
      <c r="T49" s="266">
        <f>'Hiring Plan'!S146</f>
        <v>13361.137500000001</v>
      </c>
      <c r="U49" s="266">
        <f>'Hiring Plan'!T146</f>
        <v>8540.625</v>
      </c>
      <c r="V49" s="266">
        <f>'Hiring Plan'!U146</f>
        <v>8540.625</v>
      </c>
      <c r="W49" s="266">
        <f>'Hiring Plan'!V146</f>
        <v>8540.625</v>
      </c>
      <c r="X49" s="266">
        <f>'Hiring Plan'!W146</f>
        <v>8540.625</v>
      </c>
      <c r="Y49" s="266">
        <f>'Hiring Plan'!X146</f>
        <v>8540.625</v>
      </c>
      <c r="Z49" s="266">
        <f>'Hiring Plan'!Y146</f>
        <v>8540.625</v>
      </c>
      <c r="AA49" s="266">
        <f>'Hiring Plan'!Z146</f>
        <v>8540.625</v>
      </c>
      <c r="AB49" s="266">
        <f>'Hiring Plan'!AA146</f>
        <v>8540.625</v>
      </c>
    </row>
    <row r="50" spans="1:28" s="267" customFormat="1" ht="21.95" customHeight="1">
      <c r="A50" s="234"/>
      <c r="B50" s="234" t="s">
        <v>107</v>
      </c>
      <c r="C50" s="234" t="s">
        <v>13</v>
      </c>
      <c r="D50" s="256"/>
      <c r="E50" s="264">
        <f>'2017 IS'!P61</f>
        <v>77.8</v>
      </c>
      <c r="F50" s="264">
        <f>'2017 IS'!Q61</f>
        <v>3619.52</v>
      </c>
      <c r="G50" s="264">
        <f>'2017 IS'!R61</f>
        <v>-13.370000000000005</v>
      </c>
      <c r="H50" s="264">
        <f>'2017 IS'!S61</f>
        <v>0</v>
      </c>
      <c r="I50" s="264">
        <f>'Hiring Plan'!H146</f>
        <v>0</v>
      </c>
      <c r="J50" s="264">
        <f>'Hiring Plan'!I146</f>
        <v>0</v>
      </c>
      <c r="K50" s="264">
        <f t="shared" ref="K50:X50" si="87">SUM(K54:K56)</f>
        <v>28560</v>
      </c>
      <c r="L50" s="264">
        <f t="shared" si="87"/>
        <v>28560</v>
      </c>
      <c r="M50" s="264">
        <f t="shared" si="87"/>
        <v>28560</v>
      </c>
      <c r="N50" s="264">
        <f t="shared" si="87"/>
        <v>28560</v>
      </c>
      <c r="O50" s="264">
        <f t="shared" si="87"/>
        <v>29988.000000000004</v>
      </c>
      <c r="P50" s="264">
        <f t="shared" si="87"/>
        <v>29988.000000000004</v>
      </c>
      <c r="Q50" s="264">
        <f t="shared" si="87"/>
        <v>44982.000000000007</v>
      </c>
      <c r="R50" s="264">
        <f t="shared" si="87"/>
        <v>44982.000000000007</v>
      </c>
      <c r="S50" s="264">
        <f t="shared" si="87"/>
        <v>47231.1</v>
      </c>
      <c r="T50" s="264">
        <f t="shared" si="87"/>
        <v>47231.1</v>
      </c>
      <c r="U50" s="264">
        <f t="shared" si="87"/>
        <v>47231.1</v>
      </c>
      <c r="V50" s="264">
        <f t="shared" si="87"/>
        <v>47231.1</v>
      </c>
      <c r="W50" s="264">
        <f t="shared" si="87"/>
        <v>49592.654999999999</v>
      </c>
      <c r="X50" s="264">
        <f t="shared" si="87"/>
        <v>49592.654999999999</v>
      </c>
      <c r="Y50" s="264">
        <f t="shared" ref="Y50:AB50" si="88">SUM(Y54:Y56)</f>
        <v>49609.185885000006</v>
      </c>
      <c r="Z50" s="264">
        <f t="shared" si="88"/>
        <v>49625.716770000006</v>
      </c>
      <c r="AA50" s="264">
        <f t="shared" si="88"/>
        <v>49642.247655000006</v>
      </c>
      <c r="AB50" s="264">
        <f t="shared" si="88"/>
        <v>49658.778539999999</v>
      </c>
    </row>
    <row r="51" spans="1:28" ht="21.95" customHeight="1">
      <c r="C51" s="175" t="s">
        <v>108</v>
      </c>
      <c r="D51" s="268">
        <v>150</v>
      </c>
      <c r="E51" s="269" t="s">
        <v>109</v>
      </c>
      <c r="F51" s="264"/>
      <c r="G51" s="264">
        <f>'Hiring Plan'!F147</f>
        <v>0</v>
      </c>
      <c r="H51" s="264">
        <f>'Hiring Plan'!G147</f>
        <v>0</v>
      </c>
      <c r="I51" s="264">
        <f>'Hiring Plan'!H147</f>
        <v>0</v>
      </c>
      <c r="J51" s="264">
        <f>'Hiring Plan'!I147</f>
        <v>0</v>
      </c>
      <c r="K51" s="270">
        <v>2000</v>
      </c>
      <c r="L51" s="270">
        <v>2000</v>
      </c>
      <c r="M51" s="270">
        <v>2000</v>
      </c>
      <c r="N51" s="270">
        <v>2000</v>
      </c>
      <c r="O51" s="270">
        <v>2000</v>
      </c>
      <c r="P51" s="270">
        <v>2000</v>
      </c>
      <c r="Q51" s="270">
        <v>3000</v>
      </c>
      <c r="R51" s="270">
        <v>3000</v>
      </c>
      <c r="S51" s="270">
        <v>3000</v>
      </c>
      <c r="T51" s="270">
        <v>3000</v>
      </c>
      <c r="U51" s="270">
        <v>3000</v>
      </c>
      <c r="V51" s="270">
        <v>3000</v>
      </c>
      <c r="W51" s="270">
        <v>3000</v>
      </c>
      <c r="X51" s="270">
        <v>3000</v>
      </c>
      <c r="Y51" s="270">
        <v>3001</v>
      </c>
      <c r="Z51" s="270">
        <v>3002</v>
      </c>
      <c r="AA51" s="270">
        <v>3003</v>
      </c>
      <c r="AB51" s="270">
        <v>3004</v>
      </c>
    </row>
    <row r="52" spans="1:28" ht="21.95" customHeight="1">
      <c r="C52" s="271" t="s">
        <v>110</v>
      </c>
      <c r="D52" s="268">
        <v>4</v>
      </c>
      <c r="E52" s="269" t="s">
        <v>111</v>
      </c>
      <c r="F52" s="264"/>
      <c r="G52" s="264">
        <f>'Hiring Plan'!F148</f>
        <v>0</v>
      </c>
      <c r="H52" s="264">
        <f>'Hiring Plan'!G148</f>
        <v>0</v>
      </c>
      <c r="I52" s="264">
        <f>'Hiring Plan'!H148</f>
        <v>0</v>
      </c>
      <c r="J52" s="264">
        <f>'Hiring Plan'!I148</f>
        <v>0</v>
      </c>
      <c r="K52" s="272">
        <f>D52</f>
        <v>4</v>
      </c>
      <c r="L52" s="272">
        <f>D52</f>
        <v>4</v>
      </c>
      <c r="M52" s="272">
        <f>L52</f>
        <v>4</v>
      </c>
      <c r="N52" s="273">
        <f>M52</f>
        <v>4</v>
      </c>
      <c r="O52" s="274">
        <f>$N$52*(1+$D$53)</f>
        <v>4.2</v>
      </c>
      <c r="P52" s="274">
        <f>$N$52*(1+$D$53)</f>
        <v>4.2</v>
      </c>
      <c r="Q52" s="274">
        <f>$N$52*(1+$D$53)</f>
        <v>4.2</v>
      </c>
      <c r="R52" s="274">
        <f>$N$52*(1+$D$53)</f>
        <v>4.2</v>
      </c>
      <c r="S52" s="274">
        <f>$R$52*(1+$D$53)</f>
        <v>4.41</v>
      </c>
      <c r="T52" s="274">
        <f>$R$52*(1+$D$53)</f>
        <v>4.41</v>
      </c>
      <c r="U52" s="274">
        <f>$R$52*(1+$D$53)</f>
        <v>4.41</v>
      </c>
      <c r="V52" s="274">
        <f>$R$52*(1+$D$53)</f>
        <v>4.41</v>
      </c>
      <c r="W52" s="274">
        <f>$V$52*(1+$D$53)</f>
        <v>4.6305000000000005</v>
      </c>
      <c r="X52" s="274">
        <f>$V$52*(1+$D$53)</f>
        <v>4.6305000000000005</v>
      </c>
      <c r="Y52" s="274">
        <f t="shared" ref="Y52:AB52" si="89">$V$52*(1+$D$53)</f>
        <v>4.6305000000000005</v>
      </c>
      <c r="Z52" s="274">
        <f t="shared" si="89"/>
        <v>4.6305000000000005</v>
      </c>
      <c r="AA52" s="274">
        <f t="shared" si="89"/>
        <v>4.6305000000000005</v>
      </c>
      <c r="AB52" s="274">
        <f t="shared" si="89"/>
        <v>4.6305000000000005</v>
      </c>
    </row>
    <row r="53" spans="1:28" ht="21.95" customHeight="1">
      <c r="C53" s="271" t="s">
        <v>112</v>
      </c>
      <c r="D53" s="275">
        <v>0.05</v>
      </c>
      <c r="E53" s="276"/>
      <c r="F53" s="264"/>
      <c r="G53" s="264">
        <f>'Hiring Plan'!F149</f>
        <v>0</v>
      </c>
      <c r="H53" s="264">
        <f>'Hiring Plan'!G149</f>
        <v>0</v>
      </c>
      <c r="I53" s="264">
        <f>'Hiring Plan'!H149</f>
        <v>0</v>
      </c>
      <c r="J53" s="264">
        <f>'Hiring Plan'!I149</f>
        <v>0</v>
      </c>
      <c r="K53" s="264">
        <f>'Hiring Plan'!J149</f>
        <v>0</v>
      </c>
      <c r="L53" s="264">
        <f>'Hiring Plan'!K149</f>
        <v>0</v>
      </c>
      <c r="M53" s="264">
        <f>'Hiring Plan'!L149</f>
        <v>0</v>
      </c>
      <c r="N53" s="264">
        <f>'Hiring Plan'!M149</f>
        <v>0</v>
      </c>
      <c r="O53" s="264">
        <f>'Hiring Plan'!N149</f>
        <v>0</v>
      </c>
      <c r="P53" s="264">
        <f>'Hiring Plan'!O149</f>
        <v>0</v>
      </c>
      <c r="Q53" s="264">
        <f>'Hiring Plan'!P149</f>
        <v>0</v>
      </c>
      <c r="R53" s="264">
        <f>'Hiring Plan'!Q149</f>
        <v>0</v>
      </c>
      <c r="S53" s="264">
        <f>'Hiring Plan'!R149</f>
        <v>0</v>
      </c>
      <c r="T53" s="264">
        <f>'Hiring Plan'!S149</f>
        <v>0</v>
      </c>
      <c r="U53" s="264">
        <f>'Hiring Plan'!T149</f>
        <v>0</v>
      </c>
      <c r="V53" s="264">
        <f>'Hiring Plan'!U149</f>
        <v>0</v>
      </c>
      <c r="W53" s="264">
        <f>'Hiring Plan'!V149</f>
        <v>0</v>
      </c>
      <c r="X53" s="264">
        <f>'Hiring Plan'!W149</f>
        <v>0</v>
      </c>
      <c r="Y53" s="264">
        <f>'Hiring Plan'!X149</f>
        <v>0</v>
      </c>
      <c r="Z53" s="264">
        <f>'Hiring Plan'!Y149</f>
        <v>0</v>
      </c>
      <c r="AA53" s="264">
        <f>'Hiring Plan'!Z149</f>
        <v>0</v>
      </c>
      <c r="AB53" s="264">
        <f>'Hiring Plan'!AA149</f>
        <v>0</v>
      </c>
    </row>
    <row r="54" spans="1:28" ht="21.95" customHeight="1">
      <c r="C54" s="277" t="s">
        <v>113</v>
      </c>
      <c r="D54" s="278"/>
      <c r="E54" s="279"/>
      <c r="F54" s="280" t="s">
        <v>114</v>
      </c>
      <c r="G54" s="280" t="s">
        <v>114</v>
      </c>
      <c r="H54" s="280" t="s">
        <v>114</v>
      </c>
      <c r="I54" s="280" t="s">
        <v>114</v>
      </c>
      <c r="J54" s="280" t="s">
        <v>114</v>
      </c>
      <c r="K54" s="281">
        <f>K51*(K52*3)</f>
        <v>24000</v>
      </c>
      <c r="L54" s="281">
        <f t="shared" ref="L54:X54" si="90">L51*(L52*3)</f>
        <v>24000</v>
      </c>
      <c r="M54" s="281">
        <f t="shared" si="90"/>
        <v>24000</v>
      </c>
      <c r="N54" s="281">
        <f t="shared" si="90"/>
        <v>24000</v>
      </c>
      <c r="O54" s="281">
        <f t="shared" si="90"/>
        <v>25200.000000000004</v>
      </c>
      <c r="P54" s="281">
        <f t="shared" si="90"/>
        <v>25200.000000000004</v>
      </c>
      <c r="Q54" s="281">
        <f t="shared" si="90"/>
        <v>37800.000000000007</v>
      </c>
      <c r="R54" s="281">
        <f t="shared" si="90"/>
        <v>37800.000000000007</v>
      </c>
      <c r="S54" s="281">
        <f t="shared" si="90"/>
        <v>39690</v>
      </c>
      <c r="T54" s="281">
        <f t="shared" si="90"/>
        <v>39690</v>
      </c>
      <c r="U54" s="281">
        <f t="shared" si="90"/>
        <v>39690</v>
      </c>
      <c r="V54" s="281">
        <f t="shared" si="90"/>
        <v>39690</v>
      </c>
      <c r="W54" s="281">
        <f t="shared" si="90"/>
        <v>41674.5</v>
      </c>
      <c r="X54" s="281">
        <f t="shared" si="90"/>
        <v>41674.5</v>
      </c>
      <c r="Y54" s="281">
        <f t="shared" ref="Y54:AB54" si="91">Y51*(Y52*3)</f>
        <v>41688.391500000005</v>
      </c>
      <c r="Z54" s="281">
        <f t="shared" si="91"/>
        <v>41702.283000000003</v>
      </c>
      <c r="AA54" s="281">
        <f t="shared" si="91"/>
        <v>41716.174500000001</v>
      </c>
      <c r="AB54" s="281">
        <f t="shared" si="91"/>
        <v>41730.065999999999</v>
      </c>
    </row>
    <row r="55" spans="1:28" ht="21.95" customHeight="1">
      <c r="C55" s="175" t="s">
        <v>115</v>
      </c>
      <c r="D55" s="275">
        <v>0.05</v>
      </c>
      <c r="E55" s="269" t="s">
        <v>116</v>
      </c>
      <c r="F55" s="280" t="s">
        <v>114</v>
      </c>
      <c r="G55" s="280" t="s">
        <v>114</v>
      </c>
      <c r="H55" s="280" t="s">
        <v>114</v>
      </c>
      <c r="I55" s="280" t="s">
        <v>114</v>
      </c>
      <c r="J55" s="280" t="s">
        <v>114</v>
      </c>
      <c r="K55" s="282">
        <f>K54*$D$55</f>
        <v>1200</v>
      </c>
      <c r="L55" s="282">
        <f t="shared" ref="L55:X55" si="92">L54*$D$55</f>
        <v>1200</v>
      </c>
      <c r="M55" s="282">
        <f t="shared" si="92"/>
        <v>1200</v>
      </c>
      <c r="N55" s="282">
        <f t="shared" si="92"/>
        <v>1200</v>
      </c>
      <c r="O55" s="282">
        <f t="shared" si="92"/>
        <v>1260.0000000000002</v>
      </c>
      <c r="P55" s="282">
        <f t="shared" si="92"/>
        <v>1260.0000000000002</v>
      </c>
      <c r="Q55" s="282">
        <f t="shared" si="92"/>
        <v>1890.0000000000005</v>
      </c>
      <c r="R55" s="282">
        <f t="shared" si="92"/>
        <v>1890.0000000000005</v>
      </c>
      <c r="S55" s="282">
        <f t="shared" si="92"/>
        <v>1984.5</v>
      </c>
      <c r="T55" s="282">
        <f t="shared" si="92"/>
        <v>1984.5</v>
      </c>
      <c r="U55" s="282">
        <f t="shared" si="92"/>
        <v>1984.5</v>
      </c>
      <c r="V55" s="282">
        <f t="shared" si="92"/>
        <v>1984.5</v>
      </c>
      <c r="W55" s="282">
        <f t="shared" si="92"/>
        <v>2083.7249999999999</v>
      </c>
      <c r="X55" s="282">
        <f t="shared" si="92"/>
        <v>2083.7249999999999</v>
      </c>
      <c r="Y55" s="282">
        <f t="shared" ref="Y55:AB55" si="93">Y54*$D$55</f>
        <v>2084.4195750000003</v>
      </c>
      <c r="Z55" s="282">
        <f t="shared" si="93"/>
        <v>2085.1141500000003</v>
      </c>
      <c r="AA55" s="282">
        <f t="shared" si="93"/>
        <v>2085.8087250000003</v>
      </c>
      <c r="AB55" s="282">
        <f t="shared" si="93"/>
        <v>2086.5032999999999</v>
      </c>
    </row>
    <row r="56" spans="1:28" ht="21.95" customHeight="1">
      <c r="C56" s="175" t="s">
        <v>117</v>
      </c>
      <c r="D56" s="275">
        <v>0.14000000000000001</v>
      </c>
      <c r="E56" s="269" t="s">
        <v>116</v>
      </c>
      <c r="F56" s="280" t="s">
        <v>114</v>
      </c>
      <c r="G56" s="280" t="s">
        <v>114</v>
      </c>
      <c r="H56" s="280" t="s">
        <v>114</v>
      </c>
      <c r="I56" s="280" t="s">
        <v>114</v>
      </c>
      <c r="J56" s="280" t="s">
        <v>114</v>
      </c>
      <c r="K56" s="282">
        <f>K54*$D$56</f>
        <v>3360.0000000000005</v>
      </c>
      <c r="L56" s="282">
        <f t="shared" ref="L56:X56" si="94">L54*$D$56</f>
        <v>3360.0000000000005</v>
      </c>
      <c r="M56" s="282">
        <f t="shared" si="94"/>
        <v>3360.0000000000005</v>
      </c>
      <c r="N56" s="282">
        <f t="shared" si="94"/>
        <v>3360.0000000000005</v>
      </c>
      <c r="O56" s="282">
        <f t="shared" si="94"/>
        <v>3528.0000000000009</v>
      </c>
      <c r="P56" s="282">
        <f t="shared" si="94"/>
        <v>3528.0000000000009</v>
      </c>
      <c r="Q56" s="282">
        <f t="shared" si="94"/>
        <v>5292.0000000000018</v>
      </c>
      <c r="R56" s="282">
        <f t="shared" si="94"/>
        <v>5292.0000000000018</v>
      </c>
      <c r="S56" s="282">
        <f t="shared" si="94"/>
        <v>5556.6</v>
      </c>
      <c r="T56" s="282">
        <f t="shared" si="94"/>
        <v>5556.6</v>
      </c>
      <c r="U56" s="282">
        <f t="shared" si="94"/>
        <v>5556.6</v>
      </c>
      <c r="V56" s="282">
        <f t="shared" si="94"/>
        <v>5556.6</v>
      </c>
      <c r="W56" s="282">
        <f t="shared" si="94"/>
        <v>5834.43</v>
      </c>
      <c r="X56" s="282">
        <f t="shared" si="94"/>
        <v>5834.43</v>
      </c>
      <c r="Y56" s="282">
        <f t="shared" ref="Y56:AB56" si="95">Y54*$D$56</f>
        <v>5836.3748100000012</v>
      </c>
      <c r="Z56" s="282">
        <f t="shared" si="95"/>
        <v>5838.3196200000011</v>
      </c>
      <c r="AA56" s="282">
        <f t="shared" si="95"/>
        <v>5840.2644300000011</v>
      </c>
      <c r="AB56" s="282">
        <f t="shared" si="95"/>
        <v>5842.2092400000001</v>
      </c>
    </row>
    <row r="57" spans="1:28" s="267" customFormat="1" ht="21.95" customHeight="1">
      <c r="A57" s="234"/>
      <c r="B57" s="234" t="s">
        <v>118</v>
      </c>
      <c r="C57" s="234" t="s">
        <v>119</v>
      </c>
      <c r="D57" s="264"/>
      <c r="E57" s="264">
        <f>'2017 IS'!P62</f>
        <v>2589.7000000000003</v>
      </c>
      <c r="F57" s="264">
        <f>'2017 IS'!Q62</f>
        <v>3713.94</v>
      </c>
      <c r="G57" s="264">
        <f>'2017 IS'!R62</f>
        <v>3437.96</v>
      </c>
      <c r="H57" s="264">
        <f>'2017 IS'!S62</f>
        <v>3046.62</v>
      </c>
      <c r="I57" s="264">
        <v>5000</v>
      </c>
      <c r="J57" s="264">
        <v>5000</v>
      </c>
      <c r="K57" s="264">
        <f t="shared" ref="K57:T57" si="96">SUM(K58:K66)</f>
        <v>22330</v>
      </c>
      <c r="L57" s="264">
        <f t="shared" si="96"/>
        <v>26392.5</v>
      </c>
      <c r="M57" s="264">
        <f t="shared" si="96"/>
        <v>36358.921875</v>
      </c>
      <c r="N57" s="264">
        <f t="shared" si="96"/>
        <v>48843.369282977772</v>
      </c>
      <c r="O57" s="264">
        <f t="shared" si="96"/>
        <v>64606.279673386482</v>
      </c>
      <c r="P57" s="264">
        <f t="shared" si="96"/>
        <v>85833.527934534126</v>
      </c>
      <c r="Q57" s="264">
        <f t="shared" si="96"/>
        <v>115429.2363456461</v>
      </c>
      <c r="R57" s="264">
        <f t="shared" si="96"/>
        <v>157484.30982295159</v>
      </c>
      <c r="S57" s="264">
        <f t="shared" si="96"/>
        <v>207949.8986269072</v>
      </c>
      <c r="T57" s="264">
        <f t="shared" si="96"/>
        <v>290346.79489686928</v>
      </c>
      <c r="U57" s="264">
        <f t="shared" ref="U57:X57" si="97">SUM(U58:U66)</f>
        <v>371385.76163092942</v>
      </c>
      <c r="V57" s="264">
        <f t="shared" si="97"/>
        <v>475144.33670145751</v>
      </c>
      <c r="W57" s="264">
        <f t="shared" si="97"/>
        <v>608183.73531345627</v>
      </c>
      <c r="X57" s="264">
        <f t="shared" si="97"/>
        <v>778711.767284445</v>
      </c>
      <c r="Y57" s="264">
        <f t="shared" ref="Y57:AB57" si="98">SUM(Y58:Y66)</f>
        <v>949164.30464514438</v>
      </c>
      <c r="Z57" s="264">
        <f t="shared" si="98"/>
        <v>1157402.1717039356</v>
      </c>
      <c r="AA57" s="264">
        <f t="shared" si="98"/>
        <v>1411906.1399569262</v>
      </c>
      <c r="AB57" s="264">
        <f t="shared" si="98"/>
        <v>1556235.1331581967</v>
      </c>
    </row>
    <row r="58" spans="1:28" s="285" customFormat="1" ht="21.95" customHeight="1">
      <c r="A58" s="229"/>
      <c r="B58" s="229"/>
      <c r="C58" s="277" t="s">
        <v>120</v>
      </c>
      <c r="D58" s="283"/>
      <c r="E58" s="264">
        <f>'Hiring Plan'!D153</f>
        <v>0</v>
      </c>
      <c r="F58" s="264">
        <f>'Hiring Plan'!E153</f>
        <v>0</v>
      </c>
      <c r="G58" s="264">
        <f>'Hiring Plan'!F153</f>
        <v>0</v>
      </c>
      <c r="H58" s="281">
        <v>0</v>
      </c>
      <c r="I58" s="281">
        <v>0</v>
      </c>
      <c r="J58" s="284">
        <v>0</v>
      </c>
      <c r="K58" s="284">
        <v>1875</v>
      </c>
      <c r="L58" s="284">
        <f>K58*(1+L$14)</f>
        <v>1875</v>
      </c>
      <c r="M58" s="284">
        <f>L58*(1+M$14)</f>
        <v>3408.9843750000005</v>
      </c>
      <c r="N58" s="284">
        <f t="shared" ref="L58:Q59" si="99">M58*(1+N$14)</f>
        <v>5337.1092153695927</v>
      </c>
      <c r="O58" s="284">
        <f t="shared" si="99"/>
        <v>7788.9941770564265</v>
      </c>
      <c r="P58" s="284">
        <f t="shared" si="99"/>
        <v>11337.85464897776</v>
      </c>
      <c r="Q58" s="284">
        <f t="shared" si="99"/>
        <v>16722.930683861876</v>
      </c>
      <c r="R58" s="284">
        <f t="shared" ref="R58:X58" si="100">Q58*(1+R$14)</f>
        <v>25056.989000505375</v>
      </c>
      <c r="S58" s="284">
        <f t="shared" si="100"/>
        <v>34791.009686264886</v>
      </c>
      <c r="T58" s="284">
        <f t="shared" si="100"/>
        <v>53044.412195666438</v>
      </c>
      <c r="U58" s="284">
        <f t="shared" si="100"/>
        <v>68957.735854366372</v>
      </c>
      <c r="V58" s="284">
        <f t="shared" si="100"/>
        <v>89645.056610676285</v>
      </c>
      <c r="W58" s="284">
        <f t="shared" si="100"/>
        <v>116538.57359387918</v>
      </c>
      <c r="X58" s="284">
        <f t="shared" si="100"/>
        <v>151500.14567204294</v>
      </c>
      <c r="Y58" s="284">
        <f t="shared" ref="Y58:Y59" si="101">X58*(1+Y$14)</f>
        <v>181800.17480645151</v>
      </c>
      <c r="Z58" s="284">
        <f t="shared" ref="Z58:Z59" si="102">Y58*(1+Z$14)</f>
        <v>218160.20976774182</v>
      </c>
      <c r="AA58" s="284">
        <f t="shared" ref="AA58:AA59" si="103">Z58*(1+AA$14)</f>
        <v>261792.25172129017</v>
      </c>
      <c r="AB58" s="284">
        <f t="shared" ref="AB58:AB59" si="104">AA58*(1+AB$14)</f>
        <v>261792.25172129017</v>
      </c>
    </row>
    <row r="59" spans="1:28" s="285" customFormat="1" ht="21.95" customHeight="1">
      <c r="A59" s="229"/>
      <c r="B59" s="229"/>
      <c r="C59" s="277" t="s">
        <v>121</v>
      </c>
      <c r="D59" s="283"/>
      <c r="E59" s="264">
        <f>SUM('Assumptions &amp; Sensitivity'!K67:P67)</f>
        <v>539707</v>
      </c>
      <c r="F59" s="264">
        <f>'Hiring Plan'!E154</f>
        <v>0</v>
      </c>
      <c r="G59" s="264">
        <f>'Hiring Plan'!F154</f>
        <v>0</v>
      </c>
      <c r="H59" s="281">
        <v>0</v>
      </c>
      <c r="I59" s="281">
        <v>0</v>
      </c>
      <c r="J59" s="284">
        <v>0</v>
      </c>
      <c r="K59" s="284">
        <v>40</v>
      </c>
      <c r="L59" s="284">
        <f t="shared" si="99"/>
        <v>40</v>
      </c>
      <c r="M59" s="284">
        <f>L59*(1+M$14)</f>
        <v>72.725000000000009</v>
      </c>
      <c r="N59" s="284">
        <f t="shared" si="99"/>
        <v>113.85832992788464</v>
      </c>
      <c r="O59" s="284">
        <f t="shared" si="99"/>
        <v>166.16520911053709</v>
      </c>
      <c r="P59" s="284">
        <f t="shared" si="99"/>
        <v>241.87423251152555</v>
      </c>
      <c r="Q59" s="284">
        <f t="shared" si="99"/>
        <v>356.75585458905334</v>
      </c>
      <c r="R59" s="284">
        <f t="shared" ref="R59:X59" si="105">Q59*(1+R$14)</f>
        <v>534.549098677448</v>
      </c>
      <c r="S59" s="284">
        <f t="shared" si="105"/>
        <v>742.2082066403176</v>
      </c>
      <c r="T59" s="284">
        <f t="shared" si="105"/>
        <v>1131.6141268408842</v>
      </c>
      <c r="U59" s="284">
        <f t="shared" si="105"/>
        <v>1471.0983648931494</v>
      </c>
      <c r="V59" s="284">
        <f t="shared" si="105"/>
        <v>1912.4278743610944</v>
      </c>
      <c r="W59" s="284">
        <f t="shared" si="105"/>
        <v>2486.1562366694229</v>
      </c>
      <c r="X59" s="284">
        <f t="shared" si="105"/>
        <v>3232.0031076702498</v>
      </c>
      <c r="Y59" s="284">
        <f t="shared" si="101"/>
        <v>3878.4037292042995</v>
      </c>
      <c r="Z59" s="284">
        <f t="shared" si="102"/>
        <v>4654.0844750451588</v>
      </c>
      <c r="AA59" s="284">
        <f t="shared" si="103"/>
        <v>5584.90137005419</v>
      </c>
      <c r="AB59" s="284">
        <f t="shared" si="104"/>
        <v>5584.90137005419</v>
      </c>
    </row>
    <row r="60" spans="1:28" s="285" customFormat="1" ht="21.95" customHeight="1">
      <c r="A60" s="229"/>
      <c r="B60" s="229"/>
      <c r="C60" s="277" t="s">
        <v>122</v>
      </c>
      <c r="D60" s="283"/>
      <c r="E60" s="264">
        <f>'Hiring Plan'!D152</f>
        <v>0</v>
      </c>
      <c r="F60" s="264">
        <f>'Hiring Plan'!E152</f>
        <v>0</v>
      </c>
      <c r="G60" s="264">
        <f>'Hiring Plan'!F152</f>
        <v>0</v>
      </c>
      <c r="H60" s="281">
        <v>0</v>
      </c>
      <c r="I60" s="281">
        <v>0</v>
      </c>
      <c r="J60" s="281">
        <v>0</v>
      </c>
      <c r="K60" s="281">
        <f>'Hiring Plan'!J98*15</f>
        <v>105</v>
      </c>
      <c r="L60" s="281">
        <f>'Hiring Plan'!K98*15</f>
        <v>105</v>
      </c>
      <c r="M60" s="281">
        <f>'Hiring Plan'!L98*15</f>
        <v>105</v>
      </c>
      <c r="N60" s="281">
        <f>'Hiring Plan'!M98*15</f>
        <v>97.5</v>
      </c>
      <c r="O60" s="281">
        <f>'Hiring Plan'!N98*15</f>
        <v>112.5</v>
      </c>
      <c r="P60" s="281">
        <f>'Hiring Plan'!O98*15</f>
        <v>112.5</v>
      </c>
      <c r="Q60" s="281">
        <f>'Hiring Plan'!P98*15</f>
        <v>150</v>
      </c>
      <c r="R60" s="281">
        <f>'Hiring Plan'!Q98*15</f>
        <v>150</v>
      </c>
      <c r="S60" s="281">
        <f>'Hiring Plan'!R98*15</f>
        <v>225</v>
      </c>
      <c r="T60" s="281">
        <f>'Hiring Plan'!S98*15</f>
        <v>240</v>
      </c>
      <c r="U60" s="281">
        <f>'Hiring Plan'!T98*15</f>
        <v>300.52499999999998</v>
      </c>
      <c r="V60" s="281">
        <f>'Hiring Plan'!U98*15</f>
        <v>300.52499999999998</v>
      </c>
      <c r="W60" s="281">
        <f>'Hiring Plan'!V98*15</f>
        <v>345.52499999999998</v>
      </c>
      <c r="X60" s="281">
        <f>'Hiring Plan'!W98*15</f>
        <v>345.52499999999998</v>
      </c>
      <c r="Y60" s="281">
        <f>'Hiring Plan'!X98*15</f>
        <v>345.52499999999998</v>
      </c>
      <c r="Z60" s="281">
        <f>'Hiring Plan'!Y98*15</f>
        <v>345.52499999999998</v>
      </c>
      <c r="AA60" s="281">
        <f>'Hiring Plan'!Z98*15</f>
        <v>345.52499999999998</v>
      </c>
      <c r="AB60" s="281">
        <f>'Hiring Plan'!AA98*15</f>
        <v>345.52499999999998</v>
      </c>
    </row>
    <row r="61" spans="1:28" s="285" customFormat="1" ht="21.95" customHeight="1">
      <c r="A61" s="229"/>
      <c r="B61" s="229"/>
      <c r="C61" s="277" t="s">
        <v>123</v>
      </c>
      <c r="D61" s="283"/>
      <c r="E61" s="264">
        <f>'Hiring Plan'!D156</f>
        <v>0</v>
      </c>
      <c r="F61" s="264">
        <f>'Hiring Plan'!E156</f>
        <v>0</v>
      </c>
      <c r="G61" s="264">
        <f>'Hiring Plan'!F156</f>
        <v>0</v>
      </c>
      <c r="H61" s="281">
        <v>0</v>
      </c>
      <c r="I61" s="281">
        <v>0</v>
      </c>
      <c r="J61" s="284">
        <v>0</v>
      </c>
      <c r="K61" s="284">
        <v>110</v>
      </c>
      <c r="L61" s="284">
        <f t="shared" ref="L61:Q61" si="106">K61*(1+L$14)</f>
        <v>110</v>
      </c>
      <c r="M61" s="284">
        <f>L61*(1+M$14)</f>
        <v>199.99375000000003</v>
      </c>
      <c r="N61" s="284">
        <f t="shared" si="106"/>
        <v>313.11040730168276</v>
      </c>
      <c r="O61" s="284">
        <f t="shared" si="106"/>
        <v>456.95432505397696</v>
      </c>
      <c r="P61" s="284">
        <f t="shared" si="106"/>
        <v>665.15413940669521</v>
      </c>
      <c r="Q61" s="284">
        <f t="shared" si="106"/>
        <v>981.07860011989658</v>
      </c>
      <c r="R61" s="284">
        <f t="shared" ref="R61:X61" si="107">Q61*(1+R$14)</f>
        <v>1470.0100213629819</v>
      </c>
      <c r="S61" s="284">
        <f t="shared" si="107"/>
        <v>2041.0725682608731</v>
      </c>
      <c r="T61" s="284">
        <f t="shared" si="107"/>
        <v>3111.9388488124309</v>
      </c>
      <c r="U61" s="284">
        <f t="shared" si="107"/>
        <v>4045.5205034561604</v>
      </c>
      <c r="V61" s="284">
        <f t="shared" si="107"/>
        <v>5259.1766544930088</v>
      </c>
      <c r="W61" s="284">
        <f t="shared" si="107"/>
        <v>6836.9296508409116</v>
      </c>
      <c r="X61" s="284">
        <f t="shared" si="107"/>
        <v>8888.0085460931859</v>
      </c>
      <c r="Y61" s="284">
        <f t="shared" ref="Y61:Y63" si="108">X61*(1+Y$14)</f>
        <v>10665.610255311823</v>
      </c>
      <c r="Z61" s="284">
        <f t="shared" ref="Z61:Z63" si="109">Y61*(1+Z$14)</f>
        <v>12798.732306374188</v>
      </c>
      <c r="AA61" s="284">
        <f t="shared" ref="AA61:AA63" si="110">Z61*(1+AA$14)</f>
        <v>15358.478767649025</v>
      </c>
      <c r="AB61" s="284">
        <f t="shared" ref="AB61:AB63" si="111">AA61*(1+AB$14)</f>
        <v>15358.478767649025</v>
      </c>
    </row>
    <row r="62" spans="1:28" s="285" customFormat="1" ht="21.95" customHeight="1">
      <c r="A62" s="229"/>
      <c r="B62" s="229"/>
      <c r="C62" s="277" t="s">
        <v>124</v>
      </c>
      <c r="D62" s="283"/>
      <c r="E62" s="264">
        <f>'Hiring Plan'!D157</f>
        <v>0</v>
      </c>
      <c r="F62" s="264">
        <f>'Hiring Plan'!E157</f>
        <v>0</v>
      </c>
      <c r="G62" s="264">
        <f>'Hiring Plan'!F157</f>
        <v>0</v>
      </c>
      <c r="H62" s="281">
        <v>0</v>
      </c>
      <c r="I62" s="281">
        <v>0</v>
      </c>
      <c r="J62" s="284">
        <v>0</v>
      </c>
      <c r="K62" s="284">
        <v>225</v>
      </c>
      <c r="L62" s="284">
        <f t="shared" ref="L62" si="112">K62*(1+L$14)</f>
        <v>225</v>
      </c>
      <c r="M62" s="284">
        <f>L62*(1+M$14)</f>
        <v>409.07812500000006</v>
      </c>
      <c r="N62" s="284">
        <f t="shared" ref="N62" si="113">M62*(1+N$14)</f>
        <v>640.45310584435106</v>
      </c>
      <c r="O62" s="284">
        <f t="shared" ref="O62" si="114">N62*(1+O$14)</f>
        <v>934.67930124677105</v>
      </c>
      <c r="P62" s="284">
        <f t="shared" ref="P62" si="115">O62*(1+P$14)</f>
        <v>1360.5425578773311</v>
      </c>
      <c r="Q62" s="284">
        <f t="shared" ref="Q62:X66" si="116">P62*(1+Q$14)</f>
        <v>2006.7516820634248</v>
      </c>
      <c r="R62" s="284">
        <f t="shared" si="116"/>
        <v>3006.8386800606445</v>
      </c>
      <c r="S62" s="284">
        <f t="shared" si="116"/>
        <v>4174.9211623517858</v>
      </c>
      <c r="T62" s="284">
        <f t="shared" si="116"/>
        <v>6365.3294634799722</v>
      </c>
      <c r="U62" s="284">
        <f t="shared" si="116"/>
        <v>8274.9283025239638</v>
      </c>
      <c r="V62" s="284">
        <f t="shared" si="116"/>
        <v>10757.406793281154</v>
      </c>
      <c r="W62" s="284">
        <f t="shared" si="116"/>
        <v>13984.628831265502</v>
      </c>
      <c r="X62" s="284">
        <f t="shared" si="116"/>
        <v>18180.017480645154</v>
      </c>
      <c r="Y62" s="284">
        <f t="shared" si="108"/>
        <v>21816.020976774184</v>
      </c>
      <c r="Z62" s="284">
        <f t="shared" si="109"/>
        <v>26179.225172129019</v>
      </c>
      <c r="AA62" s="284">
        <f t="shared" si="110"/>
        <v>31415.070206554821</v>
      </c>
      <c r="AB62" s="284">
        <f t="shared" si="111"/>
        <v>31415.070206554821</v>
      </c>
    </row>
    <row r="63" spans="1:28" s="285" customFormat="1" ht="21.95" customHeight="1">
      <c r="A63" s="229"/>
      <c r="B63" s="229"/>
      <c r="C63" s="277" t="s">
        <v>125</v>
      </c>
      <c r="D63" s="283"/>
      <c r="E63" s="264">
        <f>'Hiring Plan'!D158</f>
        <v>0</v>
      </c>
      <c r="F63" s="264">
        <f>'Hiring Plan'!E158</f>
        <v>0</v>
      </c>
      <c r="G63" s="264">
        <f>'Hiring Plan'!F158</f>
        <v>0</v>
      </c>
      <c r="H63" s="281">
        <v>0</v>
      </c>
      <c r="I63" s="281">
        <v>0</v>
      </c>
      <c r="J63" s="284">
        <v>0</v>
      </c>
      <c r="K63" s="284">
        <v>2375</v>
      </c>
      <c r="L63" s="284">
        <f t="shared" ref="L63" si="117">K63*(1+L$14)</f>
        <v>2375</v>
      </c>
      <c r="M63" s="284">
        <f>L63*(1+M$14)</f>
        <v>4318.0468750000009</v>
      </c>
      <c r="N63" s="284">
        <f t="shared" ref="N63" si="118">M63*(1+N$14)</f>
        <v>6760.3383394681505</v>
      </c>
      <c r="O63" s="284">
        <f t="shared" ref="O63" si="119">N63*(1+O$14)</f>
        <v>9866.0592909381394</v>
      </c>
      <c r="P63" s="284">
        <f t="shared" ref="P63" si="120">O63*(1+P$14)</f>
        <v>14361.282555371828</v>
      </c>
      <c r="Q63" s="284">
        <f t="shared" si="116"/>
        <v>21182.378866225041</v>
      </c>
      <c r="R63" s="284">
        <f t="shared" si="116"/>
        <v>31738.852733973472</v>
      </c>
      <c r="S63" s="284">
        <f t="shared" si="116"/>
        <v>44068.612269268851</v>
      </c>
      <c r="T63" s="284">
        <f t="shared" si="116"/>
        <v>67189.588781177488</v>
      </c>
      <c r="U63" s="284">
        <f t="shared" si="116"/>
        <v>87346.465415530736</v>
      </c>
      <c r="V63" s="284">
        <f t="shared" si="116"/>
        <v>113550.40504018996</v>
      </c>
      <c r="W63" s="284">
        <f t="shared" si="116"/>
        <v>147615.52655224694</v>
      </c>
      <c r="X63" s="284">
        <f t="shared" si="116"/>
        <v>191900.18451792104</v>
      </c>
      <c r="Y63" s="284">
        <f t="shared" si="108"/>
        <v>230280.22142150524</v>
      </c>
      <c r="Z63" s="284">
        <f t="shared" si="109"/>
        <v>276336.26570580626</v>
      </c>
      <c r="AA63" s="284">
        <f t="shared" si="110"/>
        <v>331603.51884696749</v>
      </c>
      <c r="AB63" s="284">
        <f t="shared" si="111"/>
        <v>331603.51884696749</v>
      </c>
    </row>
    <row r="64" spans="1:28" s="285" customFormat="1" ht="21.95" customHeight="1">
      <c r="A64" s="229"/>
      <c r="B64" s="229"/>
      <c r="C64" s="277" t="s">
        <v>126</v>
      </c>
      <c r="D64" s="283"/>
      <c r="E64" s="264">
        <f>'Hiring Plan'!D159</f>
        <v>0</v>
      </c>
      <c r="F64" s="264">
        <f>'Hiring Plan'!E159</f>
        <v>0</v>
      </c>
      <c r="G64" s="264">
        <f>'Hiring Plan'!F159</f>
        <v>0</v>
      </c>
      <c r="H64" s="281">
        <v>0</v>
      </c>
      <c r="I64" s="281">
        <v>0</v>
      </c>
      <c r="J64" s="284">
        <v>0</v>
      </c>
      <c r="K64" s="284">
        <v>16250</v>
      </c>
      <c r="L64" s="284">
        <f t="shared" ref="L64" si="121">K64*(1+25%)</f>
        <v>20312.5</v>
      </c>
      <c r="M64" s="284">
        <f t="shared" ref="M64" si="122">L64*(1+25%)</f>
        <v>25390.625</v>
      </c>
      <c r="N64" s="284">
        <f t="shared" ref="N64" si="123">M64*(1+25%)</f>
        <v>31738.28125</v>
      </c>
      <c r="O64" s="284">
        <f t="shared" ref="O64" si="124">N64*(1+25%)</f>
        <v>39672.8515625</v>
      </c>
      <c r="P64" s="284">
        <f t="shared" ref="P64" si="125">O64*(1+25%)</f>
        <v>49591.064453125</v>
      </c>
      <c r="Q64" s="284">
        <f t="shared" ref="Q64" si="126">P64*(1+25%)</f>
        <v>61988.83056640625</v>
      </c>
      <c r="R64" s="284">
        <f t="shared" ref="R64" si="127">Q64*(1+25%)</f>
        <v>77486.038208007813</v>
      </c>
      <c r="S64" s="284">
        <f t="shared" ref="S64" si="128">R64*(1+25%)</f>
        <v>96857.547760009766</v>
      </c>
      <c r="T64" s="284">
        <f t="shared" ref="T64" si="129">S64*(1+25%)</f>
        <v>121071.93470001221</v>
      </c>
      <c r="U64" s="284">
        <f t="shared" ref="U64" si="130">T64*(1+25%)</f>
        <v>151339.91837501526</v>
      </c>
      <c r="V64" s="284">
        <f t="shared" ref="V64" si="131">U64*(1+25%)</f>
        <v>189174.89796876907</v>
      </c>
      <c r="W64" s="284">
        <f t="shared" ref="W64" si="132">V64*(1+25%)</f>
        <v>236468.62246096134</v>
      </c>
      <c r="X64" s="284">
        <f t="shared" ref="X64" si="133">W64*(1+25%)</f>
        <v>295585.77807620168</v>
      </c>
      <c r="Y64" s="284">
        <f t="shared" ref="Y64" si="134">X64*(1+25%)</f>
        <v>369482.2225952521</v>
      </c>
      <c r="Z64" s="284">
        <f t="shared" ref="Z64" si="135">Y64*(1+25%)</f>
        <v>461852.77824406512</v>
      </c>
      <c r="AA64" s="284">
        <f t="shared" ref="AA64" si="136">Z64*(1+25%)</f>
        <v>577315.9728050814</v>
      </c>
      <c r="AB64" s="284">
        <f t="shared" ref="AB64" si="137">AA64*(1+25%)</f>
        <v>721644.96600635175</v>
      </c>
    </row>
    <row r="65" spans="1:28" s="285" customFormat="1" ht="21.95" customHeight="1">
      <c r="A65" s="229"/>
      <c r="B65" s="229"/>
      <c r="C65" s="277" t="s">
        <v>127</v>
      </c>
      <c r="D65" s="283"/>
      <c r="E65" s="264">
        <f>'Hiring Plan'!D160</f>
        <v>0</v>
      </c>
      <c r="F65" s="264">
        <f>'Hiring Plan'!E160</f>
        <v>0</v>
      </c>
      <c r="G65" s="264">
        <f>'Hiring Plan'!F160</f>
        <v>0</v>
      </c>
      <c r="H65" s="281">
        <v>0</v>
      </c>
      <c r="I65" s="281">
        <v>0</v>
      </c>
      <c r="J65" s="284">
        <v>0</v>
      </c>
      <c r="K65" s="284">
        <v>100</v>
      </c>
      <c r="L65" s="284">
        <f t="shared" ref="L65:N66" si="138">K65*(1+L$14)</f>
        <v>100</v>
      </c>
      <c r="M65" s="284">
        <f>L65*(1+M$14)</f>
        <v>181.81250000000003</v>
      </c>
      <c r="N65" s="284">
        <f t="shared" si="138"/>
        <v>284.64582481971161</v>
      </c>
      <c r="O65" s="284">
        <f t="shared" ref="O65:O66" si="139">N65*(1+O$14)</f>
        <v>415.41302277634276</v>
      </c>
      <c r="P65" s="284">
        <f t="shared" ref="P65:P66" si="140">O65*(1+P$14)</f>
        <v>604.68558127881386</v>
      </c>
      <c r="Q65" s="284">
        <f t="shared" si="116"/>
        <v>891.88963647263336</v>
      </c>
      <c r="R65" s="284">
        <f t="shared" si="116"/>
        <v>1336.37274669362</v>
      </c>
      <c r="S65" s="284">
        <f t="shared" si="116"/>
        <v>1855.5205166007938</v>
      </c>
      <c r="T65" s="284">
        <f t="shared" si="116"/>
        <v>2829.0353171022098</v>
      </c>
      <c r="U65" s="284">
        <f t="shared" si="116"/>
        <v>3677.7459122328728</v>
      </c>
      <c r="V65" s="284">
        <f t="shared" si="116"/>
        <v>4781.0696859027348</v>
      </c>
      <c r="W65" s="284">
        <f t="shared" si="116"/>
        <v>6215.3905916735557</v>
      </c>
      <c r="X65" s="284">
        <f t="shared" si="116"/>
        <v>8080.0077691756223</v>
      </c>
      <c r="Y65" s="284">
        <f t="shared" ref="Y65:Y66" si="141">X65*(1+Y$14)</f>
        <v>9696.0093230107468</v>
      </c>
      <c r="Z65" s="284">
        <f t="shared" ref="Z65:Z66" si="142">Y65*(1+Z$14)</f>
        <v>11635.211187612897</v>
      </c>
      <c r="AA65" s="284">
        <f t="shared" ref="AA65:AA66" si="143">Z65*(1+AA$14)</f>
        <v>13962.253425135475</v>
      </c>
      <c r="AB65" s="284">
        <f t="shared" ref="AB65:AB66" si="144">AA65*(1+AB$14)</f>
        <v>13962.253425135475</v>
      </c>
    </row>
    <row r="66" spans="1:28" s="285" customFormat="1" ht="21.95" customHeight="1">
      <c r="A66" s="229"/>
      <c r="B66" s="229"/>
      <c r="C66" s="277" t="s">
        <v>128</v>
      </c>
      <c r="D66" s="286"/>
      <c r="E66" s="264">
        <f>'Hiring Plan'!D161</f>
        <v>0</v>
      </c>
      <c r="F66" s="264">
        <f>'Hiring Plan'!E161</f>
        <v>0</v>
      </c>
      <c r="G66" s="264">
        <f>'Hiring Plan'!F161</f>
        <v>0</v>
      </c>
      <c r="H66" s="281">
        <v>0</v>
      </c>
      <c r="I66" s="281">
        <v>0</v>
      </c>
      <c r="J66" s="284">
        <v>0</v>
      </c>
      <c r="K66" s="284">
        <v>1250</v>
      </c>
      <c r="L66" s="284">
        <f t="shared" si="138"/>
        <v>1250</v>
      </c>
      <c r="M66" s="284">
        <f>L66*(1+M$14)</f>
        <v>2272.6562500000005</v>
      </c>
      <c r="N66" s="284">
        <f t="shared" si="138"/>
        <v>3558.072810246395</v>
      </c>
      <c r="O66" s="284">
        <f t="shared" si="139"/>
        <v>5192.6627847042837</v>
      </c>
      <c r="P66" s="284">
        <f t="shared" si="140"/>
        <v>7558.569765985173</v>
      </c>
      <c r="Q66" s="284">
        <f t="shared" si="116"/>
        <v>11148.620455907916</v>
      </c>
      <c r="R66" s="284">
        <f t="shared" si="116"/>
        <v>16704.65933367025</v>
      </c>
      <c r="S66" s="284">
        <f t="shared" si="116"/>
        <v>23194.006457509924</v>
      </c>
      <c r="T66" s="284">
        <f t="shared" si="116"/>
        <v>35362.941463777628</v>
      </c>
      <c r="U66" s="284">
        <f t="shared" si="116"/>
        <v>45971.823902910917</v>
      </c>
      <c r="V66" s="284">
        <f t="shared" si="116"/>
        <v>59763.371073784198</v>
      </c>
      <c r="W66" s="284">
        <f t="shared" si="116"/>
        <v>77692.382395919456</v>
      </c>
      <c r="X66" s="284">
        <f t="shared" si="116"/>
        <v>101000.09711469529</v>
      </c>
      <c r="Y66" s="284">
        <f t="shared" si="141"/>
        <v>121200.11653763434</v>
      </c>
      <c r="Z66" s="284">
        <f t="shared" si="142"/>
        <v>145440.1398451612</v>
      </c>
      <c r="AA66" s="284">
        <f t="shared" si="143"/>
        <v>174528.16781419344</v>
      </c>
      <c r="AB66" s="284">
        <f t="shared" si="144"/>
        <v>174528.16781419344</v>
      </c>
    </row>
    <row r="67" spans="1:28" s="267" customFormat="1" ht="21.95" customHeight="1">
      <c r="A67" s="234"/>
      <c r="B67" s="234" t="s">
        <v>129</v>
      </c>
      <c r="C67" s="234" t="s">
        <v>130</v>
      </c>
      <c r="D67" s="287"/>
      <c r="E67" s="270">
        <f>'2017 IS'!P63</f>
        <v>0</v>
      </c>
      <c r="F67" s="270">
        <f t="shared" ref="F67:X67" si="145">SUM(F68:F70)</f>
        <v>0</v>
      </c>
      <c r="G67" s="270">
        <f t="shared" si="145"/>
        <v>0</v>
      </c>
      <c r="H67" s="270">
        <f t="shared" si="145"/>
        <v>0</v>
      </c>
      <c r="I67" s="270">
        <f t="shared" si="145"/>
        <v>0</v>
      </c>
      <c r="J67" s="270">
        <f>SUM(J68:J70)</f>
        <v>0</v>
      </c>
      <c r="K67" s="270">
        <f>SUM(K68:K70)</f>
        <v>152275</v>
      </c>
      <c r="L67" s="270">
        <f t="shared" si="145"/>
        <v>120712.5</v>
      </c>
      <c r="M67" s="270">
        <f t="shared" si="145"/>
        <v>66679.875</v>
      </c>
      <c r="N67" s="270">
        <f t="shared" si="145"/>
        <v>66679.875</v>
      </c>
      <c r="O67" s="270">
        <f t="shared" si="145"/>
        <v>66679.875</v>
      </c>
      <c r="P67" s="270">
        <f t="shared" si="145"/>
        <v>66679.875</v>
      </c>
      <c r="Q67" s="270">
        <f t="shared" si="145"/>
        <v>43988.969374999986</v>
      </c>
      <c r="R67" s="270">
        <f t="shared" si="145"/>
        <v>143988.96937499999</v>
      </c>
      <c r="S67" s="270">
        <f t="shared" si="145"/>
        <v>43988.969374999986</v>
      </c>
      <c r="T67" s="270">
        <f t="shared" si="145"/>
        <v>43988.969374999986</v>
      </c>
      <c r="U67" s="270">
        <f t="shared" si="145"/>
        <v>38688.969374999986</v>
      </c>
      <c r="V67" s="270">
        <f t="shared" si="145"/>
        <v>38688.969374999986</v>
      </c>
      <c r="W67" s="270">
        <f t="shared" si="145"/>
        <v>38688.969374999986</v>
      </c>
      <c r="X67" s="270">
        <f t="shared" si="145"/>
        <v>38688.969374999986</v>
      </c>
      <c r="Y67" s="270">
        <f t="shared" ref="Y67:AB67" si="146">SUM(Y68:Y70)</f>
        <v>154756.87749999994</v>
      </c>
      <c r="Z67" s="270">
        <f t="shared" si="146"/>
        <v>38690.969374999986</v>
      </c>
      <c r="AA67" s="270">
        <f t="shared" si="146"/>
        <v>38691.969374999986</v>
      </c>
      <c r="AB67" s="270">
        <f t="shared" si="146"/>
        <v>38692.969374999986</v>
      </c>
    </row>
    <row r="68" spans="1:28" s="285" customFormat="1" ht="21.95" customHeight="1">
      <c r="A68" s="229"/>
      <c r="B68" s="229"/>
      <c r="C68" s="277" t="s">
        <v>16</v>
      </c>
      <c r="D68" s="283"/>
      <c r="E68" s="264">
        <f>'Hiring Plan'!D163</f>
        <v>0</v>
      </c>
      <c r="F68" s="264">
        <f>'Hiring Plan'!E163</f>
        <v>0</v>
      </c>
      <c r="G68" s="264">
        <f>'Hiring Plan'!F163</f>
        <v>0</v>
      </c>
      <c r="H68" s="284">
        <v>0</v>
      </c>
      <c r="I68" s="284">
        <v>0</v>
      </c>
      <c r="J68" s="284">
        <v>0</v>
      </c>
      <c r="K68" s="284">
        <v>40000</v>
      </c>
      <c r="L68" s="284">
        <v>0</v>
      </c>
      <c r="M68" s="284">
        <v>0</v>
      </c>
      <c r="N68" s="288">
        <v>0</v>
      </c>
      <c r="O68" s="288">
        <v>0</v>
      </c>
      <c r="P68" s="288">
        <v>0</v>
      </c>
      <c r="Q68" s="288">
        <v>0</v>
      </c>
      <c r="R68" s="288">
        <v>100000</v>
      </c>
      <c r="S68" s="288">
        <v>0</v>
      </c>
      <c r="T68" s="288">
        <v>0</v>
      </c>
      <c r="U68" s="288">
        <v>0</v>
      </c>
      <c r="V68" s="288">
        <v>0</v>
      </c>
      <c r="W68" s="288">
        <v>0</v>
      </c>
      <c r="X68" s="288">
        <v>0</v>
      </c>
      <c r="Y68" s="288">
        <v>1</v>
      </c>
      <c r="Z68" s="288">
        <v>2</v>
      </c>
      <c r="AA68" s="288">
        <v>3</v>
      </c>
      <c r="AB68" s="288">
        <v>4</v>
      </c>
    </row>
    <row r="69" spans="1:28" s="285" customFormat="1" ht="21.95" customHeight="1">
      <c r="A69" s="229"/>
      <c r="B69" s="229"/>
      <c r="C69" s="277" t="s">
        <v>131</v>
      </c>
      <c r="D69" s="283"/>
      <c r="E69" s="270">
        <f>'AI Training Costs'!G100</f>
        <v>0</v>
      </c>
      <c r="F69" s="270">
        <f>'AI Training Costs'!H100</f>
        <v>0</v>
      </c>
      <c r="G69" s="270">
        <f>'AI Training Costs'!I100</f>
        <v>0</v>
      </c>
      <c r="H69" s="270">
        <f>'AI Training Costs'!J100</f>
        <v>0</v>
      </c>
      <c r="I69" s="270">
        <f>'AI Training Costs'!L100</f>
        <v>0</v>
      </c>
      <c r="J69" s="270">
        <f>'AI Training Costs'!M100</f>
        <v>0</v>
      </c>
      <c r="K69" s="270">
        <f>'AI Training Costs'!N100</f>
        <v>85500</v>
      </c>
      <c r="L69" s="270">
        <f>'AI Training Costs'!O100</f>
        <v>93937.5</v>
      </c>
      <c r="M69" s="270">
        <f>'AI Training Costs'!Q100</f>
        <v>38700</v>
      </c>
      <c r="N69" s="270">
        <f>'AI Training Costs'!R100</f>
        <v>38700</v>
      </c>
      <c r="O69" s="270">
        <f>'AI Training Costs'!S100</f>
        <v>38700</v>
      </c>
      <c r="P69" s="270">
        <f>'AI Training Costs'!T100</f>
        <v>38700</v>
      </c>
      <c r="Q69" s="270">
        <f>'AI Training Costs'!V100</f>
        <v>14750</v>
      </c>
      <c r="R69" s="270">
        <f>'AI Training Costs'!W100</f>
        <v>14750</v>
      </c>
      <c r="S69" s="270">
        <f>'AI Training Costs'!X100</f>
        <v>14750</v>
      </c>
      <c r="T69" s="270">
        <f>'AI Training Costs'!Y100</f>
        <v>14750</v>
      </c>
      <c r="U69" s="270">
        <f>'AI Training Costs'!AA100</f>
        <v>9450</v>
      </c>
      <c r="V69" s="270">
        <f>'AI Training Costs'!AB100</f>
        <v>9450</v>
      </c>
      <c r="W69" s="270">
        <f>'AI Training Costs'!AC100</f>
        <v>9450</v>
      </c>
      <c r="X69" s="270">
        <f>'AI Training Costs'!AD100</f>
        <v>9450</v>
      </c>
      <c r="Y69" s="270">
        <f>'AI Training Costs'!AE100</f>
        <v>37800</v>
      </c>
      <c r="Z69" s="270">
        <f>'AI Training Costs'!AG100</f>
        <v>9450</v>
      </c>
      <c r="AA69" s="270">
        <f>'AI Training Costs'!AH100</f>
        <v>9450</v>
      </c>
      <c r="AB69" s="270">
        <f>'AI Training Costs'!AI100</f>
        <v>9450</v>
      </c>
    </row>
    <row r="70" spans="1:28" s="285" customFormat="1" ht="21.95" customHeight="1">
      <c r="A70" s="229"/>
      <c r="B70" s="229"/>
      <c r="C70" s="277" t="s">
        <v>132</v>
      </c>
      <c r="D70" s="283"/>
      <c r="E70" s="270">
        <f>'AI Training Costs'!G102</f>
        <v>0</v>
      </c>
      <c r="F70" s="270">
        <f>'AI Training Costs'!H102</f>
        <v>0</v>
      </c>
      <c r="G70" s="270">
        <f>'AI Training Costs'!I102</f>
        <v>0</v>
      </c>
      <c r="H70" s="270">
        <f>'AI Training Costs'!J102</f>
        <v>0</v>
      </c>
      <c r="I70" s="270">
        <f>'AI Training Costs'!L102</f>
        <v>0</v>
      </c>
      <c r="J70" s="270">
        <f>'AI Training Costs'!M102</f>
        <v>0</v>
      </c>
      <c r="K70" s="270">
        <f>'AI Training Costs'!N102</f>
        <v>26775</v>
      </c>
      <c r="L70" s="270">
        <f>'AI Training Costs'!O102</f>
        <v>26775</v>
      </c>
      <c r="M70" s="270">
        <f>'AI Training Costs'!Q102</f>
        <v>27979.874999999996</v>
      </c>
      <c r="N70" s="270">
        <f>'AI Training Costs'!R102</f>
        <v>27979.874999999996</v>
      </c>
      <c r="O70" s="270">
        <f>'AI Training Costs'!S102</f>
        <v>27979.874999999996</v>
      </c>
      <c r="P70" s="270">
        <f>'AI Training Costs'!T102</f>
        <v>27979.874999999996</v>
      </c>
      <c r="Q70" s="270">
        <f>'AI Training Costs'!V102</f>
        <v>29238.96937499999</v>
      </c>
      <c r="R70" s="270">
        <f>'AI Training Costs'!W102</f>
        <v>29238.96937499999</v>
      </c>
      <c r="S70" s="270">
        <f>'AI Training Costs'!X102</f>
        <v>29238.96937499999</v>
      </c>
      <c r="T70" s="270">
        <f>'AI Training Costs'!Y102</f>
        <v>29238.96937499999</v>
      </c>
      <c r="U70" s="270">
        <f>'AI Training Costs'!AA102</f>
        <v>29238.96937499999</v>
      </c>
      <c r="V70" s="270">
        <f>'AI Training Costs'!AB102</f>
        <v>29238.96937499999</v>
      </c>
      <c r="W70" s="270">
        <f>'AI Training Costs'!AC102</f>
        <v>29238.96937499999</v>
      </c>
      <c r="X70" s="270">
        <f>'AI Training Costs'!AD102</f>
        <v>29238.96937499999</v>
      </c>
      <c r="Y70" s="270">
        <f>'AI Training Costs'!AE102</f>
        <v>116955.87749999996</v>
      </c>
      <c r="Z70" s="270">
        <f>'AI Training Costs'!AG102</f>
        <v>29238.96937499999</v>
      </c>
      <c r="AA70" s="270">
        <f>'AI Training Costs'!AH102</f>
        <v>29238.96937499999</v>
      </c>
      <c r="AB70" s="270">
        <f>'AI Training Costs'!AI102</f>
        <v>29238.96937499999</v>
      </c>
    </row>
    <row r="71" spans="1:28" s="234" customFormat="1" ht="21.95" customHeight="1">
      <c r="B71" s="234" t="s">
        <v>133</v>
      </c>
      <c r="C71" s="234" t="s">
        <v>15</v>
      </c>
      <c r="D71" s="268">
        <v>100</v>
      </c>
      <c r="E71" s="289">
        <f>'2017 IS'!P64</f>
        <v>639.61999999999989</v>
      </c>
      <c r="F71" s="289">
        <f>'2017 IS'!Q64</f>
        <v>322.95999999999998</v>
      </c>
      <c r="G71" s="289">
        <f>'2017 IS'!R64</f>
        <v>482.16</v>
      </c>
      <c r="H71" s="289">
        <f>'2017 IS'!S64</f>
        <v>457.8</v>
      </c>
      <c r="I71" s="266">
        <v>500</v>
      </c>
      <c r="J71" s="289">
        <v>500</v>
      </c>
      <c r="K71" s="289">
        <f>($D$71*3)*'Hiring Plan'!J98</f>
        <v>2100</v>
      </c>
      <c r="L71" s="289">
        <f>($D$71*3)*'Hiring Plan'!K98</f>
        <v>2100</v>
      </c>
      <c r="M71" s="289">
        <f>($D$71*3)*'Hiring Plan'!L98</f>
        <v>2100</v>
      </c>
      <c r="N71" s="289">
        <f>($D$71*3)*'Hiring Plan'!M98</f>
        <v>1950</v>
      </c>
      <c r="O71" s="289">
        <f>($D$71*3)*'Hiring Plan'!N98</f>
        <v>2250</v>
      </c>
      <c r="P71" s="289">
        <f>($D$71*3)*'Hiring Plan'!O98</f>
        <v>2250</v>
      </c>
      <c r="Q71" s="289">
        <f>($D$71*3)*'Hiring Plan'!P98</f>
        <v>3000</v>
      </c>
      <c r="R71" s="289">
        <f>($D$71*3)*'Hiring Plan'!Q98</f>
        <v>3000</v>
      </c>
      <c r="S71" s="289">
        <f>($D$71*3)*'Hiring Plan'!R98</f>
        <v>4500</v>
      </c>
      <c r="T71" s="289">
        <f>($D$71*3)*'Hiring Plan'!S98</f>
        <v>4800</v>
      </c>
      <c r="U71" s="289">
        <f>($D$71*3)*'Hiring Plan'!T98</f>
        <v>6010.5</v>
      </c>
      <c r="V71" s="289">
        <f>($D$71*3)*'Hiring Plan'!U98</f>
        <v>6010.5</v>
      </c>
      <c r="W71" s="289">
        <f>($D$71*3)*'Hiring Plan'!V98</f>
        <v>6910.5</v>
      </c>
      <c r="X71" s="289">
        <f>($D$71*3)*'Hiring Plan'!W98</f>
        <v>6910.5</v>
      </c>
      <c r="Y71" s="289">
        <f>($D$71*3)*'Hiring Plan'!X98</f>
        <v>6910.5</v>
      </c>
      <c r="Z71" s="289">
        <f>($D$71*3)*'Hiring Plan'!Y98</f>
        <v>6910.5</v>
      </c>
      <c r="AA71" s="289">
        <f>($D$71*3)*'Hiring Plan'!Z98</f>
        <v>6910.5</v>
      </c>
      <c r="AB71" s="289">
        <f>($D$71*3)*'Hiring Plan'!AA98</f>
        <v>6910.5</v>
      </c>
    </row>
    <row r="72" spans="1:28" ht="21.95" customHeight="1">
      <c r="B72" s="229" t="s">
        <v>134</v>
      </c>
      <c r="C72" s="234" t="s">
        <v>16</v>
      </c>
      <c r="D72" s="268">
        <v>200</v>
      </c>
      <c r="E72" s="290">
        <f>'2017 IS'!P65</f>
        <v>0</v>
      </c>
      <c r="F72" s="290">
        <f>'2017 IS'!Q65</f>
        <v>0</v>
      </c>
      <c r="G72" s="290">
        <f>'2017 IS'!R65</f>
        <v>0</v>
      </c>
      <c r="H72" s="290">
        <f>'2017 IS'!S65</f>
        <v>0</v>
      </c>
      <c r="I72" s="266">
        <v>0</v>
      </c>
      <c r="J72" s="264">
        <f>'Hiring Plan'!I165</f>
        <v>0</v>
      </c>
      <c r="K72" s="290">
        <f>($D$72)*'Hiring Plan'!I98</f>
        <v>400</v>
      </c>
      <c r="L72" s="290">
        <f>($D$72)*'Hiring Plan'!J98</f>
        <v>1400</v>
      </c>
      <c r="M72" s="290">
        <f>($D$72)*'Hiring Plan'!K98</f>
        <v>1400</v>
      </c>
      <c r="N72" s="290">
        <f>($D$72)*'Hiring Plan'!L98</f>
        <v>1400</v>
      </c>
      <c r="O72" s="290">
        <f>($D$72)*'Hiring Plan'!M98</f>
        <v>1300</v>
      </c>
      <c r="P72" s="290">
        <f>($D$72)*'Hiring Plan'!N98</f>
        <v>1500</v>
      </c>
      <c r="Q72" s="290">
        <f>($D$72)*'Hiring Plan'!O98</f>
        <v>1500</v>
      </c>
      <c r="R72" s="290">
        <f>($D$72)*'Hiring Plan'!P98</f>
        <v>2000</v>
      </c>
      <c r="S72" s="290">
        <f>($D$72)*'Hiring Plan'!Q98</f>
        <v>2000</v>
      </c>
      <c r="T72" s="290">
        <f>($D$72)*'Hiring Plan'!R98</f>
        <v>3000</v>
      </c>
      <c r="U72" s="290">
        <f>($D$72)*'Hiring Plan'!S98</f>
        <v>3200</v>
      </c>
      <c r="V72" s="290">
        <f>($D$72)*'Hiring Plan'!T98</f>
        <v>4007</v>
      </c>
      <c r="W72" s="290">
        <f>($D$72)*'Hiring Plan'!U98</f>
        <v>4007</v>
      </c>
      <c r="X72" s="290">
        <f>($D$72)*'Hiring Plan'!V98</f>
        <v>4607</v>
      </c>
      <c r="Y72" s="290">
        <f>($D$72)*'Hiring Plan'!W98</f>
        <v>4607</v>
      </c>
      <c r="Z72" s="290">
        <f>($D$72)*'Hiring Plan'!X98</f>
        <v>4607</v>
      </c>
      <c r="AA72" s="290">
        <f>($D$72)*'Hiring Plan'!Y98</f>
        <v>4607</v>
      </c>
      <c r="AB72" s="290">
        <f>($D$72)*'Hiring Plan'!Z98</f>
        <v>4607</v>
      </c>
    </row>
    <row r="73" spans="1:28" s="234" customFormat="1" ht="21.95" customHeight="1">
      <c r="B73" s="234" t="s">
        <v>135</v>
      </c>
      <c r="C73" s="234" t="s">
        <v>17</v>
      </c>
      <c r="D73" s="291"/>
      <c r="E73" s="290">
        <f>'2017 IS'!P66</f>
        <v>20276.39</v>
      </c>
      <c r="F73" s="290">
        <f>'2017 IS'!Q66</f>
        <v>26415.18</v>
      </c>
      <c r="G73" s="290">
        <f>'2017 IS'!R66</f>
        <v>10434.469999999999</v>
      </c>
      <c r="H73" s="290">
        <f>'2017 IS'!S66</f>
        <v>7278</v>
      </c>
      <c r="I73" s="290">
        <v>10000</v>
      </c>
      <c r="J73" s="290">
        <v>10000</v>
      </c>
      <c r="K73" s="290">
        <v>15000</v>
      </c>
      <c r="L73" s="290">
        <v>15000</v>
      </c>
      <c r="M73" s="290">
        <v>15000</v>
      </c>
      <c r="N73" s="290">
        <v>15000</v>
      </c>
      <c r="O73" s="290">
        <v>15000</v>
      </c>
      <c r="P73" s="290">
        <v>15000</v>
      </c>
      <c r="Q73" s="290">
        <v>20000</v>
      </c>
      <c r="R73" s="290">
        <v>20000</v>
      </c>
      <c r="S73" s="290">
        <v>30000</v>
      </c>
      <c r="T73" s="290">
        <v>30000</v>
      </c>
      <c r="U73" s="290">
        <v>30000</v>
      </c>
      <c r="V73" s="290">
        <v>30000</v>
      </c>
      <c r="W73" s="290">
        <v>30000</v>
      </c>
      <c r="X73" s="290">
        <v>30000</v>
      </c>
      <c r="Y73" s="290">
        <v>30001</v>
      </c>
      <c r="Z73" s="290">
        <v>30002</v>
      </c>
      <c r="AA73" s="290">
        <v>30003</v>
      </c>
      <c r="AB73" s="290">
        <v>30004</v>
      </c>
    </row>
    <row r="74" spans="1:28" s="234" customFormat="1" ht="21.95" customHeight="1">
      <c r="B74" s="234" t="s">
        <v>136</v>
      </c>
      <c r="C74" s="234" t="s">
        <v>137</v>
      </c>
      <c r="D74" s="292">
        <v>0.3</v>
      </c>
      <c r="E74" s="264">
        <f>'2017 IS'!P67</f>
        <v>0</v>
      </c>
      <c r="F74" s="264">
        <f>'2017 IS'!Q67</f>
        <v>0</v>
      </c>
      <c r="G74" s="264">
        <f>'2017 IS'!R67</f>
        <v>0</v>
      </c>
      <c r="H74" s="264">
        <f>'2017 IS'!S67</f>
        <v>129.99</v>
      </c>
      <c r="I74" s="281">
        <v>0</v>
      </c>
      <c r="J74" s="264">
        <v>0</v>
      </c>
      <c r="K74" s="264">
        <v>0</v>
      </c>
      <c r="L74" s="264">
        <v>75000</v>
      </c>
      <c r="M74" s="264">
        <v>100000</v>
      </c>
      <c r="N74" s="264">
        <v>100000</v>
      </c>
      <c r="O74" s="264">
        <v>100000</v>
      </c>
      <c r="P74" s="264">
        <v>100000</v>
      </c>
      <c r="Q74" s="264">
        <f t="shared" ref="Q74:X74" si="147">Q44*$D$74</f>
        <v>233847.30899999998</v>
      </c>
      <c r="R74" s="264">
        <f t="shared" si="147"/>
        <v>344916.77099999995</v>
      </c>
      <c r="S74" s="264">
        <f t="shared" si="147"/>
        <v>516809.30699999997</v>
      </c>
      <c r="T74" s="264">
        <f t="shared" si="147"/>
        <v>717575.44499999995</v>
      </c>
      <c r="U74" s="264">
        <f t="shared" si="147"/>
        <v>1094059.314</v>
      </c>
      <c r="V74" s="264">
        <f t="shared" si="147"/>
        <v>1422275.013</v>
      </c>
      <c r="W74" s="264">
        <f t="shared" si="147"/>
        <v>1848959.2919999999</v>
      </c>
      <c r="X74" s="264">
        <f t="shared" si="147"/>
        <v>2403647.196</v>
      </c>
      <c r="Y74" s="264">
        <f t="shared" ref="Y74:AB74" si="148">Y44*$D$74</f>
        <v>3156954.0659999996</v>
      </c>
      <c r="Z74" s="264">
        <f t="shared" si="148"/>
        <v>3827002.4099999997</v>
      </c>
      <c r="AA74" s="264">
        <f t="shared" si="148"/>
        <v>4638790.8</v>
      </c>
      <c r="AB74" s="264">
        <f t="shared" si="148"/>
        <v>5622216.5099999998</v>
      </c>
    </row>
    <row r="75" spans="1:28" s="293" customFormat="1" ht="21.95" customHeight="1">
      <c r="B75" s="234" t="s">
        <v>138</v>
      </c>
      <c r="C75" s="234" t="s">
        <v>20</v>
      </c>
      <c r="D75" s="294"/>
      <c r="E75" s="264">
        <f>'2017 IS'!P68</f>
        <v>3196.54</v>
      </c>
      <c r="F75" s="264">
        <f>'2017 IS'!Q68</f>
        <v>4670.0499999999993</v>
      </c>
      <c r="G75" s="264">
        <f>'2017 IS'!R68</f>
        <v>11004.310000000001</v>
      </c>
      <c r="H75" s="264">
        <f>'2017 IS'!S68</f>
        <v>1732.84</v>
      </c>
      <c r="I75" s="264">
        <v>5000</v>
      </c>
      <c r="J75" s="264">
        <v>5000</v>
      </c>
      <c r="K75" s="264">
        <v>6000</v>
      </c>
      <c r="L75" s="264">
        <f>K75</f>
        <v>6000</v>
      </c>
      <c r="M75" s="264">
        <v>10000</v>
      </c>
      <c r="N75" s="264">
        <f>M75</f>
        <v>10000</v>
      </c>
      <c r="O75" s="264">
        <f>N75</f>
        <v>10000</v>
      </c>
      <c r="P75" s="264">
        <f>O75</f>
        <v>10000</v>
      </c>
      <c r="Q75" s="295">
        <v>15000</v>
      </c>
      <c r="R75" s="296">
        <f>Q75</f>
        <v>15000</v>
      </c>
      <c r="S75" s="296">
        <v>50000</v>
      </c>
      <c r="T75" s="296">
        <v>50000</v>
      </c>
      <c r="U75" s="296">
        <v>50000</v>
      </c>
      <c r="V75" s="296">
        <v>50000</v>
      </c>
      <c r="W75" s="296">
        <v>50000</v>
      </c>
      <c r="X75" s="296">
        <v>50000</v>
      </c>
      <c r="Y75" s="296">
        <v>50001</v>
      </c>
      <c r="Z75" s="296">
        <v>50002</v>
      </c>
      <c r="AA75" s="296">
        <v>50003</v>
      </c>
      <c r="AB75" s="296">
        <v>50004</v>
      </c>
    </row>
    <row r="76" spans="1:28" s="234" customFormat="1" ht="21.95" customHeight="1">
      <c r="B76" s="234" t="s">
        <v>139</v>
      </c>
      <c r="C76" s="234" t="s">
        <v>21</v>
      </c>
      <c r="D76" s="297">
        <v>0.01</v>
      </c>
      <c r="E76" s="264">
        <f>'2017 IS'!P69</f>
        <v>2784.2400000000002</v>
      </c>
      <c r="F76" s="264">
        <f>'2017 IS'!Q69</f>
        <v>5662.71</v>
      </c>
      <c r="G76" s="264">
        <f>'2017 IS'!R69</f>
        <v>4481.83</v>
      </c>
      <c r="H76" s="264">
        <f>'2017 IS'!S69</f>
        <v>6082.869999999999</v>
      </c>
      <c r="I76" s="266">
        <v>5000</v>
      </c>
      <c r="J76" s="264">
        <v>5000</v>
      </c>
      <c r="K76" s="264">
        <v>5000</v>
      </c>
      <c r="L76" s="264">
        <v>5000</v>
      </c>
      <c r="M76" s="264">
        <f t="shared" ref="M76:X76" si="149">M44*$D$76</f>
        <v>1289.0717999999999</v>
      </c>
      <c r="N76" s="264">
        <f t="shared" si="149"/>
        <v>2343.6848999999997</v>
      </c>
      <c r="O76" s="264">
        <f t="shared" si="149"/>
        <v>3669.3451</v>
      </c>
      <c r="P76" s="264">
        <f t="shared" si="149"/>
        <v>5355.0402000000004</v>
      </c>
      <c r="Q76" s="264">
        <f t="shared" si="149"/>
        <v>7794.9102999999996</v>
      </c>
      <c r="R76" s="264">
        <f t="shared" si="149"/>
        <v>11497.225699999999</v>
      </c>
      <c r="S76" s="264">
        <f t="shared" si="149"/>
        <v>17226.976900000001</v>
      </c>
      <c r="T76" s="264">
        <f t="shared" si="149"/>
        <v>23919.181499999999</v>
      </c>
      <c r="U76" s="264">
        <f t="shared" si="149"/>
        <v>36468.643799999998</v>
      </c>
      <c r="V76" s="264">
        <f t="shared" si="149"/>
        <v>47409.167099999999</v>
      </c>
      <c r="W76" s="264">
        <f t="shared" si="149"/>
        <v>61631.9764</v>
      </c>
      <c r="X76" s="264">
        <f t="shared" si="149"/>
        <v>80121.573199999999</v>
      </c>
      <c r="Y76" s="264">
        <f t="shared" ref="Y76:AB76" si="150">Y44*$D$76</f>
        <v>105231.80219999999</v>
      </c>
      <c r="Z76" s="264">
        <f t="shared" si="150"/>
        <v>127566.74699999999</v>
      </c>
      <c r="AA76" s="264">
        <f t="shared" si="150"/>
        <v>154626.36000000002</v>
      </c>
      <c r="AB76" s="264">
        <f t="shared" si="150"/>
        <v>187407.217</v>
      </c>
    </row>
    <row r="77" spans="1:28" s="234" customFormat="1" ht="21.95" customHeight="1">
      <c r="B77" s="262" t="s">
        <v>140</v>
      </c>
      <c r="C77" s="262"/>
      <c r="D77" s="298">
        <v>0</v>
      </c>
      <c r="E77" s="299">
        <f t="shared" ref="E77:X77" si="151">E48+E49+E50+E57+E67+E71+E72+E73+E74+E75+E76</f>
        <v>30169.56</v>
      </c>
      <c r="F77" s="299">
        <f t="shared" si="151"/>
        <v>54637.700000000004</v>
      </c>
      <c r="G77" s="299">
        <f t="shared" si="151"/>
        <v>48699.100000000006</v>
      </c>
      <c r="H77" s="299">
        <f t="shared" si="151"/>
        <v>60067.14</v>
      </c>
      <c r="I77" s="299">
        <f t="shared" si="151"/>
        <v>69000</v>
      </c>
      <c r="J77" s="299">
        <f t="shared" si="151"/>
        <v>69000</v>
      </c>
      <c r="K77" s="299">
        <f t="shared" si="151"/>
        <v>454266.5625</v>
      </c>
      <c r="L77" s="299">
        <f t="shared" si="151"/>
        <v>502766.5625</v>
      </c>
      <c r="M77" s="299">
        <f t="shared" si="151"/>
        <v>519485.99367499998</v>
      </c>
      <c r="N77" s="299">
        <f t="shared" si="151"/>
        <v>517350.05418297776</v>
      </c>
      <c r="O77" s="299">
        <f t="shared" si="151"/>
        <v>566066.62477338652</v>
      </c>
      <c r="P77" s="299">
        <f t="shared" si="151"/>
        <v>589179.56813453417</v>
      </c>
      <c r="Q77" s="299">
        <f t="shared" si="151"/>
        <v>803425.06252064602</v>
      </c>
      <c r="R77" s="299">
        <f t="shared" si="151"/>
        <v>1060751.9133979518</v>
      </c>
      <c r="S77" s="299">
        <f t="shared" si="151"/>
        <v>1413074.6394019071</v>
      </c>
      <c r="T77" s="299">
        <f t="shared" si="151"/>
        <v>1749229.8782718692</v>
      </c>
      <c r="U77" s="299">
        <f t="shared" si="151"/>
        <v>2354164.4188059294</v>
      </c>
      <c r="V77" s="299">
        <f t="shared" si="151"/>
        <v>2796618.3411764577</v>
      </c>
      <c r="W77" s="299">
        <f t="shared" si="151"/>
        <v>3493826.383088456</v>
      </c>
      <c r="X77" s="299">
        <f t="shared" si="151"/>
        <v>4238131.915859445</v>
      </c>
      <c r="Y77" s="299">
        <f t="shared" ref="Y77:AB77" si="152">Y48+Y49+Y50+Y57+Y67+Y71+Y72+Y73+Y74+Y75+Y76</f>
        <v>5303087.9912301442</v>
      </c>
      <c r="Z77" s="299">
        <f t="shared" si="152"/>
        <v>6087661.7698489362</v>
      </c>
      <c r="AA77" s="299">
        <f t="shared" si="152"/>
        <v>7181033.271986926</v>
      </c>
      <c r="AB77" s="299">
        <f t="shared" si="152"/>
        <v>8341588.3630731963</v>
      </c>
    </row>
    <row r="78" spans="1:28" s="300" customFormat="1" ht="21.95" customHeight="1">
      <c r="C78" s="300" t="s">
        <v>141</v>
      </c>
      <c r="E78" s="301"/>
      <c r="F78" s="301"/>
      <c r="G78" s="302">
        <f>G50+G73+G75+G76</f>
        <v>25907.239999999998</v>
      </c>
      <c r="H78" s="302">
        <f t="shared" ref="H78:X78" si="153">H50+H73+H75+H76</f>
        <v>15093.71</v>
      </c>
      <c r="I78" s="302">
        <f t="shared" si="153"/>
        <v>20000</v>
      </c>
      <c r="J78" s="302">
        <f>J50+J73+J75+J76</f>
        <v>20000</v>
      </c>
      <c r="K78" s="302">
        <f t="shared" si="153"/>
        <v>54560</v>
      </c>
      <c r="L78" s="302">
        <f t="shared" si="153"/>
        <v>54560</v>
      </c>
      <c r="M78" s="302">
        <f t="shared" si="153"/>
        <v>54849.071799999998</v>
      </c>
      <c r="N78" s="270">
        <f t="shared" si="153"/>
        <v>55903.6849</v>
      </c>
      <c r="O78" s="270">
        <f t="shared" si="153"/>
        <v>58657.345099999999</v>
      </c>
      <c r="P78" s="270">
        <f t="shared" si="153"/>
        <v>60343.040200000003</v>
      </c>
      <c r="Q78" s="270">
        <f t="shared" si="153"/>
        <v>87776.910300000003</v>
      </c>
      <c r="R78" s="270">
        <f t="shared" si="153"/>
        <v>91479.225699999995</v>
      </c>
      <c r="S78" s="270">
        <f t="shared" si="153"/>
        <v>144458.07690000001</v>
      </c>
      <c r="T78" s="270">
        <f t="shared" si="153"/>
        <v>151150.28150000001</v>
      </c>
      <c r="U78" s="270">
        <f t="shared" si="153"/>
        <v>163699.7438</v>
      </c>
      <c r="V78" s="270">
        <f t="shared" si="153"/>
        <v>174640.2671</v>
      </c>
      <c r="W78" s="270">
        <f t="shared" si="153"/>
        <v>191224.63140000001</v>
      </c>
      <c r="X78" s="270">
        <f t="shared" si="153"/>
        <v>209714.22820000001</v>
      </c>
      <c r="Y78" s="270">
        <f t="shared" ref="Y78:AB78" si="154">Y50+Y73+Y75+Y76</f>
        <v>234842.98808500002</v>
      </c>
      <c r="Z78" s="270">
        <f t="shared" si="154"/>
        <v>257196.46376999997</v>
      </c>
      <c r="AA78" s="270">
        <f t="shared" si="154"/>
        <v>284274.60765500006</v>
      </c>
      <c r="AB78" s="270">
        <f t="shared" si="154"/>
        <v>317073.99554000003</v>
      </c>
    </row>
    <row r="79" spans="1:28" s="300" customFormat="1" ht="21.95" customHeight="1">
      <c r="C79" s="300" t="s">
        <v>142</v>
      </c>
      <c r="E79" s="303">
        <f>'Hiring Plan'!D118</f>
        <v>0</v>
      </c>
      <c r="F79" s="303">
        <f>'Hiring Plan'!E118</f>
        <v>0</v>
      </c>
      <c r="G79" s="303">
        <f>'Hiring Plan'!F118</f>
        <v>0</v>
      </c>
      <c r="H79" s="303">
        <f>'Hiring Plan'!G118</f>
        <v>0</v>
      </c>
      <c r="I79" s="281">
        <f>'Hiring Plan'!H118</f>
        <v>0</v>
      </c>
      <c r="J79" s="270">
        <f>'Hiring Plan'!I118</f>
        <v>0</v>
      </c>
      <c r="K79" s="303">
        <f>'Hiring Plan'!J118</f>
        <v>25000</v>
      </c>
      <c r="L79" s="303">
        <f>'Hiring Plan'!K118</f>
        <v>25000</v>
      </c>
      <c r="M79" s="303">
        <f>'Hiring Plan'!L118</f>
        <v>25000</v>
      </c>
      <c r="N79" s="303">
        <f>'Hiring Plan'!M118</f>
        <v>25000</v>
      </c>
      <c r="O79" s="303">
        <f>'Hiring Plan'!N118</f>
        <v>25000</v>
      </c>
      <c r="P79" s="303">
        <f>'Hiring Plan'!O118</f>
        <v>25000</v>
      </c>
      <c r="Q79" s="303">
        <f>'Hiring Plan'!P118</f>
        <v>33875</v>
      </c>
      <c r="R79" s="303">
        <f>'Hiring Plan'!Q118</f>
        <v>33875</v>
      </c>
      <c r="S79" s="303">
        <f>'Hiring Plan'!R118</f>
        <v>63875</v>
      </c>
      <c r="T79" s="303">
        <f>'Hiring Plan'!S118</f>
        <v>108875</v>
      </c>
      <c r="U79" s="303">
        <f>'Hiring Plan'!T118</f>
        <v>113772.375</v>
      </c>
      <c r="V79" s="303">
        <f>'Hiring Plan'!U118</f>
        <v>113772.375</v>
      </c>
      <c r="W79" s="303">
        <f>'Hiring Plan'!V118</f>
        <v>163772.375</v>
      </c>
      <c r="X79" s="303">
        <f>'Hiring Plan'!W118</f>
        <v>163772.375</v>
      </c>
      <c r="Y79" s="303">
        <f>'Hiring Plan'!X118</f>
        <v>163772.375</v>
      </c>
      <c r="Z79" s="303">
        <f>'Hiring Plan'!Y118</f>
        <v>163772.375</v>
      </c>
      <c r="AA79" s="303">
        <f>'Hiring Plan'!Z118</f>
        <v>163772.375</v>
      </c>
      <c r="AB79" s="303">
        <f>'Hiring Plan'!AA118</f>
        <v>163772.375</v>
      </c>
    </row>
    <row r="80" spans="1:28" s="304" customFormat="1" ht="21.95" customHeight="1">
      <c r="C80" s="304" t="s">
        <v>143</v>
      </c>
      <c r="E80" s="305"/>
      <c r="F80" s="305"/>
      <c r="G80" s="305"/>
      <c r="H80" s="305"/>
      <c r="I80" s="305"/>
      <c r="J80" s="305"/>
      <c r="K80" s="305"/>
      <c r="L80" s="306"/>
      <c r="M80" s="306">
        <f>(SUM($E$74:M74)+SUM($E$79:M79))/M40</f>
        <v>4.3966242338814849</v>
      </c>
      <c r="N80" s="306">
        <f>(SUM($E$74:N74)+SUM($E$79:N79))/N40</f>
        <v>3.6266518750543808</v>
      </c>
      <c r="O80" s="306">
        <f>(SUM($E$74:O74)+SUM($E$79:O79))/O40</f>
        <v>3.0883278581220437</v>
      </c>
      <c r="P80" s="306">
        <f>(SUM($E$74:P74)+SUM($E$79:P79))/P40</f>
        <v>2.6450452314462214</v>
      </c>
      <c r="Q80" s="306">
        <f>(SUM($E$74:Q74)+SUM($E$79:Q79))/Q40</f>
        <v>2.5953273443926714</v>
      </c>
      <c r="R80" s="306">
        <f>(SUM($E$74:R74)+SUM($E$79:R79))/R40</f>
        <v>2.5060877730961604</v>
      </c>
      <c r="S80" s="306">
        <f>(SUM($E$74:S74)+SUM($E$79:S79))/S40</f>
        <v>2.4363060691672516</v>
      </c>
      <c r="T80" s="306">
        <f>(SUM($E$74:T74)+SUM($E$79:T79))/T40</f>
        <v>2.5375369763588878</v>
      </c>
      <c r="U80" s="306">
        <f>(SUM($E$74:U74)+SUM($E$79:U79))/U40</f>
        <v>2.4147577240227545</v>
      </c>
      <c r="V80" s="306">
        <f>(SUM($E$74:V74)+SUM($E$79:V79))/V40</f>
        <v>2.5916194552428764</v>
      </c>
      <c r="W80" s="306">
        <f>(SUM($E$74:W74)+SUM($E$79:W79))/W40</f>
        <v>2.7335006187277076</v>
      </c>
      <c r="X80" s="306">
        <f>(SUM($E$74:X74)+SUM($E$79:X79))/X40</f>
        <v>2.828746339781818</v>
      </c>
      <c r="Y80" s="306">
        <f>(SUM($E$74:Y74)+SUM($E$79:Y79))/Y40</f>
        <v>2.8983317865888529</v>
      </c>
      <c r="Z80" s="306">
        <f>(SUM($E$74:Z74)+SUM($E$79:Z79))/Z40</f>
        <v>3.1387195948561013</v>
      </c>
      <c r="AA80" s="306">
        <f>(SUM($E$74:AA74)+SUM($E$79:AA79))/AA40</f>
        <v>3.3411021724161789</v>
      </c>
      <c r="AB80" s="306">
        <f>(SUM($E$74:AB74)+SUM($E$79:AB79))/AB40</f>
        <v>3.5126390321670597</v>
      </c>
    </row>
    <row r="81" spans="2:28" s="304" customFormat="1" ht="21.95" customHeight="1">
      <c r="C81" s="304" t="s">
        <v>144</v>
      </c>
      <c r="E81" s="305"/>
      <c r="F81" s="305"/>
      <c r="G81" s="305"/>
      <c r="H81" s="305"/>
      <c r="I81" s="305"/>
      <c r="J81" s="305"/>
      <c r="K81" s="305"/>
      <c r="L81" s="307" t="s">
        <v>25</v>
      </c>
      <c r="M81" s="307">
        <f>(M74+M79)/(M40-L40)</f>
        <v>2.1971696765956996</v>
      </c>
      <c r="N81" s="307">
        <f t="shared" ref="N81:X81" si="155">(N74+N79)/(N40-M40)</f>
        <v>2.6855369349728373</v>
      </c>
      <c r="O81" s="307">
        <f t="shared" si="155"/>
        <v>2.1365695239723101</v>
      </c>
      <c r="P81" s="307">
        <f t="shared" si="155"/>
        <v>1.6801526922766741</v>
      </c>
      <c r="Q81" s="307">
        <f t="shared" si="155"/>
        <v>2.4862077486697065</v>
      </c>
      <c r="R81" s="307">
        <f t="shared" si="155"/>
        <v>2.3182012803015928</v>
      </c>
      <c r="S81" s="307">
        <f t="shared" si="155"/>
        <v>2.2962840359063588</v>
      </c>
      <c r="T81" s="307">
        <f t="shared" si="155"/>
        <v>2.7981217602984843</v>
      </c>
      <c r="U81" s="307">
        <f t="shared" si="155"/>
        <v>2.180740885381403</v>
      </c>
      <c r="V81" s="307">
        <f t="shared" si="155"/>
        <v>3.1811575825605045</v>
      </c>
      <c r="W81" s="307">
        <f t="shared" si="155"/>
        <v>3.2064367755481777</v>
      </c>
      <c r="X81" s="307">
        <f t="shared" si="155"/>
        <v>3.1462318431920395</v>
      </c>
      <c r="Y81" s="307">
        <f t="shared" ref="Y81" si="156">(Y74+Y79)/(Y40-X40)</f>
        <v>3.1302831447561785</v>
      </c>
      <c r="Z81" s="307">
        <f t="shared" ref="Z81" si="157">(Z74+Z79)/(Z40-Y40)</f>
        <v>4.3406578518023826</v>
      </c>
      <c r="AA81" s="307">
        <f t="shared" ref="AA81" si="158">(AA74+AA79)/(AA40-Z40)</f>
        <v>4.3530143264631693</v>
      </c>
      <c r="AB81" s="307">
        <f t="shared" ref="AB81" si="159">(AB74+AB79)/(AB40-AA40)</f>
        <v>4.3703232013547577</v>
      </c>
    </row>
    <row r="82" spans="2:28" ht="21.95" customHeight="1">
      <c r="B82" s="234" t="s">
        <v>145</v>
      </c>
      <c r="E82" s="308"/>
      <c r="F82" s="308"/>
      <c r="G82" s="308"/>
      <c r="H82" s="308"/>
      <c r="I82" s="308"/>
      <c r="J82" s="30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308"/>
      <c r="V82" s="308"/>
      <c r="W82" s="188"/>
      <c r="X82" s="188"/>
    </row>
    <row r="83" spans="2:28" ht="21.95" customHeight="1">
      <c r="B83" s="309" t="s">
        <v>146</v>
      </c>
      <c r="D83" s="310">
        <v>30</v>
      </c>
      <c r="E83" s="311"/>
      <c r="F83" s="311"/>
      <c r="G83" s="311"/>
      <c r="H83" s="311"/>
      <c r="I83" s="311"/>
      <c r="J83" s="311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</row>
    <row r="84" spans="2:28" ht="21.95" customHeight="1">
      <c r="B84" s="309" t="s">
        <v>147</v>
      </c>
      <c r="D84" s="310">
        <v>21</v>
      </c>
      <c r="E84" s="308"/>
      <c r="F84" s="308"/>
      <c r="G84" s="308"/>
      <c r="H84" s="308"/>
      <c r="I84" s="308"/>
      <c r="J84" s="308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</row>
    <row r="85" spans="2:28" ht="21.95" customHeight="1">
      <c r="B85" s="309"/>
      <c r="K85" s="313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</row>
    <row r="86" spans="2:28" ht="21.95" customHeight="1">
      <c r="B86" s="309" t="s">
        <v>148</v>
      </c>
      <c r="D86" s="315">
        <v>250000</v>
      </c>
      <c r="K86" s="313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</row>
    <row r="87" spans="2:28" ht="21.95" customHeight="1">
      <c r="B87" s="316" t="s">
        <v>149</v>
      </c>
      <c r="D87" s="315">
        <v>1000000</v>
      </c>
      <c r="K87" s="313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</row>
    <row r="88" spans="2:28" ht="21.95" customHeight="1">
      <c r="B88" s="316" t="s">
        <v>150</v>
      </c>
      <c r="D88" s="317">
        <f>D86/D87</f>
        <v>0.25</v>
      </c>
      <c r="K88" s="313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</row>
    <row r="89" spans="2:28" ht="21.95" customHeight="1">
      <c r="B89" s="309" t="s">
        <v>151</v>
      </c>
      <c r="D89" s="315">
        <v>1000000</v>
      </c>
      <c r="J89" s="318">
        <v>4000000</v>
      </c>
      <c r="K89" s="313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</row>
    <row r="90" spans="2:28" ht="21.95" customHeight="1">
      <c r="B90" s="316" t="s">
        <v>152</v>
      </c>
      <c r="D90" s="275">
        <v>0.15</v>
      </c>
      <c r="J90" s="252">
        <v>0.2</v>
      </c>
      <c r="K90" s="313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  <c r="X90" s="314"/>
    </row>
    <row r="91" spans="2:28" ht="21.95" customHeight="1">
      <c r="B91" s="316" t="s">
        <v>149</v>
      </c>
      <c r="D91" s="319">
        <f>(D87/(1-D90))-D87</f>
        <v>176470.58823529421</v>
      </c>
      <c r="E91" s="320"/>
      <c r="K91" s="313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</row>
    <row r="92" spans="2:28" ht="21.95" customHeight="1">
      <c r="B92" s="316" t="s">
        <v>150</v>
      </c>
      <c r="D92" s="317">
        <f>D89/D91</f>
        <v>5.6666666666666634</v>
      </c>
      <c r="K92" s="313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</row>
    <row r="93" spans="2:28" ht="21.95" customHeight="1">
      <c r="B93" s="309"/>
      <c r="K93" s="313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</row>
    <row r="94" spans="2:28" ht="21.95" customHeight="1">
      <c r="B94" s="229" t="s">
        <v>153</v>
      </c>
      <c r="D94" s="275">
        <v>0.21</v>
      </c>
      <c r="E94" s="321"/>
      <c r="F94" s="321"/>
      <c r="G94" s="321"/>
      <c r="H94" s="321"/>
      <c r="I94" s="321"/>
      <c r="J94" s="321"/>
    </row>
    <row r="95" spans="2:28" ht="21.95" customHeight="1">
      <c r="B95" s="229" t="s">
        <v>154</v>
      </c>
      <c r="D95" s="275">
        <v>0.05</v>
      </c>
      <c r="E95" s="321"/>
      <c r="F95" s="321"/>
      <c r="G95" s="321"/>
      <c r="H95" s="321"/>
      <c r="I95" s="321"/>
      <c r="J95" s="321"/>
    </row>
    <row r="96" spans="2:28" ht="21.95" customHeight="1">
      <c r="B96" s="229" t="s">
        <v>155</v>
      </c>
      <c r="D96" s="275">
        <v>0.5</v>
      </c>
      <c r="E96" s="229"/>
      <c r="F96" s="229"/>
      <c r="G96" s="229"/>
      <c r="H96" s="229"/>
      <c r="I96" s="229"/>
      <c r="J96" s="229"/>
    </row>
    <row r="97" spans="2:10" ht="21.95" customHeight="1" thickBot="1">
      <c r="D97" s="229"/>
      <c r="E97" s="229"/>
      <c r="F97" s="229"/>
      <c r="G97" s="229"/>
      <c r="H97" s="229"/>
      <c r="I97" s="229"/>
      <c r="J97" s="229"/>
    </row>
    <row r="98" spans="2:10" ht="21.95" customHeight="1">
      <c r="B98" s="322" t="s">
        <v>156</v>
      </c>
      <c r="C98" s="323"/>
      <c r="D98" s="324">
        <v>2017</v>
      </c>
      <c r="E98" s="325">
        <v>2018</v>
      </c>
      <c r="F98" s="325">
        <v>2019</v>
      </c>
      <c r="G98" s="325">
        <v>2020</v>
      </c>
      <c r="H98" s="325">
        <v>2021</v>
      </c>
      <c r="I98" s="326">
        <v>2022</v>
      </c>
    </row>
    <row r="99" spans="2:10" ht="21.95" customHeight="1">
      <c r="B99" s="327" t="s">
        <v>157</v>
      </c>
      <c r="C99" s="234"/>
      <c r="D99" s="328">
        <f>-D89</f>
        <v>-1000000</v>
      </c>
      <c r="E99" s="266"/>
      <c r="F99" s="266">
        <v>0</v>
      </c>
      <c r="G99" s="266">
        <v>0</v>
      </c>
      <c r="H99" s="266">
        <v>0</v>
      </c>
      <c r="I99" s="329">
        <v>0</v>
      </c>
    </row>
    <row r="100" spans="2:10" ht="21.95" customHeight="1">
      <c r="B100" s="327" t="s">
        <v>158</v>
      </c>
      <c r="C100" s="234"/>
      <c r="D100" s="328">
        <f>CFS!$H$3*D90</f>
        <v>-29036.024999999998</v>
      </c>
      <c r="E100" s="328">
        <f>CFS!$M$3*D90</f>
        <v>-146851.51081730769</v>
      </c>
      <c r="F100" s="328">
        <f>CFS!$R$3*D90</f>
        <v>-162444.95471105198</v>
      </c>
      <c r="G100" s="328">
        <f>CFS!$W$3*$D$90</f>
        <v>100957.08088348017</v>
      </c>
      <c r="H100" s="328">
        <f>CFS!$AB$3*$D$90</f>
        <v>993082.43440265465</v>
      </c>
      <c r="I100" s="330">
        <f>CFS!$AG$3*$D$90</f>
        <v>3308520.3306351095</v>
      </c>
    </row>
    <row r="101" spans="2:10" ht="21.95" customHeight="1">
      <c r="B101" s="327" t="s">
        <v>159</v>
      </c>
      <c r="C101" s="234"/>
      <c r="D101" s="331"/>
      <c r="E101" s="331"/>
      <c r="F101" s="331"/>
      <c r="G101" s="331"/>
      <c r="H101" s="331"/>
      <c r="I101" s="330">
        <f>I100*(1+$D$95)/($D$96-$D$95)</f>
        <v>7719880.7714819219</v>
      </c>
    </row>
    <row r="102" spans="2:10" ht="21.95" customHeight="1" thickBot="1">
      <c r="B102" s="332" t="s">
        <v>160</v>
      </c>
      <c r="C102" s="333"/>
      <c r="D102" s="334">
        <f t="shared" ref="D102:I102" si="160">SUM(D99:D101)</f>
        <v>-1029036.025</v>
      </c>
      <c r="E102" s="334">
        <f t="shared" si="160"/>
        <v>-146851.51081730769</v>
      </c>
      <c r="F102" s="334">
        <f t="shared" si="160"/>
        <v>-162444.95471105198</v>
      </c>
      <c r="G102" s="334">
        <f t="shared" si="160"/>
        <v>100957.08088348017</v>
      </c>
      <c r="H102" s="334">
        <f t="shared" si="160"/>
        <v>993082.43440265465</v>
      </c>
      <c r="I102" s="335">
        <f t="shared" si="160"/>
        <v>11028401.102117032</v>
      </c>
    </row>
    <row r="103" spans="2:10" ht="21.95" customHeight="1">
      <c r="B103" s="336" t="s">
        <v>161</v>
      </c>
      <c r="D103" s="337">
        <f>D102+NPV(D96,E102:I102)</f>
        <v>479242.58438882942</v>
      </c>
      <c r="E103" s="338"/>
      <c r="F103" s="338"/>
      <c r="G103" s="338"/>
      <c r="H103" s="338"/>
      <c r="I103" s="338"/>
      <c r="J103" s="338"/>
    </row>
    <row r="104" spans="2:10" ht="21.95" customHeight="1">
      <c r="B104" s="339" t="s">
        <v>162</v>
      </c>
      <c r="C104" s="340"/>
      <c r="D104" s="341">
        <f>IRR(D102:I102)</f>
        <v>0.61249914908805336</v>
      </c>
      <c r="E104" s="342"/>
      <c r="F104" s="342"/>
      <c r="G104" s="328"/>
      <c r="H104" s="342"/>
      <c r="I104" s="342"/>
      <c r="J104" s="342"/>
    </row>
    <row r="105" spans="2:10" ht="21.95" customHeight="1" thickBot="1">
      <c r="D105" s="229"/>
      <c r="E105" s="229"/>
      <c r="F105" s="229"/>
      <c r="G105" s="229"/>
      <c r="H105" s="229"/>
      <c r="I105" s="229"/>
      <c r="J105" s="229"/>
    </row>
    <row r="106" spans="2:10" ht="21.95" customHeight="1">
      <c r="B106" s="322" t="s">
        <v>163</v>
      </c>
      <c r="C106" s="323"/>
      <c r="D106" s="324">
        <v>2017</v>
      </c>
      <c r="E106" s="325">
        <v>2018</v>
      </c>
      <c r="F106" s="325">
        <v>2019</v>
      </c>
      <c r="G106" s="325">
        <v>2020</v>
      </c>
      <c r="H106" s="325">
        <v>2021</v>
      </c>
      <c r="I106" s="326">
        <v>2022</v>
      </c>
    </row>
    <row r="107" spans="2:10" ht="21.95" customHeight="1">
      <c r="B107" s="327" t="s">
        <v>157</v>
      </c>
      <c r="C107" s="234"/>
      <c r="D107" s="328">
        <v>0</v>
      </c>
      <c r="E107" s="266">
        <f>-J89</f>
        <v>-4000000</v>
      </c>
      <c r="F107" s="266">
        <v>0</v>
      </c>
      <c r="G107" s="266">
        <v>0</v>
      </c>
      <c r="H107" s="266">
        <v>0</v>
      </c>
      <c r="I107" s="329">
        <v>0</v>
      </c>
    </row>
    <row r="108" spans="2:10" ht="21.95" customHeight="1">
      <c r="B108" s="327" t="s">
        <v>158</v>
      </c>
      <c r="C108" s="234"/>
      <c r="D108" s="328">
        <f>CFS!$H$3*J90</f>
        <v>-38714.700000000004</v>
      </c>
      <c r="E108" s="328">
        <f>CFS!$M$3*J90</f>
        <v>-195802.01442307694</v>
      </c>
      <c r="F108" s="328">
        <f>CFS!$R$3*J90</f>
        <v>-216593.27294806932</v>
      </c>
      <c r="G108" s="328">
        <f>CFS!$W$3*J90</f>
        <v>134609.44117797358</v>
      </c>
      <c r="H108" s="328">
        <f>CFS!$AB$3*J90</f>
        <v>1324109.912536873</v>
      </c>
      <c r="I108" s="330">
        <f>CFS!$AG$3*J90</f>
        <v>4411360.4408468129</v>
      </c>
    </row>
    <row r="109" spans="2:10" ht="21.95" customHeight="1">
      <c r="B109" s="327" t="s">
        <v>159</v>
      </c>
      <c r="C109" s="234"/>
      <c r="D109" s="331"/>
      <c r="E109" s="331"/>
      <c r="F109" s="331"/>
      <c r="G109" s="331"/>
      <c r="H109" s="331"/>
      <c r="I109" s="330">
        <f>I108*(1+$D$95)/($D$96-$D$95)</f>
        <v>10293174.361975897</v>
      </c>
    </row>
    <row r="110" spans="2:10" ht="21.95" customHeight="1" thickBot="1">
      <c r="B110" s="332" t="s">
        <v>160</v>
      </c>
      <c r="C110" s="333"/>
      <c r="D110" s="334">
        <f>SUM(D107:D109)</f>
        <v>-38714.700000000004</v>
      </c>
      <c r="E110" s="334">
        <f>SUM(E107:E109)</f>
        <v>-4195802.014423077</v>
      </c>
      <c r="F110" s="334">
        <f>SUM(F107:F109)</f>
        <v>-216593.27294806932</v>
      </c>
      <c r="G110" s="334">
        <f>SUM(G107:G109)</f>
        <v>134609.44117797358</v>
      </c>
      <c r="H110" s="334">
        <f t="shared" ref="H110" si="161">SUM(H107:H109)</f>
        <v>1324109.912536873</v>
      </c>
      <c r="I110" s="335">
        <f>SUM(I107:I109)</f>
        <v>14704534.802822709</v>
      </c>
    </row>
    <row r="111" spans="2:10" ht="21.95" customHeight="1">
      <c r="B111" s="336" t="s">
        <v>161</v>
      </c>
      <c r="D111" s="337">
        <f>SUM(D110:E110)+NPV(D96,F110:I110)</f>
        <v>-1022157.4812223408</v>
      </c>
      <c r="E111" s="338"/>
      <c r="F111" s="338"/>
      <c r="G111" s="338"/>
      <c r="H111" s="338"/>
      <c r="I111" s="338"/>
    </row>
    <row r="112" spans="2:10" ht="21.95" customHeight="1">
      <c r="B112" s="339" t="s">
        <v>162</v>
      </c>
      <c r="C112" s="340"/>
      <c r="D112" s="341">
        <f>IRR(D110:I110)</f>
        <v>0.39785951137949982</v>
      </c>
      <c r="E112" s="342"/>
      <c r="F112" s="342"/>
      <c r="G112" s="328"/>
      <c r="H112" s="342"/>
      <c r="I112" s="342"/>
    </row>
  </sheetData>
  <sheetProtection algorithmName="SHA-512" hashValue="c76Ohu5yeFmzBreQGs1o8fvJsK2Z3+2/UiedIlDBYq2zF98Z95EEtu8XsKvQcgqRJqxX457lfMuUixeLXo2Wtg==" saltValue="H1cK10xgo5gONQ3+2h7uAg==" spinCount="100000" sheet="1" objects="1" scenarios="1"/>
  <dataConsolidate/>
  <mergeCells count="1">
    <mergeCell ref="A1:C1"/>
  </mergeCells>
  <pageMargins left="0.7" right="0.7" top="0.75" bottom="0.75" header="0.3" footer="0.3"/>
  <pageSetup paperSize="9" orientation="portrait" horizontalDpi="1200" verticalDpi="1200"/>
  <ignoredErrors>
    <ignoredError sqref="U74:X74 K64 M64:X64 K60:X60" formula="1"/>
    <ignoredError sqref="K7:X7 K24:X24 T25:V25 P25:R25 L25:N25 K25 O25 S25 W25:X25 X8 T8:V8 P8:R8 L8:N8 K8 O8 S8 W8" formulaRange="1"/>
    <ignoredError sqref="L64" formula="1" emptyCellReference="1"/>
    <ignoredError sqref="I72:P72 E64:G64 E63:G63 E60:G60 I74 E66:G66 E68:G68 F59:G59 E58:G58 E61:G61 E62:G62 E65:G65 L68 K75:P75 K57:P57 K71:P71 N68:P68" emptyCellReference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2:AA156"/>
  <sheetViews>
    <sheetView showGridLines="0" zoomScale="80" zoomScaleNormal="80" workbookViewId="0">
      <pane xSplit="3" ySplit="3" topLeftCell="D138" activePane="bottomRight" state="frozen"/>
      <selection pane="bottomRight" activeCell="B1" sqref="B1"/>
      <selection pane="bottomLeft" activeCell="A3" sqref="A3"/>
      <selection pane="topRight" activeCell="D1" sqref="D1"/>
    </sheetView>
  </sheetViews>
  <sheetFormatPr defaultColWidth="8.85546875" defaultRowHeight="18.95" customHeight="1" outlineLevelRow="1"/>
  <cols>
    <col min="1" max="1" width="2" style="343" customWidth="1"/>
    <col min="2" max="2" width="2.28515625" style="343" customWidth="1"/>
    <col min="3" max="3" width="32.85546875" style="343" customWidth="1"/>
    <col min="4" max="9" width="8.140625" style="343" customWidth="1"/>
    <col min="10" max="10" width="10.7109375" style="343" customWidth="1"/>
    <col min="11" max="11" width="9.42578125" style="343" customWidth="1"/>
    <col min="12" max="23" width="9.140625" style="343" bestFit="1" customWidth="1"/>
    <col min="24" max="24" width="8.85546875" style="343"/>
    <col min="25" max="26" width="10" style="343" bestFit="1" customWidth="1"/>
    <col min="27" max="16384" width="8.85546875" style="343"/>
  </cols>
  <sheetData>
    <row r="2" spans="1:27" ht="18.95" customHeight="1">
      <c r="B2" s="344" t="s">
        <v>164</v>
      </c>
      <c r="C2" s="345"/>
      <c r="D2" s="198" t="s">
        <v>53</v>
      </c>
      <c r="E2" s="198" t="s">
        <v>54</v>
      </c>
      <c r="F2" s="198" t="s">
        <v>55</v>
      </c>
      <c r="G2" s="198" t="s">
        <v>56</v>
      </c>
      <c r="H2" s="198" t="s">
        <v>57</v>
      </c>
      <c r="I2" s="198" t="s">
        <v>58</v>
      </c>
      <c r="J2" s="198" t="s">
        <v>59</v>
      </c>
      <c r="K2" s="198" t="s">
        <v>60</v>
      </c>
      <c r="L2" s="198" t="s">
        <v>61</v>
      </c>
      <c r="M2" s="198" t="s">
        <v>62</v>
      </c>
      <c r="N2" s="198" t="s">
        <v>63</v>
      </c>
      <c r="O2" s="198" t="s">
        <v>64</v>
      </c>
      <c r="P2" s="198" t="s">
        <v>65</v>
      </c>
      <c r="Q2" s="198" t="s">
        <v>66</v>
      </c>
      <c r="R2" s="198" t="s">
        <v>67</v>
      </c>
      <c r="S2" s="198" t="s">
        <v>68</v>
      </c>
      <c r="T2" s="198" t="s">
        <v>69</v>
      </c>
      <c r="U2" s="198" t="s">
        <v>70</v>
      </c>
      <c r="V2" s="198" t="s">
        <v>71</v>
      </c>
      <c r="W2" s="198" t="s">
        <v>72</v>
      </c>
      <c r="X2" s="198" t="s">
        <v>76</v>
      </c>
      <c r="Y2" s="198" t="s">
        <v>165</v>
      </c>
      <c r="Z2" s="198" t="s">
        <v>166</v>
      </c>
      <c r="AA2" s="198" t="s">
        <v>167</v>
      </c>
    </row>
    <row r="3" spans="1:27" ht="18.95" customHeight="1">
      <c r="A3" s="346"/>
      <c r="D3" s="347"/>
      <c r="E3" s="347"/>
      <c r="F3" s="347"/>
      <c r="G3" s="347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</row>
    <row r="4" spans="1:27" ht="18.95" customHeight="1">
      <c r="A4" s="346"/>
      <c r="B4" s="349" t="s">
        <v>168</v>
      </c>
      <c r="C4" s="350"/>
      <c r="D4" s="351">
        <v>3.5000000000000003E-2</v>
      </c>
      <c r="G4" s="347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</row>
    <row r="5" spans="1:27" ht="18.95" customHeight="1">
      <c r="A5" s="346"/>
      <c r="B5" s="349"/>
      <c r="C5" s="350"/>
      <c r="D5" s="350"/>
      <c r="F5" s="352"/>
      <c r="G5" s="347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</row>
    <row r="6" spans="1:27" ht="18.95" customHeight="1">
      <c r="B6" s="353" t="s">
        <v>169</v>
      </c>
      <c r="C6" s="354"/>
      <c r="D6" s="355"/>
      <c r="E6" s="355"/>
      <c r="F6" s="356"/>
      <c r="G6" s="357"/>
      <c r="H6" s="358"/>
      <c r="I6" s="358"/>
      <c r="J6" s="358"/>
      <c r="K6" s="358"/>
      <c r="L6" s="358"/>
      <c r="M6" s="359"/>
      <c r="N6" s="359"/>
      <c r="O6" s="359"/>
      <c r="P6" s="359"/>
      <c r="Q6" s="359"/>
      <c r="R6" s="359"/>
      <c r="S6" s="359"/>
      <c r="T6" s="360"/>
      <c r="U6" s="358"/>
      <c r="V6" s="358"/>
      <c r="W6" s="358"/>
      <c r="X6" s="358"/>
      <c r="Y6" s="358"/>
      <c r="Z6" s="358"/>
      <c r="AA6" s="358"/>
    </row>
    <row r="7" spans="1:27" ht="18.95" customHeight="1">
      <c r="B7" s="353"/>
      <c r="C7" s="353" t="s">
        <v>170</v>
      </c>
      <c r="D7" s="355"/>
      <c r="E7" s="355"/>
      <c r="F7" s="355"/>
      <c r="G7" s="357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60"/>
      <c r="U7" s="358"/>
      <c r="V7" s="358"/>
      <c r="W7" s="358"/>
      <c r="X7" s="358"/>
      <c r="Y7" s="358"/>
      <c r="Z7" s="358"/>
      <c r="AA7" s="358"/>
    </row>
    <row r="8" spans="1:27" ht="18.95" customHeight="1">
      <c r="A8" s="347"/>
      <c r="B8" s="354"/>
      <c r="C8" s="361" t="s">
        <v>171</v>
      </c>
      <c r="D8" s="357">
        <v>0</v>
      </c>
      <c r="E8" s="357">
        <v>0</v>
      </c>
      <c r="F8" s="357">
        <v>0</v>
      </c>
      <c r="G8" s="357">
        <v>0</v>
      </c>
      <c r="H8" s="357">
        <v>0</v>
      </c>
      <c r="I8" s="357">
        <v>0</v>
      </c>
      <c r="J8" s="357">
        <v>12500</v>
      </c>
      <c r="K8" s="362">
        <f>J8</f>
        <v>12500</v>
      </c>
      <c r="L8" s="357">
        <v>35000</v>
      </c>
      <c r="M8" s="357">
        <f>L8</f>
        <v>35000</v>
      </c>
      <c r="N8" s="357">
        <f>M8</f>
        <v>35000</v>
      </c>
      <c r="O8" s="357">
        <f>N8</f>
        <v>35000</v>
      </c>
      <c r="P8" s="357">
        <f>L8*(1+$D$4)</f>
        <v>36225</v>
      </c>
      <c r="Q8" s="357">
        <f>$P$8</f>
        <v>36225</v>
      </c>
      <c r="R8" s="357">
        <f>$P$8</f>
        <v>36225</v>
      </c>
      <c r="S8" s="357">
        <f>$P$8</f>
        <v>36225</v>
      </c>
      <c r="T8" s="357">
        <f>P8*(1+$D$4)</f>
        <v>37492.875</v>
      </c>
      <c r="U8" s="357">
        <f>$P$8</f>
        <v>36225</v>
      </c>
      <c r="V8" s="357">
        <f>$P$8</f>
        <v>36225</v>
      </c>
      <c r="W8" s="357">
        <f>$P$8</f>
        <v>36225</v>
      </c>
      <c r="X8" s="357">
        <f t="shared" ref="X8:AA8" si="0">$P$8</f>
        <v>36225</v>
      </c>
      <c r="Y8" s="357">
        <f t="shared" si="0"/>
        <v>36225</v>
      </c>
      <c r="Z8" s="357">
        <f t="shared" si="0"/>
        <v>36225</v>
      </c>
      <c r="AA8" s="357">
        <f t="shared" si="0"/>
        <v>36225</v>
      </c>
    </row>
    <row r="9" spans="1:27" ht="18.95" customHeight="1">
      <c r="A9" s="347"/>
      <c r="B9" s="354"/>
      <c r="C9" s="361" t="s">
        <v>172</v>
      </c>
      <c r="D9" s="357">
        <v>0</v>
      </c>
      <c r="E9" s="357">
        <v>0</v>
      </c>
      <c r="F9" s="357">
        <v>0</v>
      </c>
      <c r="G9" s="357">
        <v>0</v>
      </c>
      <c r="H9" s="357">
        <v>0</v>
      </c>
      <c r="I9" s="357">
        <v>0</v>
      </c>
      <c r="J9" s="357">
        <v>12500</v>
      </c>
      <c r="K9" s="362">
        <f>J9</f>
        <v>12500</v>
      </c>
      <c r="L9" s="357">
        <v>40000</v>
      </c>
      <c r="M9" s="357">
        <f>L9</f>
        <v>40000</v>
      </c>
      <c r="N9" s="357">
        <f t="shared" ref="N9:O9" si="1">M9</f>
        <v>40000</v>
      </c>
      <c r="O9" s="357">
        <f t="shared" si="1"/>
        <v>40000</v>
      </c>
      <c r="P9" s="357">
        <f>L9*(1+$D$4)</f>
        <v>41400</v>
      </c>
      <c r="Q9" s="357">
        <f>P9</f>
        <v>41400</v>
      </c>
      <c r="R9" s="357">
        <f t="shared" ref="R9:S25" si="2">Q9</f>
        <v>41400</v>
      </c>
      <c r="S9" s="357">
        <f t="shared" si="2"/>
        <v>41400</v>
      </c>
      <c r="T9" s="357">
        <f>P9*(1+$D$4)</f>
        <v>42849</v>
      </c>
      <c r="U9" s="357">
        <f>T9</f>
        <v>42849</v>
      </c>
      <c r="V9" s="357">
        <f t="shared" ref="V9:V10" si="3">U9</f>
        <v>42849</v>
      </c>
      <c r="W9" s="357">
        <f t="shared" ref="W9:W10" si="4">V9</f>
        <v>42849</v>
      </c>
      <c r="X9" s="357">
        <f t="shared" ref="X9:X10" si="5">W9</f>
        <v>42849</v>
      </c>
      <c r="Y9" s="357">
        <f t="shared" ref="Y9:Y10" si="6">X9</f>
        <v>42849</v>
      </c>
      <c r="Z9" s="357">
        <f t="shared" ref="Z9:Z10" si="7">Y9</f>
        <v>42849</v>
      </c>
      <c r="AA9" s="357">
        <f t="shared" ref="AA9:AA10" si="8">Z9</f>
        <v>42849</v>
      </c>
    </row>
    <row r="10" spans="1:27" ht="18.95" customHeight="1">
      <c r="A10" s="347"/>
      <c r="B10" s="354"/>
      <c r="C10" s="361" t="s">
        <v>173</v>
      </c>
      <c r="D10" s="357">
        <v>0</v>
      </c>
      <c r="E10" s="357">
        <v>0</v>
      </c>
      <c r="F10" s="357">
        <v>0</v>
      </c>
      <c r="G10" s="357">
        <v>0</v>
      </c>
      <c r="H10" s="357">
        <v>0</v>
      </c>
      <c r="I10" s="357">
        <v>0</v>
      </c>
      <c r="J10" s="357">
        <v>0</v>
      </c>
      <c r="K10" s="362">
        <v>0</v>
      </c>
      <c r="L10" s="357">
        <v>0</v>
      </c>
      <c r="M10" s="357">
        <f>L10</f>
        <v>0</v>
      </c>
      <c r="N10" s="357">
        <f>M10</f>
        <v>0</v>
      </c>
      <c r="O10" s="357">
        <f t="shared" ref="O10" si="9">N10</f>
        <v>0</v>
      </c>
      <c r="P10" s="357">
        <f>M10*(1+$D$4)</f>
        <v>0</v>
      </c>
      <c r="Q10" s="357">
        <f>P10</f>
        <v>0</v>
      </c>
      <c r="R10" s="357">
        <f t="shared" si="2"/>
        <v>0</v>
      </c>
      <c r="S10" s="357">
        <f t="shared" si="2"/>
        <v>0</v>
      </c>
      <c r="T10" s="357">
        <f>P10*(1+$D$4)</f>
        <v>0</v>
      </c>
      <c r="U10" s="357">
        <f>T10</f>
        <v>0</v>
      </c>
      <c r="V10" s="357">
        <f t="shared" si="3"/>
        <v>0</v>
      </c>
      <c r="W10" s="357">
        <f t="shared" si="4"/>
        <v>0</v>
      </c>
      <c r="X10" s="357">
        <f t="shared" si="5"/>
        <v>0</v>
      </c>
      <c r="Y10" s="357">
        <f t="shared" si="6"/>
        <v>0</v>
      </c>
      <c r="Z10" s="357">
        <f t="shared" si="7"/>
        <v>0</v>
      </c>
      <c r="AA10" s="357">
        <f t="shared" si="8"/>
        <v>0</v>
      </c>
    </row>
    <row r="11" spans="1:27" ht="18.95" customHeight="1">
      <c r="A11" s="347"/>
      <c r="B11" s="358"/>
      <c r="C11" s="353" t="s">
        <v>174</v>
      </c>
      <c r="D11" s="357"/>
      <c r="E11" s="357"/>
      <c r="F11" s="357"/>
      <c r="G11" s="357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</row>
    <row r="12" spans="1:27" ht="18.95" customHeight="1">
      <c r="A12" s="347"/>
      <c r="B12" s="354"/>
      <c r="C12" s="361" t="s">
        <v>175</v>
      </c>
      <c r="D12" s="357">
        <v>0</v>
      </c>
      <c r="E12" s="357">
        <v>0</v>
      </c>
      <c r="F12" s="357">
        <v>0</v>
      </c>
      <c r="G12" s="357">
        <v>0</v>
      </c>
      <c r="H12" s="357">
        <f>G12</f>
        <v>0</v>
      </c>
      <c r="I12" s="359">
        <f>H12</f>
        <v>0</v>
      </c>
      <c r="J12" s="359">
        <f t="shared" ref="J12:K12" si="10">I12</f>
        <v>0</v>
      </c>
      <c r="K12" s="359">
        <f t="shared" si="10"/>
        <v>0</v>
      </c>
      <c r="L12" s="357">
        <f>K12*(1+$D$4)</f>
        <v>0</v>
      </c>
      <c r="M12" s="357">
        <f t="shared" ref="M12" si="11">L12</f>
        <v>0</v>
      </c>
      <c r="N12" s="357">
        <f>M12</f>
        <v>0</v>
      </c>
      <c r="O12" s="357">
        <f>N12</f>
        <v>0</v>
      </c>
      <c r="P12" s="357">
        <v>0</v>
      </c>
      <c r="Q12" s="357">
        <f t="shared" ref="Q12:Q25" si="12">P12</f>
        <v>0</v>
      </c>
      <c r="R12" s="357">
        <f t="shared" si="2"/>
        <v>0</v>
      </c>
      <c r="S12" s="357">
        <f t="shared" si="2"/>
        <v>0</v>
      </c>
      <c r="T12" s="357">
        <v>0</v>
      </c>
      <c r="U12" s="357">
        <f t="shared" ref="U12:U17" si="13">T12</f>
        <v>0</v>
      </c>
      <c r="V12" s="357">
        <f t="shared" ref="V12:V17" si="14">U12</f>
        <v>0</v>
      </c>
      <c r="W12" s="357">
        <f t="shared" ref="W12:W17" si="15">V12</f>
        <v>0</v>
      </c>
      <c r="X12" s="357">
        <f t="shared" ref="X12:X25" si="16">W12</f>
        <v>0</v>
      </c>
      <c r="Y12" s="357">
        <f t="shared" ref="Y12:Y25" si="17">X12</f>
        <v>0</v>
      </c>
      <c r="Z12" s="357">
        <f t="shared" ref="Z12:Z25" si="18">Y12</f>
        <v>0</v>
      </c>
      <c r="AA12" s="357">
        <f t="shared" ref="AA12:AA25" si="19">Z12</f>
        <v>0</v>
      </c>
    </row>
    <row r="13" spans="1:27" ht="18.95" customHeight="1">
      <c r="A13" s="347"/>
      <c r="B13" s="354"/>
      <c r="C13" s="361" t="s">
        <v>176</v>
      </c>
      <c r="D13" s="363">
        <v>0</v>
      </c>
      <c r="E13" s="363">
        <v>0</v>
      </c>
      <c r="F13" s="363">
        <v>0</v>
      </c>
      <c r="G13" s="363">
        <v>0</v>
      </c>
      <c r="H13" s="359">
        <v>0</v>
      </c>
      <c r="I13" s="359">
        <v>0</v>
      </c>
      <c r="J13" s="359">
        <v>40000</v>
      </c>
      <c r="K13" s="362">
        <f>J13</f>
        <v>40000</v>
      </c>
      <c r="L13" s="357">
        <f>K13*(D4+1)</f>
        <v>41400</v>
      </c>
      <c r="M13" s="359">
        <f>L13</f>
        <v>41400</v>
      </c>
      <c r="N13" s="359">
        <f t="shared" ref="N13:O25" si="20">M13</f>
        <v>41400</v>
      </c>
      <c r="O13" s="359">
        <f t="shared" si="20"/>
        <v>41400</v>
      </c>
      <c r="P13" s="357">
        <f>O13*($D$4+1)</f>
        <v>42849</v>
      </c>
      <c r="Q13" s="357">
        <f t="shared" si="12"/>
        <v>42849</v>
      </c>
      <c r="R13" s="357">
        <f t="shared" si="2"/>
        <v>42849</v>
      </c>
      <c r="S13" s="357">
        <f t="shared" si="2"/>
        <v>42849</v>
      </c>
      <c r="T13" s="357">
        <f>P13*(1+$D$4)</f>
        <v>44348.714999999997</v>
      </c>
      <c r="U13" s="357">
        <f t="shared" si="13"/>
        <v>44348.714999999997</v>
      </c>
      <c r="V13" s="357">
        <f t="shared" si="14"/>
        <v>44348.714999999997</v>
      </c>
      <c r="W13" s="357">
        <f t="shared" si="15"/>
        <v>44348.714999999997</v>
      </c>
      <c r="X13" s="357">
        <f t="shared" si="16"/>
        <v>44348.714999999997</v>
      </c>
      <c r="Y13" s="357">
        <f t="shared" si="17"/>
        <v>44348.714999999997</v>
      </c>
      <c r="Z13" s="357">
        <f t="shared" si="18"/>
        <v>44348.714999999997</v>
      </c>
      <c r="AA13" s="357">
        <f t="shared" si="19"/>
        <v>44348.714999999997</v>
      </c>
    </row>
    <row r="14" spans="1:27" ht="18.95" customHeight="1" outlineLevel="1">
      <c r="A14" s="347"/>
      <c r="B14" s="354"/>
      <c r="C14" s="364" t="s">
        <v>177</v>
      </c>
      <c r="D14" s="359">
        <v>0</v>
      </c>
      <c r="E14" s="359">
        <v>0</v>
      </c>
      <c r="F14" s="359">
        <f>E14</f>
        <v>0</v>
      </c>
      <c r="G14" s="359">
        <f t="shared" ref="G14" si="21">F14</f>
        <v>0</v>
      </c>
      <c r="H14" s="359">
        <f t="shared" ref="H14" si="22">G14</f>
        <v>0</v>
      </c>
      <c r="I14" s="359">
        <f>H14</f>
        <v>0</v>
      </c>
      <c r="J14" s="365">
        <v>2</v>
      </c>
      <c r="K14" s="365">
        <v>2</v>
      </c>
      <c r="L14" s="365">
        <v>2</v>
      </c>
      <c r="M14" s="365">
        <v>2</v>
      </c>
      <c r="N14" s="365">
        <v>2</v>
      </c>
      <c r="O14" s="365">
        <f>N14</f>
        <v>2</v>
      </c>
      <c r="P14" s="365">
        <f>O14</f>
        <v>2</v>
      </c>
      <c r="Q14" s="365">
        <f>P14</f>
        <v>2</v>
      </c>
      <c r="R14" s="365">
        <v>3</v>
      </c>
      <c r="S14" s="365">
        <f t="shared" si="2"/>
        <v>3</v>
      </c>
      <c r="T14" s="365">
        <v>4</v>
      </c>
      <c r="U14" s="365">
        <f t="shared" si="13"/>
        <v>4</v>
      </c>
      <c r="V14" s="365">
        <f t="shared" si="14"/>
        <v>4</v>
      </c>
      <c r="W14" s="365">
        <f t="shared" si="15"/>
        <v>4</v>
      </c>
      <c r="X14" s="365">
        <f t="shared" si="16"/>
        <v>4</v>
      </c>
      <c r="Y14" s="365">
        <f t="shared" si="17"/>
        <v>4</v>
      </c>
      <c r="Z14" s="365">
        <f t="shared" si="18"/>
        <v>4</v>
      </c>
      <c r="AA14" s="365">
        <f t="shared" si="19"/>
        <v>4</v>
      </c>
    </row>
    <row r="15" spans="1:27" ht="18.95" customHeight="1">
      <c r="A15" s="347"/>
      <c r="B15" s="354"/>
      <c r="C15" s="361" t="s">
        <v>178</v>
      </c>
      <c r="D15" s="363">
        <v>0</v>
      </c>
      <c r="E15" s="363">
        <v>0</v>
      </c>
      <c r="F15" s="363">
        <v>0</v>
      </c>
      <c r="G15" s="357">
        <v>0</v>
      </c>
      <c r="H15" s="357">
        <f>G15</f>
        <v>0</v>
      </c>
      <c r="I15" s="357">
        <f>H15</f>
        <v>0</v>
      </c>
      <c r="J15" s="357">
        <v>30000</v>
      </c>
      <c r="K15" s="362">
        <f>J15</f>
        <v>30000</v>
      </c>
      <c r="L15" s="357">
        <f>K15*(1+$D$4)</f>
        <v>31049.999999999996</v>
      </c>
      <c r="M15" s="357">
        <f t="shared" ref="M15:M25" si="23">L15</f>
        <v>31049.999999999996</v>
      </c>
      <c r="N15" s="357">
        <f t="shared" si="20"/>
        <v>31049.999999999996</v>
      </c>
      <c r="O15" s="357">
        <f t="shared" si="20"/>
        <v>31049.999999999996</v>
      </c>
      <c r="P15" s="357">
        <f>O15*(1+$D$4)</f>
        <v>32136.749999999993</v>
      </c>
      <c r="Q15" s="357">
        <f t="shared" si="12"/>
        <v>32136.749999999993</v>
      </c>
      <c r="R15" s="357">
        <f t="shared" si="2"/>
        <v>32136.749999999993</v>
      </c>
      <c r="S15" s="357">
        <f t="shared" si="2"/>
        <v>32136.749999999993</v>
      </c>
      <c r="T15" s="357">
        <f>P15*(1+$D$4)</f>
        <v>33261.53624999999</v>
      </c>
      <c r="U15" s="357">
        <f t="shared" si="13"/>
        <v>33261.53624999999</v>
      </c>
      <c r="V15" s="357">
        <f t="shared" si="14"/>
        <v>33261.53624999999</v>
      </c>
      <c r="W15" s="357">
        <f t="shared" si="15"/>
        <v>33261.53624999999</v>
      </c>
      <c r="X15" s="357">
        <f t="shared" si="16"/>
        <v>33261.53624999999</v>
      </c>
      <c r="Y15" s="357">
        <f t="shared" si="17"/>
        <v>33261.53624999999</v>
      </c>
      <c r="Z15" s="357">
        <f t="shared" si="18"/>
        <v>33261.53624999999</v>
      </c>
      <c r="AA15" s="357">
        <f t="shared" si="19"/>
        <v>33261.53624999999</v>
      </c>
    </row>
    <row r="16" spans="1:27" ht="18.95" customHeight="1" outlineLevel="1">
      <c r="A16" s="347"/>
      <c r="B16" s="354"/>
      <c r="C16" s="364" t="s">
        <v>179</v>
      </c>
      <c r="D16" s="357">
        <v>0</v>
      </c>
      <c r="E16" s="357">
        <v>0</v>
      </c>
      <c r="F16" s="357">
        <v>0</v>
      </c>
      <c r="G16" s="357">
        <v>0</v>
      </c>
      <c r="H16" s="357">
        <v>0</v>
      </c>
      <c r="I16" s="357">
        <v>0</v>
      </c>
      <c r="J16" s="365">
        <v>2</v>
      </c>
      <c r="K16" s="365">
        <f>J16</f>
        <v>2</v>
      </c>
      <c r="L16" s="365">
        <f>K16</f>
        <v>2</v>
      </c>
      <c r="M16" s="365">
        <v>1.5</v>
      </c>
      <c r="N16" s="365">
        <f>M16</f>
        <v>1.5</v>
      </c>
      <c r="O16" s="365">
        <f>N16</f>
        <v>1.5</v>
      </c>
      <c r="P16" s="365">
        <v>2</v>
      </c>
      <c r="Q16" s="365">
        <f>P16</f>
        <v>2</v>
      </c>
      <c r="R16" s="365">
        <v>3</v>
      </c>
      <c r="S16" s="365">
        <f t="shared" si="2"/>
        <v>3</v>
      </c>
      <c r="T16" s="365">
        <v>4</v>
      </c>
      <c r="U16" s="365">
        <f t="shared" si="13"/>
        <v>4</v>
      </c>
      <c r="V16" s="365">
        <f t="shared" si="14"/>
        <v>4</v>
      </c>
      <c r="W16" s="365">
        <f t="shared" si="15"/>
        <v>4</v>
      </c>
      <c r="X16" s="365">
        <f t="shared" si="16"/>
        <v>4</v>
      </c>
      <c r="Y16" s="365">
        <f t="shared" si="17"/>
        <v>4</v>
      </c>
      <c r="Z16" s="365">
        <f t="shared" si="18"/>
        <v>4</v>
      </c>
      <c r="AA16" s="365">
        <f t="shared" si="19"/>
        <v>4</v>
      </c>
    </row>
    <row r="17" spans="1:27" s="369" customFormat="1" ht="18.95" customHeight="1">
      <c r="A17" s="366"/>
      <c r="B17" s="367"/>
      <c r="C17" s="368" t="s">
        <v>180</v>
      </c>
      <c r="D17" s="363">
        <v>0</v>
      </c>
      <c r="E17" s="357">
        <f t="shared" ref="E17:Q17" si="24">D17</f>
        <v>0</v>
      </c>
      <c r="F17" s="357">
        <f t="shared" si="24"/>
        <v>0</v>
      </c>
      <c r="G17" s="357">
        <f t="shared" si="24"/>
        <v>0</v>
      </c>
      <c r="H17" s="357">
        <f t="shared" si="24"/>
        <v>0</v>
      </c>
      <c r="I17" s="357">
        <f t="shared" si="24"/>
        <v>0</v>
      </c>
      <c r="J17" s="357">
        <f t="shared" si="24"/>
        <v>0</v>
      </c>
      <c r="K17" s="357">
        <f t="shared" si="24"/>
        <v>0</v>
      </c>
      <c r="L17" s="357">
        <f t="shared" si="24"/>
        <v>0</v>
      </c>
      <c r="M17" s="357">
        <f t="shared" si="24"/>
        <v>0</v>
      </c>
      <c r="N17" s="357">
        <f t="shared" si="24"/>
        <v>0</v>
      </c>
      <c r="O17" s="357">
        <f t="shared" si="24"/>
        <v>0</v>
      </c>
      <c r="P17" s="357">
        <f t="shared" si="24"/>
        <v>0</v>
      </c>
      <c r="Q17" s="357">
        <f t="shared" si="24"/>
        <v>0</v>
      </c>
      <c r="R17" s="357">
        <v>37500</v>
      </c>
      <c r="S17" s="357">
        <f t="shared" si="2"/>
        <v>37500</v>
      </c>
      <c r="T17" s="357">
        <f>S17*(1+$D$4)</f>
        <v>38812.5</v>
      </c>
      <c r="U17" s="357">
        <f t="shared" si="13"/>
        <v>38812.5</v>
      </c>
      <c r="V17" s="357">
        <f t="shared" si="14"/>
        <v>38812.5</v>
      </c>
      <c r="W17" s="357">
        <f t="shared" si="15"/>
        <v>38812.5</v>
      </c>
      <c r="X17" s="357">
        <f t="shared" si="16"/>
        <v>38812.5</v>
      </c>
      <c r="Y17" s="357">
        <f t="shared" si="17"/>
        <v>38812.5</v>
      </c>
      <c r="Z17" s="357">
        <f t="shared" si="18"/>
        <v>38812.5</v>
      </c>
      <c r="AA17" s="357">
        <f t="shared" si="19"/>
        <v>38812.5</v>
      </c>
    </row>
    <row r="18" spans="1:27" ht="18.95" customHeight="1">
      <c r="A18" s="347"/>
      <c r="B18" s="354"/>
      <c r="C18" s="361" t="s">
        <v>181</v>
      </c>
      <c r="D18" s="357">
        <v>0</v>
      </c>
      <c r="E18" s="357">
        <f t="shared" ref="E18:Q18" si="25">D18</f>
        <v>0</v>
      </c>
      <c r="F18" s="357">
        <f t="shared" si="25"/>
        <v>0</v>
      </c>
      <c r="G18" s="357">
        <f t="shared" si="25"/>
        <v>0</v>
      </c>
      <c r="H18" s="357">
        <f t="shared" si="25"/>
        <v>0</v>
      </c>
      <c r="I18" s="357">
        <f t="shared" si="25"/>
        <v>0</v>
      </c>
      <c r="J18" s="357">
        <f t="shared" si="25"/>
        <v>0</v>
      </c>
      <c r="K18" s="357">
        <f t="shared" si="25"/>
        <v>0</v>
      </c>
      <c r="L18" s="357">
        <f t="shared" si="25"/>
        <v>0</v>
      </c>
      <c r="M18" s="357">
        <f t="shared" si="25"/>
        <v>0</v>
      </c>
      <c r="N18" s="357">
        <f t="shared" si="25"/>
        <v>0</v>
      </c>
      <c r="O18" s="357">
        <f t="shared" si="25"/>
        <v>0</v>
      </c>
      <c r="P18" s="357">
        <f t="shared" si="25"/>
        <v>0</v>
      </c>
      <c r="Q18" s="357">
        <f t="shared" si="25"/>
        <v>0</v>
      </c>
      <c r="R18" s="357">
        <f t="shared" ref="R18:W18" si="26">Q18</f>
        <v>0</v>
      </c>
      <c r="S18" s="357">
        <f t="shared" si="26"/>
        <v>0</v>
      </c>
      <c r="T18" s="357">
        <f t="shared" si="26"/>
        <v>0</v>
      </c>
      <c r="U18" s="357">
        <f t="shared" si="26"/>
        <v>0</v>
      </c>
      <c r="V18" s="357">
        <f t="shared" si="26"/>
        <v>0</v>
      </c>
      <c r="W18" s="357">
        <f t="shared" si="26"/>
        <v>0</v>
      </c>
      <c r="X18" s="357">
        <f t="shared" si="16"/>
        <v>0</v>
      </c>
      <c r="Y18" s="357">
        <f t="shared" si="17"/>
        <v>0</v>
      </c>
      <c r="Z18" s="357">
        <f t="shared" si="18"/>
        <v>0</v>
      </c>
      <c r="AA18" s="357">
        <f t="shared" si="19"/>
        <v>0</v>
      </c>
    </row>
    <row r="19" spans="1:27" ht="18.95" customHeight="1">
      <c r="A19" s="347"/>
      <c r="B19" s="354"/>
      <c r="C19" s="361" t="s">
        <v>182</v>
      </c>
      <c r="D19" s="357">
        <v>0</v>
      </c>
      <c r="E19" s="357">
        <f t="shared" ref="E19:W19" si="27">D19</f>
        <v>0</v>
      </c>
      <c r="F19" s="357">
        <f t="shared" si="27"/>
        <v>0</v>
      </c>
      <c r="G19" s="357">
        <f t="shared" si="27"/>
        <v>0</v>
      </c>
      <c r="H19" s="357">
        <f t="shared" si="27"/>
        <v>0</v>
      </c>
      <c r="I19" s="357">
        <f t="shared" si="27"/>
        <v>0</v>
      </c>
      <c r="J19" s="357">
        <f t="shared" si="27"/>
        <v>0</v>
      </c>
      <c r="K19" s="357">
        <f t="shared" si="27"/>
        <v>0</v>
      </c>
      <c r="L19" s="357">
        <f t="shared" si="27"/>
        <v>0</v>
      </c>
      <c r="M19" s="357">
        <f t="shared" si="27"/>
        <v>0</v>
      </c>
      <c r="N19" s="357">
        <f t="shared" si="27"/>
        <v>0</v>
      </c>
      <c r="O19" s="357">
        <f t="shared" si="27"/>
        <v>0</v>
      </c>
      <c r="P19" s="357">
        <f t="shared" si="27"/>
        <v>0</v>
      </c>
      <c r="Q19" s="357">
        <f t="shared" si="27"/>
        <v>0</v>
      </c>
      <c r="R19" s="357">
        <f t="shared" si="27"/>
        <v>0</v>
      </c>
      <c r="S19" s="357">
        <f t="shared" si="27"/>
        <v>0</v>
      </c>
      <c r="T19" s="357">
        <f t="shared" si="27"/>
        <v>0</v>
      </c>
      <c r="U19" s="357">
        <f t="shared" si="27"/>
        <v>0</v>
      </c>
      <c r="V19" s="357">
        <f t="shared" si="27"/>
        <v>0</v>
      </c>
      <c r="W19" s="357">
        <f t="shared" si="27"/>
        <v>0</v>
      </c>
      <c r="X19" s="357">
        <f t="shared" si="16"/>
        <v>0</v>
      </c>
      <c r="Y19" s="357">
        <f t="shared" si="17"/>
        <v>0</v>
      </c>
      <c r="Z19" s="357">
        <f t="shared" si="18"/>
        <v>0</v>
      </c>
      <c r="AA19" s="357">
        <f t="shared" si="19"/>
        <v>0</v>
      </c>
    </row>
    <row r="20" spans="1:27" ht="18.95" customHeight="1">
      <c r="A20" s="347"/>
      <c r="B20" s="354"/>
      <c r="C20" s="361" t="s">
        <v>183</v>
      </c>
      <c r="D20" s="357">
        <v>0</v>
      </c>
      <c r="E20" s="357">
        <f t="shared" ref="E20:W20" si="28">D20</f>
        <v>0</v>
      </c>
      <c r="F20" s="357">
        <f t="shared" si="28"/>
        <v>0</v>
      </c>
      <c r="G20" s="357">
        <f t="shared" si="28"/>
        <v>0</v>
      </c>
      <c r="H20" s="357">
        <f t="shared" si="28"/>
        <v>0</v>
      </c>
      <c r="I20" s="357">
        <f t="shared" si="28"/>
        <v>0</v>
      </c>
      <c r="J20" s="357">
        <f t="shared" si="28"/>
        <v>0</v>
      </c>
      <c r="K20" s="357">
        <f t="shared" si="28"/>
        <v>0</v>
      </c>
      <c r="L20" s="357">
        <f t="shared" si="28"/>
        <v>0</v>
      </c>
      <c r="M20" s="357">
        <f t="shared" si="28"/>
        <v>0</v>
      </c>
      <c r="N20" s="357">
        <f t="shared" si="28"/>
        <v>0</v>
      </c>
      <c r="O20" s="357">
        <f t="shared" si="28"/>
        <v>0</v>
      </c>
      <c r="P20" s="357">
        <f t="shared" si="28"/>
        <v>0</v>
      </c>
      <c r="Q20" s="357">
        <f t="shared" si="28"/>
        <v>0</v>
      </c>
      <c r="R20" s="357">
        <f t="shared" si="28"/>
        <v>0</v>
      </c>
      <c r="S20" s="357">
        <f t="shared" si="28"/>
        <v>0</v>
      </c>
      <c r="T20" s="357">
        <f t="shared" si="28"/>
        <v>0</v>
      </c>
      <c r="U20" s="357">
        <f t="shared" si="28"/>
        <v>0</v>
      </c>
      <c r="V20" s="357">
        <f t="shared" si="28"/>
        <v>0</v>
      </c>
      <c r="W20" s="357">
        <f t="shared" si="28"/>
        <v>0</v>
      </c>
      <c r="X20" s="357">
        <f t="shared" si="16"/>
        <v>0</v>
      </c>
      <c r="Y20" s="357">
        <f t="shared" si="17"/>
        <v>0</v>
      </c>
      <c r="Z20" s="357">
        <f t="shared" si="18"/>
        <v>0</v>
      </c>
      <c r="AA20" s="357">
        <f t="shared" si="19"/>
        <v>0</v>
      </c>
    </row>
    <row r="21" spans="1:27" ht="18.95" customHeight="1">
      <c r="A21" s="347"/>
      <c r="B21" s="354"/>
      <c r="C21" s="361" t="s">
        <v>184</v>
      </c>
      <c r="D21" s="357">
        <v>0</v>
      </c>
      <c r="E21" s="357">
        <f t="shared" ref="E21:W21" si="29">D21</f>
        <v>0</v>
      </c>
      <c r="F21" s="357">
        <f t="shared" si="29"/>
        <v>0</v>
      </c>
      <c r="G21" s="357">
        <f t="shared" si="29"/>
        <v>0</v>
      </c>
      <c r="H21" s="357">
        <f t="shared" si="29"/>
        <v>0</v>
      </c>
      <c r="I21" s="357">
        <f t="shared" si="29"/>
        <v>0</v>
      </c>
      <c r="J21" s="357">
        <f t="shared" si="29"/>
        <v>0</v>
      </c>
      <c r="K21" s="357">
        <f t="shared" si="29"/>
        <v>0</v>
      </c>
      <c r="L21" s="357">
        <f t="shared" si="29"/>
        <v>0</v>
      </c>
      <c r="M21" s="357">
        <f t="shared" si="29"/>
        <v>0</v>
      </c>
      <c r="N21" s="357">
        <f t="shared" si="29"/>
        <v>0</v>
      </c>
      <c r="O21" s="357">
        <f t="shared" si="29"/>
        <v>0</v>
      </c>
      <c r="P21" s="357">
        <f t="shared" si="29"/>
        <v>0</v>
      </c>
      <c r="Q21" s="357">
        <f t="shared" si="29"/>
        <v>0</v>
      </c>
      <c r="R21" s="357">
        <f t="shared" si="29"/>
        <v>0</v>
      </c>
      <c r="S21" s="357">
        <f t="shared" si="29"/>
        <v>0</v>
      </c>
      <c r="T21" s="357">
        <f t="shared" si="29"/>
        <v>0</v>
      </c>
      <c r="U21" s="357">
        <f t="shared" si="29"/>
        <v>0</v>
      </c>
      <c r="V21" s="357">
        <f t="shared" si="29"/>
        <v>0</v>
      </c>
      <c r="W21" s="357">
        <f t="shared" si="29"/>
        <v>0</v>
      </c>
      <c r="X21" s="357">
        <f t="shared" si="16"/>
        <v>0</v>
      </c>
      <c r="Y21" s="357">
        <f t="shared" si="17"/>
        <v>0</v>
      </c>
      <c r="Z21" s="357">
        <f t="shared" si="18"/>
        <v>0</v>
      </c>
      <c r="AA21" s="357">
        <f t="shared" si="19"/>
        <v>0</v>
      </c>
    </row>
    <row r="22" spans="1:27" ht="18.95" customHeight="1">
      <c r="A22" s="347"/>
      <c r="B22" s="354"/>
      <c r="C22" s="361" t="s">
        <v>185</v>
      </c>
      <c r="D22" s="357">
        <v>0</v>
      </c>
      <c r="E22" s="357">
        <f t="shared" ref="E22:W22" si="30">D22</f>
        <v>0</v>
      </c>
      <c r="F22" s="357">
        <f t="shared" si="30"/>
        <v>0</v>
      </c>
      <c r="G22" s="357">
        <f t="shared" si="30"/>
        <v>0</v>
      </c>
      <c r="H22" s="357">
        <f t="shared" si="30"/>
        <v>0</v>
      </c>
      <c r="I22" s="357">
        <f t="shared" si="30"/>
        <v>0</v>
      </c>
      <c r="J22" s="357">
        <f t="shared" si="30"/>
        <v>0</v>
      </c>
      <c r="K22" s="357">
        <f t="shared" si="30"/>
        <v>0</v>
      </c>
      <c r="L22" s="357">
        <f t="shared" si="30"/>
        <v>0</v>
      </c>
      <c r="M22" s="357">
        <f t="shared" si="30"/>
        <v>0</v>
      </c>
      <c r="N22" s="357">
        <f t="shared" si="30"/>
        <v>0</v>
      </c>
      <c r="O22" s="357">
        <f t="shared" si="30"/>
        <v>0</v>
      </c>
      <c r="P22" s="357">
        <f t="shared" si="30"/>
        <v>0</v>
      </c>
      <c r="Q22" s="357">
        <f t="shared" si="30"/>
        <v>0</v>
      </c>
      <c r="R22" s="357">
        <f t="shared" si="30"/>
        <v>0</v>
      </c>
      <c r="S22" s="357">
        <f t="shared" si="30"/>
        <v>0</v>
      </c>
      <c r="T22" s="357">
        <f t="shared" si="30"/>
        <v>0</v>
      </c>
      <c r="U22" s="357">
        <f t="shared" si="30"/>
        <v>0</v>
      </c>
      <c r="V22" s="357">
        <f t="shared" si="30"/>
        <v>0</v>
      </c>
      <c r="W22" s="357">
        <f t="shared" si="30"/>
        <v>0</v>
      </c>
      <c r="X22" s="357">
        <f t="shared" si="16"/>
        <v>0</v>
      </c>
      <c r="Y22" s="357">
        <f t="shared" si="17"/>
        <v>0</v>
      </c>
      <c r="Z22" s="357">
        <f t="shared" si="18"/>
        <v>0</v>
      </c>
      <c r="AA22" s="357">
        <f t="shared" si="19"/>
        <v>0</v>
      </c>
    </row>
    <row r="23" spans="1:27" ht="18.95" customHeight="1">
      <c r="A23" s="347"/>
      <c r="B23" s="354"/>
      <c r="C23" s="361" t="s">
        <v>186</v>
      </c>
      <c r="D23" s="357">
        <v>0</v>
      </c>
      <c r="E23" s="357">
        <f>D23</f>
        <v>0</v>
      </c>
      <c r="F23" s="357">
        <f t="shared" ref="F23:G23" si="31">E23</f>
        <v>0</v>
      </c>
      <c r="G23" s="357">
        <f t="shared" si="31"/>
        <v>0</v>
      </c>
      <c r="H23" s="357">
        <f t="shared" ref="H23:I24" si="32">G23</f>
        <v>0</v>
      </c>
      <c r="I23" s="357">
        <f t="shared" si="32"/>
        <v>0</v>
      </c>
      <c r="J23" s="357">
        <f t="shared" ref="J23:K24" si="33">I23</f>
        <v>0</v>
      </c>
      <c r="K23" s="357">
        <f t="shared" si="33"/>
        <v>0</v>
      </c>
      <c r="L23" s="357">
        <f t="shared" ref="L23" si="34">K23</f>
        <v>0</v>
      </c>
      <c r="M23" s="357">
        <f t="shared" si="23"/>
        <v>0</v>
      </c>
      <c r="N23" s="357">
        <f t="shared" ref="N23" si="35">M23</f>
        <v>0</v>
      </c>
      <c r="O23" s="357">
        <f t="shared" si="20"/>
        <v>0</v>
      </c>
      <c r="P23" s="357">
        <f t="shared" ref="P23" si="36">O23</f>
        <v>0</v>
      </c>
      <c r="Q23" s="357">
        <f t="shared" si="12"/>
        <v>0</v>
      </c>
      <c r="R23" s="357">
        <v>33000</v>
      </c>
      <c r="S23" s="357">
        <f t="shared" si="2"/>
        <v>33000</v>
      </c>
      <c r="T23" s="357">
        <f>R23*(1+$D$4)</f>
        <v>34155</v>
      </c>
      <c r="U23" s="357">
        <f t="shared" ref="U23:U25" si="37">T23</f>
        <v>34155</v>
      </c>
      <c r="V23" s="357">
        <f t="shared" ref="V23:V25" si="38">U23</f>
        <v>34155</v>
      </c>
      <c r="W23" s="357">
        <f t="shared" ref="W23:W25" si="39">V23</f>
        <v>34155</v>
      </c>
      <c r="X23" s="357">
        <f t="shared" si="16"/>
        <v>34155</v>
      </c>
      <c r="Y23" s="357">
        <f t="shared" si="17"/>
        <v>34155</v>
      </c>
      <c r="Z23" s="357">
        <f t="shared" si="18"/>
        <v>34155</v>
      </c>
      <c r="AA23" s="357">
        <f t="shared" si="19"/>
        <v>34155</v>
      </c>
    </row>
    <row r="24" spans="1:27" ht="18.95" customHeight="1">
      <c r="A24" s="347"/>
      <c r="B24" s="354"/>
      <c r="C24" s="361" t="s">
        <v>187</v>
      </c>
      <c r="D24" s="357">
        <v>0</v>
      </c>
      <c r="E24" s="357">
        <f t="shared" ref="E24:G24" si="40">D24</f>
        <v>0</v>
      </c>
      <c r="F24" s="357">
        <f t="shared" si="40"/>
        <v>0</v>
      </c>
      <c r="G24" s="357">
        <f t="shared" si="40"/>
        <v>0</v>
      </c>
      <c r="H24" s="357">
        <f t="shared" si="32"/>
        <v>0</v>
      </c>
      <c r="I24" s="357">
        <f t="shared" si="32"/>
        <v>0</v>
      </c>
      <c r="J24" s="357">
        <f t="shared" si="33"/>
        <v>0</v>
      </c>
      <c r="K24" s="357">
        <f t="shared" si="33"/>
        <v>0</v>
      </c>
      <c r="L24" s="357">
        <f t="shared" ref="L24" si="41">K24</f>
        <v>0</v>
      </c>
      <c r="M24" s="357">
        <f t="shared" si="23"/>
        <v>0</v>
      </c>
      <c r="N24" s="357">
        <f t="shared" ref="N24" si="42">M24</f>
        <v>0</v>
      </c>
      <c r="O24" s="357">
        <f t="shared" si="20"/>
        <v>0</v>
      </c>
      <c r="P24" s="357">
        <f t="shared" ref="P24" si="43">O24</f>
        <v>0</v>
      </c>
      <c r="Q24" s="357">
        <f t="shared" si="12"/>
        <v>0</v>
      </c>
      <c r="R24" s="357">
        <f t="shared" ref="R24" si="44">Q24</f>
        <v>0</v>
      </c>
      <c r="S24" s="357">
        <f t="shared" si="2"/>
        <v>0</v>
      </c>
      <c r="T24" s="357">
        <f t="shared" ref="T24" si="45">S24</f>
        <v>0</v>
      </c>
      <c r="U24" s="357">
        <f t="shared" si="37"/>
        <v>0</v>
      </c>
      <c r="V24" s="357">
        <f t="shared" si="38"/>
        <v>0</v>
      </c>
      <c r="W24" s="357">
        <f t="shared" si="39"/>
        <v>0</v>
      </c>
      <c r="X24" s="357">
        <f t="shared" si="16"/>
        <v>0</v>
      </c>
      <c r="Y24" s="357">
        <f t="shared" si="17"/>
        <v>0</v>
      </c>
      <c r="Z24" s="357">
        <f t="shared" si="18"/>
        <v>0</v>
      </c>
      <c r="AA24" s="357">
        <f t="shared" si="19"/>
        <v>0</v>
      </c>
    </row>
    <row r="25" spans="1:27" ht="18.95" customHeight="1">
      <c r="A25" s="347"/>
      <c r="B25" s="354"/>
      <c r="C25" s="361" t="s">
        <v>188</v>
      </c>
      <c r="D25" s="357">
        <v>0</v>
      </c>
      <c r="E25" s="357">
        <v>0</v>
      </c>
      <c r="F25" s="357">
        <v>0</v>
      </c>
      <c r="G25" s="357">
        <v>0</v>
      </c>
      <c r="H25" s="357">
        <v>0</v>
      </c>
      <c r="I25" s="357">
        <v>0</v>
      </c>
      <c r="J25" s="357">
        <v>0</v>
      </c>
      <c r="K25" s="362">
        <v>0</v>
      </c>
      <c r="L25" s="359">
        <v>0</v>
      </c>
      <c r="M25" s="357">
        <f t="shared" si="23"/>
        <v>0</v>
      </c>
      <c r="N25" s="357">
        <v>0</v>
      </c>
      <c r="O25" s="357">
        <f t="shared" si="20"/>
        <v>0</v>
      </c>
      <c r="P25" s="357">
        <f>O25</f>
        <v>0</v>
      </c>
      <c r="Q25" s="357">
        <f t="shared" si="12"/>
        <v>0</v>
      </c>
      <c r="R25" s="357">
        <f t="shared" ref="R25" si="46">Q25</f>
        <v>0</v>
      </c>
      <c r="S25" s="357">
        <f t="shared" si="2"/>
        <v>0</v>
      </c>
      <c r="T25" s="357">
        <f t="shared" ref="T25" si="47">S25</f>
        <v>0</v>
      </c>
      <c r="U25" s="357">
        <f t="shared" si="37"/>
        <v>0</v>
      </c>
      <c r="V25" s="357">
        <f t="shared" si="38"/>
        <v>0</v>
      </c>
      <c r="W25" s="357">
        <f t="shared" si="39"/>
        <v>0</v>
      </c>
      <c r="X25" s="357">
        <f t="shared" si="16"/>
        <v>0</v>
      </c>
      <c r="Y25" s="357">
        <f t="shared" si="17"/>
        <v>0</v>
      </c>
      <c r="Z25" s="357">
        <f t="shared" si="18"/>
        <v>0</v>
      </c>
      <c r="AA25" s="357">
        <f t="shared" si="19"/>
        <v>0</v>
      </c>
    </row>
    <row r="26" spans="1:27" ht="18.95" customHeight="1">
      <c r="A26" s="347"/>
      <c r="B26" s="358"/>
      <c r="C26" s="353" t="s">
        <v>32</v>
      </c>
      <c r="D26" s="357"/>
      <c r="E26" s="357"/>
      <c r="F26" s="357"/>
      <c r="G26" s="357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59"/>
    </row>
    <row r="27" spans="1:27" ht="18.95" customHeight="1">
      <c r="A27" s="347"/>
      <c r="B27" s="353"/>
      <c r="C27" s="361" t="s">
        <v>189</v>
      </c>
      <c r="D27" s="357">
        <v>0</v>
      </c>
      <c r="E27" s="357">
        <v>0</v>
      </c>
      <c r="F27" s="357">
        <v>0</v>
      </c>
      <c r="G27" s="357">
        <v>0</v>
      </c>
      <c r="H27" s="357">
        <v>0</v>
      </c>
      <c r="I27" s="357">
        <v>0</v>
      </c>
      <c r="J27" s="357">
        <f t="shared" ref="J27:K29" si="48">I27</f>
        <v>0</v>
      </c>
      <c r="K27" s="362">
        <f t="shared" si="48"/>
        <v>0</v>
      </c>
      <c r="L27" s="357">
        <f>K27*(1+$D$4)</f>
        <v>0</v>
      </c>
      <c r="M27" s="357">
        <v>0</v>
      </c>
      <c r="N27" s="357">
        <f>M27</f>
        <v>0</v>
      </c>
      <c r="O27" s="357">
        <f t="shared" ref="M27:O33" si="49">N27</f>
        <v>0</v>
      </c>
      <c r="P27" s="357">
        <f>O27</f>
        <v>0</v>
      </c>
      <c r="Q27" s="357">
        <f t="shared" ref="Q27:S40" si="50">P27</f>
        <v>0</v>
      </c>
      <c r="R27" s="357">
        <f t="shared" si="50"/>
        <v>0</v>
      </c>
      <c r="S27" s="357">
        <v>45000</v>
      </c>
      <c r="T27" s="357">
        <f>S27*(1+$D$4)</f>
        <v>46575</v>
      </c>
      <c r="U27" s="357">
        <f t="shared" ref="U27" si="51">T27</f>
        <v>46575</v>
      </c>
      <c r="V27" s="357">
        <f t="shared" ref="V27:V29" si="52">U27</f>
        <v>46575</v>
      </c>
      <c r="W27" s="357">
        <f t="shared" ref="W27:W40" si="53">V27</f>
        <v>46575</v>
      </c>
      <c r="X27" s="357">
        <f t="shared" ref="X27:X40" si="54">W27</f>
        <v>46575</v>
      </c>
      <c r="Y27" s="357">
        <f t="shared" ref="Y27:Y40" si="55">X27</f>
        <v>46575</v>
      </c>
      <c r="Z27" s="357">
        <f t="shared" ref="Z27:Z40" si="56">Y27</f>
        <v>46575</v>
      </c>
      <c r="AA27" s="357">
        <f t="shared" ref="AA27:AA40" si="57">Z27</f>
        <v>46575</v>
      </c>
    </row>
    <row r="28" spans="1:27" ht="18.95" customHeight="1">
      <c r="A28" s="347"/>
      <c r="B28" s="353"/>
      <c r="C28" s="361" t="s">
        <v>190</v>
      </c>
      <c r="D28" s="357">
        <v>0</v>
      </c>
      <c r="E28" s="357">
        <v>0</v>
      </c>
      <c r="F28" s="357">
        <f>E28</f>
        <v>0</v>
      </c>
      <c r="G28" s="357">
        <f>F28</f>
        <v>0</v>
      </c>
      <c r="H28" s="357">
        <v>0</v>
      </c>
      <c r="I28" s="357">
        <v>0</v>
      </c>
      <c r="J28" s="357">
        <v>25000</v>
      </c>
      <c r="K28" s="357">
        <v>25000</v>
      </c>
      <c r="L28" s="357">
        <v>25000</v>
      </c>
      <c r="M28" s="357">
        <f>L28</f>
        <v>25000</v>
      </c>
      <c r="N28" s="357">
        <f t="shared" ref="N28" si="58">M28</f>
        <v>25000</v>
      </c>
      <c r="O28" s="357">
        <f t="shared" si="49"/>
        <v>25000</v>
      </c>
      <c r="P28" s="357">
        <f t="shared" ref="P28:P34" si="59">O28*(1+$D$4)</f>
        <v>25874.999999999996</v>
      </c>
      <c r="Q28" s="357">
        <f>P28</f>
        <v>25874.999999999996</v>
      </c>
      <c r="R28" s="357">
        <f t="shared" si="50"/>
        <v>25874.999999999996</v>
      </c>
      <c r="S28" s="357">
        <f t="shared" si="50"/>
        <v>25874.999999999996</v>
      </c>
      <c r="T28" s="357">
        <f>P28*(1+$D$4)</f>
        <v>26780.624999999993</v>
      </c>
      <c r="U28" s="357">
        <f>T28</f>
        <v>26780.624999999993</v>
      </c>
      <c r="V28" s="357">
        <f t="shared" si="52"/>
        <v>26780.624999999993</v>
      </c>
      <c r="W28" s="357">
        <f t="shared" si="53"/>
        <v>26780.624999999993</v>
      </c>
      <c r="X28" s="357">
        <f t="shared" si="54"/>
        <v>26780.624999999993</v>
      </c>
      <c r="Y28" s="357">
        <f t="shared" si="55"/>
        <v>26780.624999999993</v>
      </c>
      <c r="Z28" s="357">
        <f t="shared" si="56"/>
        <v>26780.624999999993</v>
      </c>
      <c r="AA28" s="357">
        <f t="shared" si="57"/>
        <v>26780.624999999993</v>
      </c>
    </row>
    <row r="29" spans="1:27" ht="18.95" customHeight="1">
      <c r="A29" s="347"/>
      <c r="B29" s="353"/>
      <c r="C29" s="361" t="s">
        <v>191</v>
      </c>
      <c r="D29" s="357">
        <v>0</v>
      </c>
      <c r="E29" s="357">
        <v>0</v>
      </c>
      <c r="F29" s="357">
        <v>0</v>
      </c>
      <c r="G29" s="357">
        <v>0</v>
      </c>
      <c r="H29" s="357">
        <v>0</v>
      </c>
      <c r="I29" s="357">
        <v>0</v>
      </c>
      <c r="J29" s="357">
        <f t="shared" si="48"/>
        <v>0</v>
      </c>
      <c r="K29" s="362">
        <f>J29</f>
        <v>0</v>
      </c>
      <c r="L29" s="362">
        <f t="shared" ref="L29:M29" si="60">K29</f>
        <v>0</v>
      </c>
      <c r="M29" s="362">
        <f t="shared" si="60"/>
        <v>0</v>
      </c>
      <c r="N29" s="357">
        <f>M29</f>
        <v>0</v>
      </c>
      <c r="O29" s="357">
        <f t="shared" si="49"/>
        <v>0</v>
      </c>
      <c r="P29" s="357">
        <f t="shared" si="59"/>
        <v>0</v>
      </c>
      <c r="Q29" s="357">
        <f t="shared" si="50"/>
        <v>0</v>
      </c>
      <c r="R29" s="357">
        <f t="shared" si="50"/>
        <v>0</v>
      </c>
      <c r="S29" s="357">
        <f t="shared" si="50"/>
        <v>0</v>
      </c>
      <c r="T29" s="357">
        <f>P29*(1+$D$4)</f>
        <v>0</v>
      </c>
      <c r="U29" s="357">
        <f t="shared" ref="U29:U31" si="61">T29</f>
        <v>0</v>
      </c>
      <c r="V29" s="357">
        <f t="shared" si="52"/>
        <v>0</v>
      </c>
      <c r="W29" s="357">
        <f t="shared" si="53"/>
        <v>0</v>
      </c>
      <c r="X29" s="357">
        <f t="shared" si="54"/>
        <v>0</v>
      </c>
      <c r="Y29" s="357">
        <f t="shared" si="55"/>
        <v>0</v>
      </c>
      <c r="Z29" s="357">
        <f t="shared" si="56"/>
        <v>0</v>
      </c>
      <c r="AA29" s="357">
        <f t="shared" si="57"/>
        <v>0</v>
      </c>
    </row>
    <row r="30" spans="1:27" ht="18.95" customHeight="1">
      <c r="A30" s="347"/>
      <c r="B30" s="353"/>
      <c r="C30" s="361" t="s">
        <v>192</v>
      </c>
      <c r="D30" s="357">
        <v>0</v>
      </c>
      <c r="E30" s="357">
        <v>0</v>
      </c>
      <c r="F30" s="357">
        <v>0</v>
      </c>
      <c r="G30" s="357">
        <v>0</v>
      </c>
      <c r="H30" s="359">
        <v>0</v>
      </c>
      <c r="I30" s="359">
        <v>0</v>
      </c>
      <c r="J30" s="359">
        <v>0</v>
      </c>
      <c r="K30" s="362">
        <v>0</v>
      </c>
      <c r="L30" s="357">
        <v>0</v>
      </c>
      <c r="M30" s="357">
        <f t="shared" si="49"/>
        <v>0</v>
      </c>
      <c r="N30" s="357">
        <v>0</v>
      </c>
      <c r="O30" s="357">
        <f>N30</f>
        <v>0</v>
      </c>
      <c r="P30" s="357">
        <f t="shared" si="59"/>
        <v>0</v>
      </c>
      <c r="Q30" s="357">
        <f t="shared" si="50"/>
        <v>0</v>
      </c>
      <c r="R30" s="357">
        <v>0</v>
      </c>
      <c r="S30" s="357">
        <f t="shared" si="50"/>
        <v>0</v>
      </c>
      <c r="T30" s="357">
        <f t="shared" ref="T30:T35" si="62">S30*(1+$D$4)</f>
        <v>0</v>
      </c>
      <c r="U30" s="357">
        <f t="shared" si="61"/>
        <v>0</v>
      </c>
      <c r="V30" s="357">
        <v>0</v>
      </c>
      <c r="W30" s="357">
        <f t="shared" si="53"/>
        <v>0</v>
      </c>
      <c r="X30" s="357">
        <f t="shared" si="54"/>
        <v>0</v>
      </c>
      <c r="Y30" s="357">
        <f t="shared" si="55"/>
        <v>0</v>
      </c>
      <c r="Z30" s="357">
        <f t="shared" si="56"/>
        <v>0</v>
      </c>
      <c r="AA30" s="357">
        <f t="shared" si="57"/>
        <v>0</v>
      </c>
    </row>
    <row r="31" spans="1:27" ht="18.95" customHeight="1">
      <c r="A31" s="347"/>
      <c r="B31" s="353"/>
      <c r="C31" s="361" t="s">
        <v>193</v>
      </c>
      <c r="D31" s="357">
        <v>0</v>
      </c>
      <c r="E31" s="357">
        <v>0</v>
      </c>
      <c r="F31" s="357">
        <f>E31</f>
        <v>0</v>
      </c>
      <c r="G31" s="357">
        <f>F31</f>
        <v>0</v>
      </c>
      <c r="H31" s="357">
        <v>0</v>
      </c>
      <c r="I31" s="357">
        <v>0</v>
      </c>
      <c r="J31" s="357">
        <f t="shared" ref="J31:K31" si="63">I31</f>
        <v>0</v>
      </c>
      <c r="K31" s="362">
        <f t="shared" si="63"/>
        <v>0</v>
      </c>
      <c r="L31" s="357">
        <v>0</v>
      </c>
      <c r="M31" s="357">
        <f t="shared" si="49"/>
        <v>0</v>
      </c>
      <c r="N31" s="357">
        <f t="shared" si="49"/>
        <v>0</v>
      </c>
      <c r="O31" s="357">
        <f t="shared" si="49"/>
        <v>0</v>
      </c>
      <c r="P31" s="357">
        <f t="shared" si="59"/>
        <v>0</v>
      </c>
      <c r="Q31" s="357">
        <f t="shared" si="50"/>
        <v>0</v>
      </c>
      <c r="R31" s="357">
        <f t="shared" si="50"/>
        <v>0</v>
      </c>
      <c r="S31" s="357">
        <f t="shared" si="50"/>
        <v>0</v>
      </c>
      <c r="T31" s="357">
        <f t="shared" si="62"/>
        <v>0</v>
      </c>
      <c r="U31" s="357">
        <f t="shared" si="61"/>
        <v>0</v>
      </c>
      <c r="V31" s="357">
        <f t="shared" ref="V31:V35" si="64">U31</f>
        <v>0</v>
      </c>
      <c r="W31" s="357">
        <f t="shared" si="53"/>
        <v>0</v>
      </c>
      <c r="X31" s="357">
        <f t="shared" si="54"/>
        <v>0</v>
      </c>
      <c r="Y31" s="357">
        <f t="shared" si="55"/>
        <v>0</v>
      </c>
      <c r="Z31" s="357">
        <f t="shared" si="56"/>
        <v>0</v>
      </c>
      <c r="AA31" s="357">
        <f t="shared" si="57"/>
        <v>0</v>
      </c>
    </row>
    <row r="32" spans="1:27" ht="18.95" customHeight="1">
      <c r="A32" s="347"/>
      <c r="B32" s="353"/>
      <c r="C32" s="361" t="s">
        <v>194</v>
      </c>
      <c r="D32" s="357">
        <v>0</v>
      </c>
      <c r="E32" s="357">
        <v>0</v>
      </c>
      <c r="F32" s="357">
        <v>0</v>
      </c>
      <c r="G32" s="357">
        <v>0</v>
      </c>
      <c r="H32" s="357">
        <v>0</v>
      </c>
      <c r="I32" s="357">
        <v>0</v>
      </c>
      <c r="J32" s="357">
        <v>0</v>
      </c>
      <c r="K32" s="362">
        <v>0</v>
      </c>
      <c r="L32" s="357">
        <v>0</v>
      </c>
      <c r="M32" s="357">
        <f>L32</f>
        <v>0</v>
      </c>
      <c r="N32" s="357">
        <f t="shared" si="49"/>
        <v>0</v>
      </c>
      <c r="O32" s="357">
        <f t="shared" si="49"/>
        <v>0</v>
      </c>
      <c r="P32" s="357">
        <f t="shared" si="59"/>
        <v>0</v>
      </c>
      <c r="Q32" s="357">
        <f>P32</f>
        <v>0</v>
      </c>
      <c r="R32" s="357">
        <f t="shared" si="50"/>
        <v>0</v>
      </c>
      <c r="S32" s="357">
        <f t="shared" si="50"/>
        <v>0</v>
      </c>
      <c r="T32" s="357">
        <f t="shared" si="62"/>
        <v>0</v>
      </c>
      <c r="U32" s="357">
        <f t="shared" ref="U32:U37" si="65">T32</f>
        <v>0</v>
      </c>
      <c r="V32" s="357">
        <f t="shared" si="64"/>
        <v>0</v>
      </c>
      <c r="W32" s="357">
        <f t="shared" si="53"/>
        <v>0</v>
      </c>
      <c r="X32" s="357">
        <f t="shared" si="54"/>
        <v>0</v>
      </c>
      <c r="Y32" s="357">
        <f t="shared" si="55"/>
        <v>0</v>
      </c>
      <c r="Z32" s="357">
        <f t="shared" si="56"/>
        <v>0</v>
      </c>
      <c r="AA32" s="357">
        <f t="shared" si="57"/>
        <v>0</v>
      </c>
    </row>
    <row r="33" spans="1:27" ht="18.95" customHeight="1">
      <c r="A33" s="347"/>
      <c r="B33" s="353"/>
      <c r="C33" s="361" t="s">
        <v>195</v>
      </c>
      <c r="D33" s="357">
        <v>0</v>
      </c>
      <c r="E33" s="357">
        <v>0</v>
      </c>
      <c r="F33" s="357">
        <v>0</v>
      </c>
      <c r="G33" s="357">
        <v>0</v>
      </c>
      <c r="H33" s="357">
        <v>0</v>
      </c>
      <c r="I33" s="357">
        <v>0</v>
      </c>
      <c r="J33" s="357">
        <v>0</v>
      </c>
      <c r="K33" s="359">
        <f>J33</f>
        <v>0</v>
      </c>
      <c r="L33" s="357">
        <f>K33*(1+$D$4)</f>
        <v>0</v>
      </c>
      <c r="M33" s="357">
        <f>L33</f>
        <v>0</v>
      </c>
      <c r="N33" s="357">
        <f t="shared" si="49"/>
        <v>0</v>
      </c>
      <c r="O33" s="357">
        <f t="shared" si="49"/>
        <v>0</v>
      </c>
      <c r="P33" s="357">
        <f t="shared" si="59"/>
        <v>0</v>
      </c>
      <c r="Q33" s="357">
        <f>P33</f>
        <v>0</v>
      </c>
      <c r="R33" s="357">
        <f t="shared" si="50"/>
        <v>0</v>
      </c>
      <c r="S33" s="357">
        <f t="shared" si="50"/>
        <v>0</v>
      </c>
      <c r="T33" s="357">
        <f t="shared" si="62"/>
        <v>0</v>
      </c>
      <c r="U33" s="357">
        <f t="shared" si="65"/>
        <v>0</v>
      </c>
      <c r="V33" s="357">
        <f t="shared" si="64"/>
        <v>0</v>
      </c>
      <c r="W33" s="357">
        <f t="shared" si="53"/>
        <v>0</v>
      </c>
      <c r="X33" s="357">
        <f t="shared" si="54"/>
        <v>0</v>
      </c>
      <c r="Y33" s="357">
        <f t="shared" si="55"/>
        <v>0</v>
      </c>
      <c r="Z33" s="357">
        <f t="shared" si="56"/>
        <v>0</v>
      </c>
      <c r="AA33" s="357">
        <f t="shared" si="57"/>
        <v>0</v>
      </c>
    </row>
    <row r="34" spans="1:27" ht="18.95" customHeight="1">
      <c r="A34" s="347"/>
      <c r="B34" s="353"/>
      <c r="C34" s="361" t="s">
        <v>196</v>
      </c>
      <c r="D34" s="357">
        <v>0</v>
      </c>
      <c r="E34" s="357">
        <v>0</v>
      </c>
      <c r="F34" s="357">
        <v>0</v>
      </c>
      <c r="G34" s="357">
        <v>0</v>
      </c>
      <c r="H34" s="359">
        <v>0</v>
      </c>
      <c r="I34" s="357">
        <v>0</v>
      </c>
      <c r="J34" s="357">
        <f t="shared" ref="J34:K40" si="66">I34</f>
        <v>0</v>
      </c>
      <c r="K34" s="362">
        <f t="shared" si="66"/>
        <v>0</v>
      </c>
      <c r="L34" s="357">
        <f>K34*(1+$D$4)</f>
        <v>0</v>
      </c>
      <c r="M34" s="357">
        <f t="shared" ref="M34:O40" si="67">L34</f>
        <v>0</v>
      </c>
      <c r="N34" s="357">
        <f t="shared" si="67"/>
        <v>0</v>
      </c>
      <c r="O34" s="357">
        <v>0</v>
      </c>
      <c r="P34" s="357">
        <f t="shared" si="59"/>
        <v>0</v>
      </c>
      <c r="Q34" s="357">
        <f t="shared" si="50"/>
        <v>0</v>
      </c>
      <c r="R34" s="357">
        <f>Q34</f>
        <v>0</v>
      </c>
      <c r="S34" s="357">
        <f t="shared" ref="S34" si="68">R34</f>
        <v>0</v>
      </c>
      <c r="T34" s="357">
        <f>S34</f>
        <v>0</v>
      </c>
      <c r="U34" s="357">
        <f t="shared" si="65"/>
        <v>0</v>
      </c>
      <c r="V34" s="357">
        <v>50000</v>
      </c>
      <c r="W34" s="357">
        <f t="shared" ref="W34" si="69">V34</f>
        <v>50000</v>
      </c>
      <c r="X34" s="357">
        <f t="shared" si="54"/>
        <v>50000</v>
      </c>
      <c r="Y34" s="357">
        <f t="shared" si="55"/>
        <v>50000</v>
      </c>
      <c r="Z34" s="357">
        <f t="shared" si="56"/>
        <v>50000</v>
      </c>
      <c r="AA34" s="357">
        <f t="shared" si="57"/>
        <v>50000</v>
      </c>
    </row>
    <row r="35" spans="1:27" ht="18.95" customHeight="1">
      <c r="A35" s="347"/>
      <c r="B35" s="353"/>
      <c r="C35" s="361" t="s">
        <v>197</v>
      </c>
      <c r="D35" s="357">
        <v>0</v>
      </c>
      <c r="E35" s="357">
        <v>0</v>
      </c>
      <c r="F35" s="357">
        <v>0</v>
      </c>
      <c r="G35" s="357">
        <v>0</v>
      </c>
      <c r="H35" s="357">
        <v>0</v>
      </c>
      <c r="I35" s="357">
        <v>0</v>
      </c>
      <c r="J35" s="357">
        <f t="shared" si="66"/>
        <v>0</v>
      </c>
      <c r="K35" s="362">
        <f t="shared" si="66"/>
        <v>0</v>
      </c>
      <c r="L35" s="357">
        <v>0</v>
      </c>
      <c r="M35" s="357">
        <f t="shared" si="67"/>
        <v>0</v>
      </c>
      <c r="N35" s="357">
        <v>0</v>
      </c>
      <c r="O35" s="357">
        <v>0</v>
      </c>
      <c r="P35" s="357">
        <v>0</v>
      </c>
      <c r="Q35" s="357">
        <f t="shared" si="50"/>
        <v>0</v>
      </c>
      <c r="R35" s="357">
        <v>30000</v>
      </c>
      <c r="S35" s="357">
        <f t="shared" si="50"/>
        <v>30000</v>
      </c>
      <c r="T35" s="357">
        <f t="shared" si="62"/>
        <v>31049.999999999996</v>
      </c>
      <c r="U35" s="357">
        <f t="shared" si="65"/>
        <v>31049.999999999996</v>
      </c>
      <c r="V35" s="357">
        <f t="shared" si="64"/>
        <v>31049.999999999996</v>
      </c>
      <c r="W35" s="357">
        <f t="shared" si="53"/>
        <v>31049.999999999996</v>
      </c>
      <c r="X35" s="357">
        <f t="shared" si="54"/>
        <v>31049.999999999996</v>
      </c>
      <c r="Y35" s="357">
        <f t="shared" si="55"/>
        <v>31049.999999999996</v>
      </c>
      <c r="Z35" s="357">
        <f t="shared" si="56"/>
        <v>31049.999999999996</v>
      </c>
      <c r="AA35" s="357">
        <f t="shared" si="57"/>
        <v>31049.999999999996</v>
      </c>
    </row>
    <row r="36" spans="1:27" ht="18.95" customHeight="1">
      <c r="A36" s="347"/>
      <c r="B36" s="353"/>
      <c r="C36" s="364" t="s">
        <v>198</v>
      </c>
      <c r="D36" s="359">
        <v>0</v>
      </c>
      <c r="E36" s="359">
        <f>D36</f>
        <v>0</v>
      </c>
      <c r="F36" s="359">
        <v>0</v>
      </c>
      <c r="G36" s="359">
        <v>0</v>
      </c>
      <c r="H36" s="359">
        <f t="shared" ref="H36" si="70">G36</f>
        <v>0</v>
      </c>
      <c r="I36" s="359">
        <f t="shared" ref="I36" si="71">H36</f>
        <v>0</v>
      </c>
      <c r="J36" s="359">
        <f t="shared" si="66"/>
        <v>0</v>
      </c>
      <c r="K36" s="359">
        <f t="shared" si="66"/>
        <v>0</v>
      </c>
      <c r="L36" s="359">
        <v>0</v>
      </c>
      <c r="M36" s="359">
        <v>0</v>
      </c>
      <c r="N36" s="359">
        <f t="shared" ref="N36" si="72">M36</f>
        <v>0</v>
      </c>
      <c r="O36" s="359">
        <f t="shared" ref="O36" si="73">N36</f>
        <v>0</v>
      </c>
      <c r="P36" s="359">
        <f t="shared" ref="P36" si="74">O36</f>
        <v>0</v>
      </c>
      <c r="Q36" s="359">
        <f t="shared" si="50"/>
        <v>0</v>
      </c>
      <c r="R36" s="357">
        <v>1</v>
      </c>
      <c r="S36" s="357">
        <f>R36</f>
        <v>1</v>
      </c>
      <c r="T36" s="357">
        <f t="shared" ref="T36" si="75">S36*(1+$D$4)</f>
        <v>1.0349999999999999</v>
      </c>
      <c r="U36" s="357">
        <f t="shared" si="65"/>
        <v>1.0349999999999999</v>
      </c>
      <c r="V36" s="357">
        <f t="shared" ref="V36" si="76">U36</f>
        <v>1.0349999999999999</v>
      </c>
      <c r="W36" s="357">
        <f t="shared" ref="W36" si="77">V36</f>
        <v>1.0349999999999999</v>
      </c>
      <c r="X36" s="357">
        <f t="shared" si="54"/>
        <v>1.0349999999999999</v>
      </c>
      <c r="Y36" s="357">
        <f t="shared" si="55"/>
        <v>1.0349999999999999</v>
      </c>
      <c r="Z36" s="357">
        <f t="shared" si="56"/>
        <v>1.0349999999999999</v>
      </c>
      <c r="AA36" s="357">
        <f t="shared" si="57"/>
        <v>1.0349999999999999</v>
      </c>
    </row>
    <row r="37" spans="1:27" ht="18.95" customHeight="1">
      <c r="A37" s="347"/>
      <c r="B37" s="353"/>
      <c r="C37" s="361" t="s">
        <v>199</v>
      </c>
      <c r="D37" s="357">
        <v>0</v>
      </c>
      <c r="E37" s="357">
        <v>0</v>
      </c>
      <c r="F37" s="357">
        <v>0</v>
      </c>
      <c r="G37" s="357">
        <v>0</v>
      </c>
      <c r="H37" s="357">
        <v>0</v>
      </c>
      <c r="I37" s="357">
        <v>0</v>
      </c>
      <c r="J37" s="357">
        <f t="shared" si="66"/>
        <v>0</v>
      </c>
      <c r="K37" s="362">
        <f t="shared" si="66"/>
        <v>0</v>
      </c>
      <c r="L37" s="357">
        <f>K37*(1+$D$4)</f>
        <v>0</v>
      </c>
      <c r="M37" s="357">
        <f>L37</f>
        <v>0</v>
      </c>
      <c r="N37" s="357">
        <f>M37</f>
        <v>0</v>
      </c>
      <c r="O37" s="357">
        <f t="shared" si="67"/>
        <v>0</v>
      </c>
      <c r="P37" s="357">
        <v>8000</v>
      </c>
      <c r="Q37" s="357">
        <f>P37</f>
        <v>8000</v>
      </c>
      <c r="R37" s="357">
        <f t="shared" si="50"/>
        <v>8000</v>
      </c>
      <c r="S37" s="357">
        <f t="shared" si="50"/>
        <v>8000</v>
      </c>
      <c r="T37" s="357">
        <f>P37*(1+$D$4)</f>
        <v>8280</v>
      </c>
      <c r="U37" s="357">
        <f t="shared" si="65"/>
        <v>8280</v>
      </c>
      <c r="V37" s="357">
        <f t="shared" ref="V37:V40" si="78">U37</f>
        <v>8280</v>
      </c>
      <c r="W37" s="357">
        <f t="shared" si="53"/>
        <v>8280</v>
      </c>
      <c r="X37" s="357">
        <f t="shared" si="54"/>
        <v>8280</v>
      </c>
      <c r="Y37" s="357">
        <f t="shared" si="55"/>
        <v>8280</v>
      </c>
      <c r="Z37" s="357">
        <f t="shared" si="56"/>
        <v>8280</v>
      </c>
      <c r="AA37" s="357">
        <f t="shared" si="57"/>
        <v>8280</v>
      </c>
    </row>
    <row r="38" spans="1:27" ht="18.95" customHeight="1">
      <c r="A38" s="347"/>
      <c r="B38" s="353"/>
      <c r="C38" s="370" t="s">
        <v>200</v>
      </c>
      <c r="D38" s="371"/>
      <c r="E38" s="371"/>
      <c r="F38" s="371"/>
      <c r="G38" s="357"/>
      <c r="H38" s="357">
        <v>0</v>
      </c>
      <c r="I38" s="359">
        <v>0</v>
      </c>
      <c r="J38" s="357">
        <f t="shared" si="66"/>
        <v>0</v>
      </c>
      <c r="K38" s="362">
        <f t="shared" si="66"/>
        <v>0</v>
      </c>
      <c r="L38" s="357">
        <f>K38*(1+$D$4)</f>
        <v>0</v>
      </c>
      <c r="M38" s="357">
        <f t="shared" si="67"/>
        <v>0</v>
      </c>
      <c r="N38" s="357">
        <v>0</v>
      </c>
      <c r="O38" s="357">
        <f t="shared" si="67"/>
        <v>0</v>
      </c>
      <c r="P38" s="357">
        <f>O38*(1+$D$4)</f>
        <v>0</v>
      </c>
      <c r="Q38" s="357">
        <f t="shared" si="50"/>
        <v>0</v>
      </c>
      <c r="R38" s="357">
        <f t="shared" si="50"/>
        <v>0</v>
      </c>
      <c r="S38" s="357">
        <f t="shared" si="50"/>
        <v>0</v>
      </c>
      <c r="T38" s="357">
        <f>S38*(1+$D$4)</f>
        <v>0</v>
      </c>
      <c r="U38" s="357">
        <f t="shared" ref="U38" si="79">T38</f>
        <v>0</v>
      </c>
      <c r="V38" s="357">
        <f t="shared" si="78"/>
        <v>0</v>
      </c>
      <c r="W38" s="357">
        <f t="shared" si="53"/>
        <v>0</v>
      </c>
      <c r="X38" s="357">
        <f t="shared" si="54"/>
        <v>0</v>
      </c>
      <c r="Y38" s="357">
        <f t="shared" si="55"/>
        <v>0</v>
      </c>
      <c r="Z38" s="357">
        <f t="shared" si="56"/>
        <v>0</v>
      </c>
      <c r="AA38" s="357">
        <f t="shared" si="57"/>
        <v>0</v>
      </c>
    </row>
    <row r="39" spans="1:27" ht="18.95" customHeight="1">
      <c r="A39" s="347"/>
      <c r="B39" s="353"/>
      <c r="C39" s="361" t="s">
        <v>201</v>
      </c>
      <c r="D39" s="357">
        <v>0</v>
      </c>
      <c r="E39" s="357">
        <v>0</v>
      </c>
      <c r="F39" s="357">
        <v>0</v>
      </c>
      <c r="G39" s="357">
        <v>0</v>
      </c>
      <c r="H39" s="357">
        <v>0</v>
      </c>
      <c r="I39" s="357">
        <f t="shared" ref="I39:I40" si="80">H39</f>
        <v>0</v>
      </c>
      <c r="J39" s="357">
        <v>0</v>
      </c>
      <c r="K39" s="362">
        <f t="shared" si="66"/>
        <v>0</v>
      </c>
      <c r="L39" s="357">
        <f>K39*(1+$D$4)</f>
        <v>0</v>
      </c>
      <c r="M39" s="357">
        <f>L39</f>
        <v>0</v>
      </c>
      <c r="N39" s="357">
        <f t="shared" si="67"/>
        <v>0</v>
      </c>
      <c r="O39" s="357">
        <f t="shared" si="67"/>
        <v>0</v>
      </c>
      <c r="P39" s="357">
        <f>O39*(1+$D$4)</f>
        <v>0</v>
      </c>
      <c r="Q39" s="357">
        <f>P39</f>
        <v>0</v>
      </c>
      <c r="R39" s="357">
        <f t="shared" si="50"/>
        <v>0</v>
      </c>
      <c r="S39" s="357">
        <f>R39</f>
        <v>0</v>
      </c>
      <c r="T39" s="357">
        <f>S39*(1+$D$4)</f>
        <v>0</v>
      </c>
      <c r="U39" s="357">
        <f>T39</f>
        <v>0</v>
      </c>
      <c r="V39" s="357">
        <v>35000</v>
      </c>
      <c r="W39" s="357">
        <f>V39</f>
        <v>35000</v>
      </c>
      <c r="X39" s="357">
        <f t="shared" si="54"/>
        <v>35000</v>
      </c>
      <c r="Y39" s="357">
        <f t="shared" si="55"/>
        <v>35000</v>
      </c>
      <c r="Z39" s="357">
        <f t="shared" si="56"/>
        <v>35000</v>
      </c>
      <c r="AA39" s="357">
        <f t="shared" si="57"/>
        <v>35000</v>
      </c>
    </row>
    <row r="40" spans="1:27" ht="18.95" customHeight="1">
      <c r="A40" s="347"/>
      <c r="B40" s="353"/>
      <c r="C40" s="361" t="s">
        <v>202</v>
      </c>
      <c r="D40" s="357">
        <v>0</v>
      </c>
      <c r="E40" s="357">
        <v>0</v>
      </c>
      <c r="F40" s="357">
        <v>0</v>
      </c>
      <c r="G40" s="357">
        <v>0</v>
      </c>
      <c r="H40" s="357">
        <v>0</v>
      </c>
      <c r="I40" s="357">
        <f t="shared" si="80"/>
        <v>0</v>
      </c>
      <c r="J40" s="357">
        <v>0</v>
      </c>
      <c r="K40" s="362">
        <f t="shared" si="66"/>
        <v>0</v>
      </c>
      <c r="L40" s="357">
        <f>K40*(1+$D$4)</f>
        <v>0</v>
      </c>
      <c r="M40" s="357">
        <f t="shared" si="67"/>
        <v>0</v>
      </c>
      <c r="N40" s="357">
        <f t="shared" si="67"/>
        <v>0</v>
      </c>
      <c r="O40" s="357">
        <f t="shared" si="67"/>
        <v>0</v>
      </c>
      <c r="P40" s="357">
        <f>O40</f>
        <v>0</v>
      </c>
      <c r="Q40" s="357">
        <f>P40</f>
        <v>0</v>
      </c>
      <c r="R40" s="357">
        <f>Q40</f>
        <v>0</v>
      </c>
      <c r="S40" s="357">
        <f t="shared" si="50"/>
        <v>0</v>
      </c>
      <c r="T40" s="357">
        <v>11500</v>
      </c>
      <c r="U40" s="357">
        <f>T40</f>
        <v>11500</v>
      </c>
      <c r="V40" s="357">
        <f t="shared" si="78"/>
        <v>11500</v>
      </c>
      <c r="W40" s="357">
        <f t="shared" si="53"/>
        <v>11500</v>
      </c>
      <c r="X40" s="357">
        <f t="shared" si="54"/>
        <v>11500</v>
      </c>
      <c r="Y40" s="357">
        <f t="shared" si="55"/>
        <v>11500</v>
      </c>
      <c r="Z40" s="357">
        <f t="shared" si="56"/>
        <v>11500</v>
      </c>
      <c r="AA40" s="357">
        <f t="shared" si="57"/>
        <v>11500</v>
      </c>
    </row>
    <row r="41" spans="1:27" ht="18.95" customHeight="1">
      <c r="A41" s="347"/>
      <c r="B41" s="353"/>
      <c r="C41" s="353" t="s">
        <v>203</v>
      </c>
      <c r="D41" s="371"/>
      <c r="E41" s="371"/>
      <c r="F41" s="371"/>
      <c r="G41" s="357"/>
      <c r="H41" s="371"/>
      <c r="I41" s="371"/>
      <c r="J41" s="371"/>
      <c r="K41" s="362"/>
      <c r="L41" s="371"/>
      <c r="M41" s="371"/>
      <c r="N41" s="371"/>
      <c r="O41" s="357"/>
      <c r="P41" s="371"/>
      <c r="Q41" s="371"/>
      <c r="R41" s="371"/>
      <c r="S41" s="357"/>
      <c r="T41" s="371"/>
      <c r="U41" s="371"/>
      <c r="V41" s="371"/>
      <c r="W41" s="357"/>
      <c r="X41" s="357"/>
      <c r="Y41" s="357"/>
      <c r="Z41" s="357"/>
      <c r="AA41" s="357"/>
    </row>
    <row r="42" spans="1:27" ht="18.95" customHeight="1">
      <c r="A42" s="347"/>
      <c r="B42" s="353"/>
      <c r="C42" s="361" t="s">
        <v>204</v>
      </c>
      <c r="D42" s="357">
        <v>0</v>
      </c>
      <c r="E42" s="357">
        <v>0</v>
      </c>
      <c r="F42" s="357">
        <v>0</v>
      </c>
      <c r="G42" s="357">
        <v>0</v>
      </c>
      <c r="H42" s="357">
        <v>0</v>
      </c>
      <c r="I42" s="357">
        <v>0</v>
      </c>
      <c r="J42" s="357">
        <f t="shared" ref="J42:K43" si="81">I42</f>
        <v>0</v>
      </c>
      <c r="K42" s="362">
        <f t="shared" si="81"/>
        <v>0</v>
      </c>
      <c r="L42" s="357">
        <v>0</v>
      </c>
      <c r="M42" s="357">
        <f t="shared" ref="M42:O43" si="82">L42</f>
        <v>0</v>
      </c>
      <c r="N42" s="357">
        <f t="shared" si="82"/>
        <v>0</v>
      </c>
      <c r="O42" s="357">
        <f t="shared" si="82"/>
        <v>0</v>
      </c>
      <c r="P42" s="357">
        <f>O42*(1+$D$4)</f>
        <v>0</v>
      </c>
      <c r="Q42" s="357">
        <f t="shared" ref="Q42:S44" si="83">P42</f>
        <v>0</v>
      </c>
      <c r="R42" s="357">
        <f>Q42</f>
        <v>0</v>
      </c>
      <c r="S42" s="357">
        <f t="shared" si="83"/>
        <v>0</v>
      </c>
      <c r="T42" s="357">
        <f>S42*(1+$D$4)</f>
        <v>0</v>
      </c>
      <c r="U42" s="357">
        <f t="shared" ref="U42:U44" si="84">T42</f>
        <v>0</v>
      </c>
      <c r="V42" s="357">
        <v>35000</v>
      </c>
      <c r="W42" s="357">
        <f t="shared" ref="W42:W44" si="85">V42</f>
        <v>35000</v>
      </c>
      <c r="X42" s="357">
        <f t="shared" ref="X42:X44" si="86">W42</f>
        <v>35000</v>
      </c>
      <c r="Y42" s="357">
        <f t="shared" ref="Y42:Y44" si="87">X42</f>
        <v>35000</v>
      </c>
      <c r="Z42" s="357">
        <f t="shared" ref="Z42:Z44" si="88">Y42</f>
        <v>35000</v>
      </c>
      <c r="AA42" s="357">
        <f t="shared" ref="AA42:AA44" si="89">Z42</f>
        <v>35000</v>
      </c>
    </row>
    <row r="43" spans="1:27" ht="18.95" customHeight="1">
      <c r="A43" s="347"/>
      <c r="B43" s="353"/>
      <c r="C43" s="361" t="s">
        <v>205</v>
      </c>
      <c r="D43" s="357">
        <v>0</v>
      </c>
      <c r="E43" s="357">
        <v>0</v>
      </c>
      <c r="F43" s="357">
        <v>0</v>
      </c>
      <c r="G43" s="357">
        <v>0</v>
      </c>
      <c r="H43" s="357">
        <v>0</v>
      </c>
      <c r="I43" s="357">
        <f t="shared" ref="I43" si="90">H43</f>
        <v>0</v>
      </c>
      <c r="J43" s="362">
        <f t="shared" si="81"/>
        <v>0</v>
      </c>
      <c r="K43" s="362">
        <f>J43</f>
        <v>0</v>
      </c>
      <c r="L43" s="357">
        <v>0</v>
      </c>
      <c r="M43" s="357">
        <f t="shared" si="82"/>
        <v>0</v>
      </c>
      <c r="N43" s="357">
        <f>M43</f>
        <v>0</v>
      </c>
      <c r="O43" s="357">
        <f t="shared" si="82"/>
        <v>0</v>
      </c>
      <c r="P43" s="357">
        <f>O43</f>
        <v>0</v>
      </c>
      <c r="Q43" s="357">
        <f t="shared" si="83"/>
        <v>0</v>
      </c>
      <c r="R43" s="357">
        <f>Q43</f>
        <v>0</v>
      </c>
      <c r="S43" s="357">
        <f>R43</f>
        <v>0</v>
      </c>
      <c r="T43" s="357">
        <v>35000</v>
      </c>
      <c r="U43" s="357">
        <f>T43</f>
        <v>35000</v>
      </c>
      <c r="V43" s="357">
        <f>U43</f>
        <v>35000</v>
      </c>
      <c r="W43" s="357">
        <f>V43</f>
        <v>35000</v>
      </c>
      <c r="X43" s="357">
        <f t="shared" si="86"/>
        <v>35000</v>
      </c>
      <c r="Y43" s="357">
        <f t="shared" si="87"/>
        <v>35000</v>
      </c>
      <c r="Z43" s="357">
        <f t="shared" si="88"/>
        <v>35000</v>
      </c>
      <c r="AA43" s="357">
        <f t="shared" si="89"/>
        <v>35000</v>
      </c>
    </row>
    <row r="44" spans="1:27" ht="18.95" customHeight="1">
      <c r="A44" s="347"/>
      <c r="B44" s="353"/>
      <c r="C44" s="353" t="s">
        <v>206</v>
      </c>
      <c r="D44" s="357">
        <v>0</v>
      </c>
      <c r="E44" s="357">
        <v>0</v>
      </c>
      <c r="F44" s="357">
        <v>0</v>
      </c>
      <c r="G44" s="357">
        <v>0</v>
      </c>
      <c r="H44" s="357">
        <v>0</v>
      </c>
      <c r="I44" s="357">
        <v>0</v>
      </c>
      <c r="J44" s="357">
        <v>0</v>
      </c>
      <c r="K44" s="362">
        <v>0</v>
      </c>
      <c r="L44" s="357">
        <v>0</v>
      </c>
      <c r="M44" s="357">
        <v>0</v>
      </c>
      <c r="N44" s="357">
        <v>0</v>
      </c>
      <c r="O44" s="357">
        <f>N44</f>
        <v>0</v>
      </c>
      <c r="P44" s="357">
        <f>O44</f>
        <v>0</v>
      </c>
      <c r="Q44" s="357">
        <f>P44</f>
        <v>0</v>
      </c>
      <c r="R44" s="357">
        <f t="shared" si="83"/>
        <v>0</v>
      </c>
      <c r="S44" s="357">
        <f t="shared" si="83"/>
        <v>0</v>
      </c>
      <c r="T44" s="357">
        <f>S44</f>
        <v>0</v>
      </c>
      <c r="U44" s="357">
        <f t="shared" si="84"/>
        <v>0</v>
      </c>
      <c r="V44" s="357">
        <f t="shared" ref="V44" si="91">U44</f>
        <v>0</v>
      </c>
      <c r="W44" s="357">
        <f t="shared" si="85"/>
        <v>0</v>
      </c>
      <c r="X44" s="357">
        <f t="shared" si="86"/>
        <v>0</v>
      </c>
      <c r="Y44" s="357">
        <f t="shared" si="87"/>
        <v>0</v>
      </c>
      <c r="Z44" s="357">
        <f t="shared" si="88"/>
        <v>0</v>
      </c>
      <c r="AA44" s="357">
        <f t="shared" si="89"/>
        <v>0</v>
      </c>
    </row>
    <row r="45" spans="1:27" ht="18.95" customHeight="1">
      <c r="A45" s="347"/>
      <c r="B45" s="358"/>
      <c r="C45" s="353" t="s">
        <v>207</v>
      </c>
      <c r="D45" s="371"/>
      <c r="E45" s="371"/>
      <c r="F45" s="371"/>
      <c r="G45" s="357"/>
      <c r="H45" s="359"/>
      <c r="I45" s="359"/>
      <c r="J45" s="359"/>
      <c r="K45" s="359"/>
      <c r="L45" s="359"/>
      <c r="M45" s="359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</row>
    <row r="46" spans="1:27" ht="18.95" customHeight="1">
      <c r="A46" s="347"/>
      <c r="B46" s="354"/>
      <c r="C46" s="361" t="s">
        <v>208</v>
      </c>
      <c r="D46" s="357">
        <v>0</v>
      </c>
      <c r="E46" s="357">
        <v>0</v>
      </c>
      <c r="F46" s="357">
        <v>0</v>
      </c>
      <c r="G46" s="357">
        <v>0</v>
      </c>
      <c r="H46" s="357">
        <v>0</v>
      </c>
      <c r="I46" s="357">
        <v>0</v>
      </c>
      <c r="J46" s="357">
        <v>0</v>
      </c>
      <c r="K46" s="362">
        <v>0</v>
      </c>
      <c r="L46" s="357">
        <v>0</v>
      </c>
      <c r="M46" s="357">
        <v>0</v>
      </c>
      <c r="N46" s="357">
        <v>0</v>
      </c>
      <c r="O46" s="357">
        <v>0</v>
      </c>
      <c r="P46" s="357">
        <v>0</v>
      </c>
      <c r="Q46" s="357">
        <v>0</v>
      </c>
      <c r="R46" s="357">
        <f>Q46</f>
        <v>0</v>
      </c>
      <c r="S46" s="357">
        <f t="shared" ref="Q46:S49" si="92">R46</f>
        <v>0</v>
      </c>
      <c r="T46" s="357">
        <f>S46*(1+$D$4)</f>
        <v>0</v>
      </c>
      <c r="U46" s="357">
        <f>T46</f>
        <v>0</v>
      </c>
      <c r="V46" s="357">
        <f t="shared" ref="V46:W46" si="93">U46</f>
        <v>0</v>
      </c>
      <c r="W46" s="357">
        <f t="shared" si="93"/>
        <v>0</v>
      </c>
      <c r="X46" s="357">
        <f t="shared" ref="X46:X49" si="94">W46</f>
        <v>0</v>
      </c>
      <c r="Y46" s="357">
        <f t="shared" ref="Y46:Y49" si="95">X46</f>
        <v>0</v>
      </c>
      <c r="Z46" s="357">
        <f t="shared" ref="Z46:Z49" si="96">Y46</f>
        <v>0</v>
      </c>
      <c r="AA46" s="357">
        <f t="shared" ref="AA46:AA49" si="97">Z46</f>
        <v>0</v>
      </c>
    </row>
    <row r="47" spans="1:27" ht="18.95" customHeight="1">
      <c r="A47" s="347"/>
      <c r="B47" s="354"/>
      <c r="C47" s="361" t="s">
        <v>209</v>
      </c>
      <c r="D47" s="357">
        <v>0</v>
      </c>
      <c r="E47" s="357">
        <v>0</v>
      </c>
      <c r="F47" s="357">
        <v>0</v>
      </c>
      <c r="G47" s="357">
        <v>0</v>
      </c>
      <c r="H47" s="357">
        <v>0</v>
      </c>
      <c r="I47" s="357">
        <v>0</v>
      </c>
      <c r="J47" s="357">
        <v>0</v>
      </c>
      <c r="K47" s="362">
        <v>0</v>
      </c>
      <c r="L47" s="357">
        <v>0</v>
      </c>
      <c r="M47" s="357">
        <f t="shared" ref="M47:O49" si="98">L47</f>
        <v>0</v>
      </c>
      <c r="N47" s="362">
        <f t="shared" si="98"/>
        <v>0</v>
      </c>
      <c r="O47" s="357">
        <f>$L$47</f>
        <v>0</v>
      </c>
      <c r="P47" s="357">
        <v>0</v>
      </c>
      <c r="Q47" s="357">
        <f t="shared" si="92"/>
        <v>0</v>
      </c>
      <c r="R47" s="357">
        <f t="shared" si="92"/>
        <v>0</v>
      </c>
      <c r="S47" s="357">
        <f t="shared" si="92"/>
        <v>0</v>
      </c>
      <c r="T47" s="357">
        <v>0</v>
      </c>
      <c r="U47" s="357">
        <f t="shared" ref="U47:U49" si="99">T47</f>
        <v>0</v>
      </c>
      <c r="V47" s="357">
        <f t="shared" ref="V47:V49" si="100">U47</f>
        <v>0</v>
      </c>
      <c r="W47" s="357">
        <f t="shared" ref="W47:W49" si="101">V47</f>
        <v>0</v>
      </c>
      <c r="X47" s="357">
        <f t="shared" si="94"/>
        <v>0</v>
      </c>
      <c r="Y47" s="357">
        <f t="shared" si="95"/>
        <v>0</v>
      </c>
      <c r="Z47" s="357">
        <f t="shared" si="96"/>
        <v>0</v>
      </c>
      <c r="AA47" s="357">
        <f t="shared" si="97"/>
        <v>0</v>
      </c>
    </row>
    <row r="48" spans="1:27" ht="18.95" customHeight="1">
      <c r="A48" s="347"/>
      <c r="B48" s="354"/>
      <c r="C48" s="361" t="s">
        <v>210</v>
      </c>
      <c r="D48" s="357">
        <v>0</v>
      </c>
      <c r="E48" s="357">
        <v>0</v>
      </c>
      <c r="F48" s="357">
        <v>0</v>
      </c>
      <c r="G48" s="357">
        <f>F48</f>
        <v>0</v>
      </c>
      <c r="H48" s="357">
        <v>0</v>
      </c>
      <c r="I48" s="357">
        <f t="shared" ref="I48:K49" si="102">H48</f>
        <v>0</v>
      </c>
      <c r="J48" s="362">
        <f t="shared" si="102"/>
        <v>0</v>
      </c>
      <c r="K48" s="362">
        <f t="shared" si="102"/>
        <v>0</v>
      </c>
      <c r="L48" s="357">
        <f>K48*(1+$D$4)</f>
        <v>0</v>
      </c>
      <c r="M48" s="357">
        <f t="shared" si="98"/>
        <v>0</v>
      </c>
      <c r="N48" s="357">
        <v>30000</v>
      </c>
      <c r="O48" s="357">
        <f t="shared" si="98"/>
        <v>30000</v>
      </c>
      <c r="P48" s="357">
        <f>O48*(1+$D$4)</f>
        <v>31049.999999999996</v>
      </c>
      <c r="Q48" s="357">
        <f t="shared" si="92"/>
        <v>31049.999999999996</v>
      </c>
      <c r="R48" s="357">
        <f t="shared" si="92"/>
        <v>31049.999999999996</v>
      </c>
      <c r="S48" s="357">
        <f t="shared" si="92"/>
        <v>31049.999999999996</v>
      </c>
      <c r="T48" s="357">
        <f>P48*(1+$D$4)</f>
        <v>32136.749999999993</v>
      </c>
      <c r="U48" s="357">
        <f t="shared" si="99"/>
        <v>32136.749999999993</v>
      </c>
      <c r="V48" s="357">
        <f t="shared" si="100"/>
        <v>32136.749999999993</v>
      </c>
      <c r="W48" s="357">
        <f t="shared" si="101"/>
        <v>32136.749999999993</v>
      </c>
      <c r="X48" s="357">
        <f t="shared" si="94"/>
        <v>32136.749999999993</v>
      </c>
      <c r="Y48" s="357">
        <f t="shared" si="95"/>
        <v>32136.749999999993</v>
      </c>
      <c r="Z48" s="357">
        <f t="shared" si="96"/>
        <v>32136.749999999993</v>
      </c>
      <c r="AA48" s="357">
        <f t="shared" si="97"/>
        <v>32136.749999999993</v>
      </c>
    </row>
    <row r="49" spans="1:27" ht="18.95" customHeight="1">
      <c r="A49" s="347"/>
      <c r="B49" s="354"/>
      <c r="C49" s="361" t="s">
        <v>211</v>
      </c>
      <c r="D49" s="357">
        <v>0</v>
      </c>
      <c r="E49" s="357">
        <v>0</v>
      </c>
      <c r="F49" s="357">
        <f>E49</f>
        <v>0</v>
      </c>
      <c r="G49" s="357">
        <f>F49</f>
        <v>0</v>
      </c>
      <c r="H49" s="357">
        <v>0</v>
      </c>
      <c r="I49" s="357">
        <f t="shared" si="102"/>
        <v>0</v>
      </c>
      <c r="J49" s="362">
        <f t="shared" si="102"/>
        <v>0</v>
      </c>
      <c r="K49" s="362">
        <f t="shared" si="102"/>
        <v>0</v>
      </c>
      <c r="L49" s="357">
        <f>K49*(1+$D$4)</f>
        <v>0</v>
      </c>
      <c r="M49" s="357">
        <f t="shared" si="98"/>
        <v>0</v>
      </c>
      <c r="N49" s="357">
        <v>0</v>
      </c>
      <c r="O49" s="357">
        <f t="shared" si="98"/>
        <v>0</v>
      </c>
      <c r="P49" s="357">
        <v>12000</v>
      </c>
      <c r="Q49" s="357">
        <f t="shared" si="92"/>
        <v>12000</v>
      </c>
      <c r="R49" s="357">
        <f t="shared" si="92"/>
        <v>12000</v>
      </c>
      <c r="S49" s="357">
        <f t="shared" si="92"/>
        <v>12000</v>
      </c>
      <c r="T49" s="357">
        <f>P49*(1+$D$4)</f>
        <v>12419.999999999998</v>
      </c>
      <c r="U49" s="357">
        <f t="shared" si="99"/>
        <v>12419.999999999998</v>
      </c>
      <c r="V49" s="357">
        <f t="shared" si="100"/>
        <v>12419.999999999998</v>
      </c>
      <c r="W49" s="357">
        <f t="shared" si="101"/>
        <v>12419.999999999998</v>
      </c>
      <c r="X49" s="357">
        <f t="shared" si="94"/>
        <v>12419.999999999998</v>
      </c>
      <c r="Y49" s="357">
        <f t="shared" si="95"/>
        <v>12419.999999999998</v>
      </c>
      <c r="Z49" s="357">
        <f t="shared" si="96"/>
        <v>12419.999999999998</v>
      </c>
      <c r="AA49" s="357">
        <f t="shared" si="97"/>
        <v>12419.999999999998</v>
      </c>
    </row>
    <row r="50" spans="1:27" ht="18.95" customHeight="1">
      <c r="A50" s="347"/>
      <c r="B50" s="354"/>
      <c r="C50" s="353" t="s">
        <v>212</v>
      </c>
      <c r="D50" s="371"/>
      <c r="E50" s="371"/>
      <c r="F50" s="371"/>
      <c r="G50" s="357"/>
      <c r="H50" s="371"/>
      <c r="I50" s="371"/>
      <c r="J50" s="371"/>
      <c r="K50" s="362"/>
      <c r="L50" s="371"/>
      <c r="M50" s="371"/>
      <c r="N50" s="371"/>
      <c r="O50" s="357"/>
      <c r="P50" s="371"/>
      <c r="Q50" s="371"/>
      <c r="R50" s="371"/>
      <c r="S50" s="357"/>
      <c r="T50" s="371"/>
      <c r="U50" s="371"/>
      <c r="V50" s="371"/>
      <c r="W50" s="357"/>
      <c r="X50" s="357"/>
      <c r="Y50" s="357"/>
      <c r="Z50" s="357"/>
      <c r="AA50" s="357"/>
    </row>
    <row r="51" spans="1:27" ht="18.95" customHeight="1">
      <c r="A51" s="347"/>
      <c r="B51" s="354"/>
      <c r="C51" s="361" t="s">
        <v>213</v>
      </c>
      <c r="D51" s="357">
        <v>0</v>
      </c>
      <c r="E51" s="357">
        <v>0</v>
      </c>
      <c r="F51" s="357">
        <v>0</v>
      </c>
      <c r="G51" s="357">
        <v>0</v>
      </c>
      <c r="H51" s="357">
        <v>0</v>
      </c>
      <c r="I51" s="357">
        <v>0</v>
      </c>
      <c r="J51" s="357">
        <v>5040</v>
      </c>
      <c r="K51" s="362">
        <f t="shared" ref="K51" si="103">J51</f>
        <v>5040</v>
      </c>
      <c r="L51" s="357">
        <f>K51*(1+$D$4)</f>
        <v>5216.3999999999996</v>
      </c>
      <c r="M51" s="357">
        <f t="shared" ref="M51:O52" si="104">L51</f>
        <v>5216.3999999999996</v>
      </c>
      <c r="N51" s="357">
        <f t="shared" si="104"/>
        <v>5216.3999999999996</v>
      </c>
      <c r="O51" s="357">
        <f t="shared" si="104"/>
        <v>5216.3999999999996</v>
      </c>
      <c r="P51" s="357">
        <f>O51*(1+$D$4)</f>
        <v>5398.9739999999993</v>
      </c>
      <c r="Q51" s="357">
        <f>P51</f>
        <v>5398.9739999999993</v>
      </c>
      <c r="R51" s="357">
        <f t="shared" ref="R51:S52" si="105">Q51</f>
        <v>5398.9739999999993</v>
      </c>
      <c r="S51" s="357">
        <f t="shared" si="105"/>
        <v>5398.9739999999993</v>
      </c>
      <c r="T51" s="357">
        <f>P51*(1+$D$4)</f>
        <v>5587.9380899999987</v>
      </c>
      <c r="U51" s="357">
        <f>T51</f>
        <v>5587.9380899999987</v>
      </c>
      <c r="V51" s="357">
        <f t="shared" ref="V51:V52" si="106">U51</f>
        <v>5587.9380899999987</v>
      </c>
      <c r="W51" s="357">
        <f t="shared" ref="W51:W52" si="107">V51</f>
        <v>5587.9380899999987</v>
      </c>
      <c r="X51" s="357">
        <f t="shared" ref="X51:X52" si="108">W51</f>
        <v>5587.9380899999987</v>
      </c>
      <c r="Y51" s="357">
        <f t="shared" ref="Y51:Y52" si="109">X51</f>
        <v>5587.9380899999987</v>
      </c>
      <c r="Z51" s="357">
        <f t="shared" ref="Z51:Z52" si="110">Y51</f>
        <v>5587.9380899999987</v>
      </c>
      <c r="AA51" s="357">
        <f t="shared" ref="AA51:AA52" si="111">Z51</f>
        <v>5587.9380899999987</v>
      </c>
    </row>
    <row r="52" spans="1:27" ht="18.95" customHeight="1">
      <c r="A52" s="347"/>
      <c r="B52" s="354"/>
      <c r="C52" s="361" t="s">
        <v>214</v>
      </c>
      <c r="D52" s="357">
        <v>0</v>
      </c>
      <c r="E52" s="357">
        <v>0</v>
      </c>
      <c r="F52" s="357">
        <v>0</v>
      </c>
      <c r="G52" s="357">
        <v>0</v>
      </c>
      <c r="H52" s="357">
        <v>0</v>
      </c>
      <c r="I52" s="357">
        <v>0</v>
      </c>
      <c r="J52" s="362">
        <v>5040</v>
      </c>
      <c r="K52" s="362">
        <f>J52</f>
        <v>5040</v>
      </c>
      <c r="L52" s="357">
        <f>K52*(1+$D$4)</f>
        <v>5216.3999999999996</v>
      </c>
      <c r="M52" s="357">
        <f t="shared" si="104"/>
        <v>5216.3999999999996</v>
      </c>
      <c r="N52" s="357">
        <f>M52</f>
        <v>5216.3999999999996</v>
      </c>
      <c r="O52" s="357">
        <f t="shared" si="104"/>
        <v>5216.3999999999996</v>
      </c>
      <c r="P52" s="357">
        <f>O52*(1+$D$4)</f>
        <v>5398.9739999999993</v>
      </c>
      <c r="Q52" s="357">
        <f>P52</f>
        <v>5398.9739999999993</v>
      </c>
      <c r="R52" s="357">
        <f t="shared" si="105"/>
        <v>5398.9739999999993</v>
      </c>
      <c r="S52" s="357">
        <f t="shared" si="105"/>
        <v>5398.9739999999993</v>
      </c>
      <c r="T52" s="357">
        <f>P52*(1+$D$4)</f>
        <v>5587.9380899999987</v>
      </c>
      <c r="U52" s="357">
        <f>T52</f>
        <v>5587.9380899999987</v>
      </c>
      <c r="V52" s="357">
        <f t="shared" si="106"/>
        <v>5587.9380899999987</v>
      </c>
      <c r="W52" s="357">
        <f t="shared" si="107"/>
        <v>5587.9380899999987</v>
      </c>
      <c r="X52" s="357">
        <f t="shared" si="108"/>
        <v>5587.9380899999987</v>
      </c>
      <c r="Y52" s="357">
        <f t="shared" si="109"/>
        <v>5587.9380899999987</v>
      </c>
      <c r="Z52" s="357">
        <f t="shared" si="110"/>
        <v>5587.9380899999987</v>
      </c>
      <c r="AA52" s="357">
        <f t="shared" si="111"/>
        <v>5587.9380899999987</v>
      </c>
    </row>
    <row r="53" spans="1:27" ht="18.95" customHeight="1">
      <c r="A53" s="347"/>
      <c r="B53" s="347"/>
      <c r="C53" s="347"/>
      <c r="D53" s="347"/>
      <c r="E53" s="347"/>
      <c r="F53" s="347"/>
      <c r="G53" s="347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</row>
    <row r="54" spans="1:27" ht="18.95" customHeight="1">
      <c r="B54" s="353" t="s">
        <v>164</v>
      </c>
      <c r="C54" s="354"/>
      <c r="D54" s="354"/>
      <c r="E54" s="354"/>
      <c r="F54" s="354"/>
      <c r="G54" s="354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58"/>
      <c r="U54" s="358"/>
      <c r="V54" s="358"/>
      <c r="W54" s="358"/>
      <c r="X54" s="358"/>
      <c r="Y54" s="358"/>
      <c r="Z54" s="358"/>
      <c r="AA54" s="358"/>
    </row>
    <row r="55" spans="1:27" ht="18.95" customHeight="1">
      <c r="B55" s="353"/>
      <c r="C55" s="374" t="s">
        <v>170</v>
      </c>
      <c r="D55" s="375">
        <f t="shared" ref="D55:S55" si="112">SUM(D56:D58)</f>
        <v>0</v>
      </c>
      <c r="E55" s="375">
        <f t="shared" si="112"/>
        <v>0</v>
      </c>
      <c r="F55" s="375">
        <f t="shared" si="112"/>
        <v>0</v>
      </c>
      <c r="G55" s="376">
        <f t="shared" si="112"/>
        <v>2</v>
      </c>
      <c r="H55" s="376">
        <f t="shared" si="112"/>
        <v>2</v>
      </c>
      <c r="I55" s="376">
        <f t="shared" si="112"/>
        <v>2</v>
      </c>
      <c r="J55" s="376">
        <f t="shared" si="112"/>
        <v>2</v>
      </c>
      <c r="K55" s="376">
        <f t="shared" si="112"/>
        <v>2</v>
      </c>
      <c r="L55" s="376">
        <f t="shared" si="112"/>
        <v>2</v>
      </c>
      <c r="M55" s="376">
        <f t="shared" si="112"/>
        <v>2</v>
      </c>
      <c r="N55" s="376">
        <f t="shared" si="112"/>
        <v>2</v>
      </c>
      <c r="O55" s="376">
        <f t="shared" si="112"/>
        <v>2</v>
      </c>
      <c r="P55" s="376">
        <f t="shared" si="112"/>
        <v>2</v>
      </c>
      <c r="Q55" s="376">
        <f t="shared" si="112"/>
        <v>2</v>
      </c>
      <c r="R55" s="376">
        <f t="shared" si="112"/>
        <v>2</v>
      </c>
      <c r="S55" s="376">
        <f t="shared" si="112"/>
        <v>2</v>
      </c>
      <c r="T55" s="376">
        <f t="shared" ref="T55:W55" si="113">SUM(T56:T58)</f>
        <v>2</v>
      </c>
      <c r="U55" s="376">
        <f t="shared" si="113"/>
        <v>2</v>
      </c>
      <c r="V55" s="376">
        <f t="shared" si="113"/>
        <v>2</v>
      </c>
      <c r="W55" s="376">
        <f t="shared" si="113"/>
        <v>2</v>
      </c>
      <c r="X55" s="376">
        <f t="shared" ref="X55:AA55" si="114">SUM(X56:X58)</f>
        <v>2</v>
      </c>
      <c r="Y55" s="376">
        <f t="shared" si="114"/>
        <v>2</v>
      </c>
      <c r="Z55" s="376">
        <f t="shared" si="114"/>
        <v>2</v>
      </c>
      <c r="AA55" s="376">
        <f t="shared" si="114"/>
        <v>2</v>
      </c>
    </row>
    <row r="56" spans="1:27" ht="18.95" customHeight="1">
      <c r="A56" s="347"/>
      <c r="B56" s="354"/>
      <c r="C56" s="361" t="s">
        <v>171</v>
      </c>
      <c r="D56" s="365">
        <v>0</v>
      </c>
      <c r="E56" s="365">
        <v>0</v>
      </c>
      <c r="F56" s="365">
        <v>0</v>
      </c>
      <c r="G56" s="357">
        <v>1</v>
      </c>
      <c r="H56" s="365">
        <f t="shared" ref="H56:AA56" si="115">$G$56</f>
        <v>1</v>
      </c>
      <c r="I56" s="365">
        <f t="shared" si="115"/>
        <v>1</v>
      </c>
      <c r="J56" s="365">
        <f t="shared" si="115"/>
        <v>1</v>
      </c>
      <c r="K56" s="365">
        <f t="shared" si="115"/>
        <v>1</v>
      </c>
      <c r="L56" s="365">
        <f t="shared" si="115"/>
        <v>1</v>
      </c>
      <c r="M56" s="365">
        <f t="shared" si="115"/>
        <v>1</v>
      </c>
      <c r="N56" s="365">
        <f t="shared" si="115"/>
        <v>1</v>
      </c>
      <c r="O56" s="365">
        <f t="shared" si="115"/>
        <v>1</v>
      </c>
      <c r="P56" s="365">
        <f t="shared" si="115"/>
        <v>1</v>
      </c>
      <c r="Q56" s="365">
        <f t="shared" si="115"/>
        <v>1</v>
      </c>
      <c r="R56" s="365">
        <f t="shared" si="115"/>
        <v>1</v>
      </c>
      <c r="S56" s="365">
        <f t="shared" si="115"/>
        <v>1</v>
      </c>
      <c r="T56" s="365">
        <f t="shared" si="115"/>
        <v>1</v>
      </c>
      <c r="U56" s="365">
        <f t="shared" si="115"/>
        <v>1</v>
      </c>
      <c r="V56" s="365">
        <f t="shared" si="115"/>
        <v>1</v>
      </c>
      <c r="W56" s="365">
        <f t="shared" si="115"/>
        <v>1</v>
      </c>
      <c r="X56" s="365">
        <f t="shared" si="115"/>
        <v>1</v>
      </c>
      <c r="Y56" s="365">
        <f t="shared" si="115"/>
        <v>1</v>
      </c>
      <c r="Z56" s="365">
        <f t="shared" si="115"/>
        <v>1</v>
      </c>
      <c r="AA56" s="365">
        <f t="shared" si="115"/>
        <v>1</v>
      </c>
    </row>
    <row r="57" spans="1:27" ht="18.95" customHeight="1">
      <c r="A57" s="347"/>
      <c r="B57" s="354"/>
      <c r="C57" s="361" t="s">
        <v>172</v>
      </c>
      <c r="D57" s="365">
        <v>0</v>
      </c>
      <c r="E57" s="365">
        <v>0</v>
      </c>
      <c r="F57" s="365">
        <v>0</v>
      </c>
      <c r="G57" s="357">
        <v>1</v>
      </c>
      <c r="H57" s="365">
        <f t="shared" ref="H57:AA57" si="116">$G$57</f>
        <v>1</v>
      </c>
      <c r="I57" s="365">
        <f t="shared" si="116"/>
        <v>1</v>
      </c>
      <c r="J57" s="365">
        <f t="shared" si="116"/>
        <v>1</v>
      </c>
      <c r="K57" s="365">
        <f t="shared" si="116"/>
        <v>1</v>
      </c>
      <c r="L57" s="365">
        <f t="shared" si="116"/>
        <v>1</v>
      </c>
      <c r="M57" s="365">
        <f t="shared" si="116"/>
        <v>1</v>
      </c>
      <c r="N57" s="365">
        <f t="shared" si="116"/>
        <v>1</v>
      </c>
      <c r="O57" s="365">
        <f t="shared" si="116"/>
        <v>1</v>
      </c>
      <c r="P57" s="365">
        <f t="shared" si="116"/>
        <v>1</v>
      </c>
      <c r="Q57" s="365">
        <f t="shared" si="116"/>
        <v>1</v>
      </c>
      <c r="R57" s="365">
        <f t="shared" si="116"/>
        <v>1</v>
      </c>
      <c r="S57" s="365">
        <f t="shared" si="116"/>
        <v>1</v>
      </c>
      <c r="T57" s="365">
        <f t="shared" si="116"/>
        <v>1</v>
      </c>
      <c r="U57" s="365">
        <f t="shared" si="116"/>
        <v>1</v>
      </c>
      <c r="V57" s="365">
        <f t="shared" si="116"/>
        <v>1</v>
      </c>
      <c r="W57" s="365">
        <f t="shared" si="116"/>
        <v>1</v>
      </c>
      <c r="X57" s="365">
        <f t="shared" si="116"/>
        <v>1</v>
      </c>
      <c r="Y57" s="365">
        <f t="shared" si="116"/>
        <v>1</v>
      </c>
      <c r="Z57" s="365">
        <f t="shared" si="116"/>
        <v>1</v>
      </c>
      <c r="AA57" s="365">
        <f t="shared" si="116"/>
        <v>1</v>
      </c>
    </row>
    <row r="58" spans="1:27" ht="18.95" customHeight="1">
      <c r="A58" s="347"/>
      <c r="B58" s="354"/>
      <c r="C58" s="361" t="s">
        <v>173</v>
      </c>
      <c r="D58" s="365">
        <v>0</v>
      </c>
      <c r="E58" s="365">
        <v>0</v>
      </c>
      <c r="F58" s="365">
        <v>0</v>
      </c>
      <c r="G58" s="357">
        <v>0</v>
      </c>
      <c r="H58" s="365">
        <v>0</v>
      </c>
      <c r="I58" s="365">
        <v>0</v>
      </c>
      <c r="J58" s="365">
        <v>0</v>
      </c>
      <c r="K58" s="365">
        <f>$J$58</f>
        <v>0</v>
      </c>
      <c r="L58" s="365">
        <f t="shared" ref="L58:O58" si="117">$J$58</f>
        <v>0</v>
      </c>
      <c r="M58" s="365">
        <f t="shared" si="117"/>
        <v>0</v>
      </c>
      <c r="N58" s="365">
        <f t="shared" si="117"/>
        <v>0</v>
      </c>
      <c r="O58" s="365">
        <f t="shared" si="117"/>
        <v>0</v>
      </c>
      <c r="P58" s="365">
        <f>O58</f>
        <v>0</v>
      </c>
      <c r="Q58" s="365">
        <f t="shared" ref="Q58:W58" si="118">P58</f>
        <v>0</v>
      </c>
      <c r="R58" s="365">
        <f t="shared" si="118"/>
        <v>0</v>
      </c>
      <c r="S58" s="365">
        <f t="shared" si="118"/>
        <v>0</v>
      </c>
      <c r="T58" s="365">
        <f t="shared" si="118"/>
        <v>0</v>
      </c>
      <c r="U58" s="365">
        <f t="shared" si="118"/>
        <v>0</v>
      </c>
      <c r="V58" s="365">
        <f t="shared" si="118"/>
        <v>0</v>
      </c>
      <c r="W58" s="365">
        <f t="shared" si="118"/>
        <v>0</v>
      </c>
      <c r="X58" s="365">
        <f t="shared" ref="X58" si="119">W58</f>
        <v>0</v>
      </c>
      <c r="Y58" s="365">
        <f t="shared" ref="Y58" si="120">X58</f>
        <v>0</v>
      </c>
      <c r="Z58" s="365">
        <f t="shared" ref="Z58" si="121">Y58</f>
        <v>0</v>
      </c>
      <c r="AA58" s="365">
        <f t="shared" ref="AA58" si="122">Z58</f>
        <v>0</v>
      </c>
    </row>
    <row r="59" spans="1:27" ht="18.95" customHeight="1">
      <c r="A59" s="347"/>
      <c r="B59" s="353"/>
      <c r="C59" s="374" t="s">
        <v>174</v>
      </c>
      <c r="D59" s="376">
        <f t="shared" ref="D59:W59" si="123">SUM(D60:D71)</f>
        <v>0</v>
      </c>
      <c r="E59" s="376">
        <f t="shared" si="123"/>
        <v>0</v>
      </c>
      <c r="F59" s="376">
        <f t="shared" si="123"/>
        <v>0</v>
      </c>
      <c r="G59" s="376">
        <f t="shared" si="123"/>
        <v>0</v>
      </c>
      <c r="H59" s="376">
        <f t="shared" si="123"/>
        <v>0</v>
      </c>
      <c r="I59" s="376">
        <f t="shared" si="123"/>
        <v>0</v>
      </c>
      <c r="J59" s="376">
        <f t="shared" si="123"/>
        <v>4</v>
      </c>
      <c r="K59" s="376">
        <f t="shared" si="123"/>
        <v>4</v>
      </c>
      <c r="L59" s="376">
        <f t="shared" si="123"/>
        <v>4</v>
      </c>
      <c r="M59" s="376">
        <f t="shared" si="123"/>
        <v>3.5</v>
      </c>
      <c r="N59" s="376">
        <f t="shared" si="123"/>
        <v>3.5</v>
      </c>
      <c r="O59" s="376">
        <f t="shared" si="123"/>
        <v>3.5</v>
      </c>
      <c r="P59" s="376">
        <f>SUM(P60:P71)</f>
        <v>4</v>
      </c>
      <c r="Q59" s="376">
        <f t="shared" si="123"/>
        <v>4</v>
      </c>
      <c r="R59" s="376">
        <f t="shared" si="123"/>
        <v>8</v>
      </c>
      <c r="S59" s="376">
        <f t="shared" si="123"/>
        <v>8</v>
      </c>
      <c r="T59" s="376">
        <f t="shared" si="123"/>
        <v>10</v>
      </c>
      <c r="U59" s="376">
        <f t="shared" si="123"/>
        <v>10</v>
      </c>
      <c r="V59" s="376">
        <f t="shared" si="123"/>
        <v>10</v>
      </c>
      <c r="W59" s="376">
        <f t="shared" si="123"/>
        <v>10</v>
      </c>
      <c r="X59" s="376">
        <f t="shared" ref="X59:AA59" si="124">SUM(X60:X71)</f>
        <v>10</v>
      </c>
      <c r="Y59" s="376">
        <f t="shared" si="124"/>
        <v>10</v>
      </c>
      <c r="Z59" s="376">
        <f t="shared" si="124"/>
        <v>10</v>
      </c>
      <c r="AA59" s="376">
        <f t="shared" si="124"/>
        <v>10</v>
      </c>
    </row>
    <row r="60" spans="1:27" ht="18.95" customHeight="1">
      <c r="A60" s="347"/>
      <c r="B60" s="354"/>
      <c r="C60" s="361" t="s">
        <v>175</v>
      </c>
      <c r="D60" s="377">
        <f>IF(D12&gt;0,1,0)</f>
        <v>0</v>
      </c>
      <c r="E60" s="377">
        <f t="shared" ref="E60:W60" si="125">IF(E12&gt;0,1,0)</f>
        <v>0</v>
      </c>
      <c r="F60" s="377">
        <f t="shared" si="125"/>
        <v>0</v>
      </c>
      <c r="G60" s="377">
        <f t="shared" si="125"/>
        <v>0</v>
      </c>
      <c r="H60" s="377">
        <f t="shared" si="125"/>
        <v>0</v>
      </c>
      <c r="I60" s="377">
        <f t="shared" si="125"/>
        <v>0</v>
      </c>
      <c r="J60" s="377">
        <f t="shared" si="125"/>
        <v>0</v>
      </c>
      <c r="K60" s="377">
        <f t="shared" si="125"/>
        <v>0</v>
      </c>
      <c r="L60" s="377">
        <f t="shared" si="125"/>
        <v>0</v>
      </c>
      <c r="M60" s="377">
        <f t="shared" si="125"/>
        <v>0</v>
      </c>
      <c r="N60" s="377">
        <f t="shared" si="125"/>
        <v>0</v>
      </c>
      <c r="O60" s="377">
        <f t="shared" si="125"/>
        <v>0</v>
      </c>
      <c r="P60" s="377">
        <f t="shared" si="125"/>
        <v>0</v>
      </c>
      <c r="Q60" s="377">
        <f t="shared" si="125"/>
        <v>0</v>
      </c>
      <c r="R60" s="377">
        <f t="shared" si="125"/>
        <v>0</v>
      </c>
      <c r="S60" s="377">
        <f t="shared" si="125"/>
        <v>0</v>
      </c>
      <c r="T60" s="377">
        <f t="shared" si="125"/>
        <v>0</v>
      </c>
      <c r="U60" s="377">
        <f t="shared" si="125"/>
        <v>0</v>
      </c>
      <c r="V60" s="377">
        <f t="shared" si="125"/>
        <v>0</v>
      </c>
      <c r="W60" s="377">
        <f t="shared" si="125"/>
        <v>0</v>
      </c>
      <c r="X60" s="377">
        <f t="shared" ref="X60:AA60" si="126">IF(X12&gt;0,1,0)</f>
        <v>0</v>
      </c>
      <c r="Y60" s="377">
        <f t="shared" si="126"/>
        <v>0</v>
      </c>
      <c r="Z60" s="377">
        <f t="shared" si="126"/>
        <v>0</v>
      </c>
      <c r="AA60" s="377">
        <f t="shared" si="126"/>
        <v>0</v>
      </c>
    </row>
    <row r="61" spans="1:27" ht="18.95" customHeight="1">
      <c r="A61" s="347"/>
      <c r="B61" s="354"/>
      <c r="C61" s="361" t="s">
        <v>215</v>
      </c>
      <c r="D61" s="365">
        <f>D14</f>
        <v>0</v>
      </c>
      <c r="E61" s="365">
        <f t="shared" ref="E61:W61" si="127">E14</f>
        <v>0</v>
      </c>
      <c r="F61" s="365">
        <f t="shared" si="127"/>
        <v>0</v>
      </c>
      <c r="G61" s="365">
        <f t="shared" si="127"/>
        <v>0</v>
      </c>
      <c r="H61" s="365">
        <f t="shared" si="127"/>
        <v>0</v>
      </c>
      <c r="I61" s="365">
        <f t="shared" si="127"/>
        <v>0</v>
      </c>
      <c r="J61" s="365">
        <f t="shared" si="127"/>
        <v>2</v>
      </c>
      <c r="K61" s="365">
        <f t="shared" si="127"/>
        <v>2</v>
      </c>
      <c r="L61" s="365">
        <f t="shared" si="127"/>
        <v>2</v>
      </c>
      <c r="M61" s="365">
        <f t="shared" si="127"/>
        <v>2</v>
      </c>
      <c r="N61" s="365">
        <f t="shared" si="127"/>
        <v>2</v>
      </c>
      <c r="O61" s="365">
        <f t="shared" si="127"/>
        <v>2</v>
      </c>
      <c r="P61" s="365">
        <f t="shared" si="127"/>
        <v>2</v>
      </c>
      <c r="Q61" s="365">
        <f t="shared" si="127"/>
        <v>2</v>
      </c>
      <c r="R61" s="365">
        <f t="shared" si="127"/>
        <v>3</v>
      </c>
      <c r="S61" s="365">
        <f t="shared" si="127"/>
        <v>3</v>
      </c>
      <c r="T61" s="365">
        <f t="shared" si="127"/>
        <v>4</v>
      </c>
      <c r="U61" s="365">
        <f t="shared" si="127"/>
        <v>4</v>
      </c>
      <c r="V61" s="365">
        <f t="shared" si="127"/>
        <v>4</v>
      </c>
      <c r="W61" s="365">
        <f t="shared" si="127"/>
        <v>4</v>
      </c>
      <c r="X61" s="365">
        <f t="shared" ref="X61:AA61" si="128">X14</f>
        <v>4</v>
      </c>
      <c r="Y61" s="365">
        <f t="shared" si="128"/>
        <v>4</v>
      </c>
      <c r="Z61" s="365">
        <f t="shared" si="128"/>
        <v>4</v>
      </c>
      <c r="AA61" s="365">
        <f t="shared" si="128"/>
        <v>4</v>
      </c>
    </row>
    <row r="62" spans="1:27" ht="18.95" customHeight="1">
      <c r="A62" s="347"/>
      <c r="B62" s="354"/>
      <c r="C62" s="361" t="s">
        <v>49</v>
      </c>
      <c r="D62" s="365">
        <f>D16</f>
        <v>0</v>
      </c>
      <c r="E62" s="365">
        <f t="shared" ref="E62:W62" si="129">E16</f>
        <v>0</v>
      </c>
      <c r="F62" s="365">
        <f t="shared" si="129"/>
        <v>0</v>
      </c>
      <c r="G62" s="365">
        <f t="shared" si="129"/>
        <v>0</v>
      </c>
      <c r="H62" s="365">
        <f t="shared" si="129"/>
        <v>0</v>
      </c>
      <c r="I62" s="365">
        <f t="shared" si="129"/>
        <v>0</v>
      </c>
      <c r="J62" s="365">
        <f t="shared" si="129"/>
        <v>2</v>
      </c>
      <c r="K62" s="365">
        <f t="shared" si="129"/>
        <v>2</v>
      </c>
      <c r="L62" s="365">
        <f t="shared" si="129"/>
        <v>2</v>
      </c>
      <c r="M62" s="365">
        <f t="shared" si="129"/>
        <v>1.5</v>
      </c>
      <c r="N62" s="365">
        <f t="shared" si="129"/>
        <v>1.5</v>
      </c>
      <c r="O62" s="365">
        <f t="shared" si="129"/>
        <v>1.5</v>
      </c>
      <c r="P62" s="365">
        <f t="shared" si="129"/>
        <v>2</v>
      </c>
      <c r="Q62" s="365">
        <f t="shared" si="129"/>
        <v>2</v>
      </c>
      <c r="R62" s="365">
        <f t="shared" si="129"/>
        <v>3</v>
      </c>
      <c r="S62" s="365">
        <f t="shared" si="129"/>
        <v>3</v>
      </c>
      <c r="T62" s="365">
        <f t="shared" si="129"/>
        <v>4</v>
      </c>
      <c r="U62" s="365">
        <f t="shared" si="129"/>
        <v>4</v>
      </c>
      <c r="V62" s="365">
        <f t="shared" si="129"/>
        <v>4</v>
      </c>
      <c r="W62" s="365">
        <f t="shared" si="129"/>
        <v>4</v>
      </c>
      <c r="X62" s="365">
        <f t="shared" ref="X62:AA62" si="130">X16</f>
        <v>4</v>
      </c>
      <c r="Y62" s="365">
        <f t="shared" si="130"/>
        <v>4</v>
      </c>
      <c r="Z62" s="365">
        <f t="shared" si="130"/>
        <v>4</v>
      </c>
      <c r="AA62" s="365">
        <f t="shared" si="130"/>
        <v>4</v>
      </c>
    </row>
    <row r="63" spans="1:27" s="369" customFormat="1" ht="18.95" customHeight="1">
      <c r="A63" s="366"/>
      <c r="B63" s="367"/>
      <c r="C63" s="368" t="s">
        <v>180</v>
      </c>
      <c r="D63" s="377">
        <f t="shared" ref="D63:W63" si="131">IF(D17&gt;0,1,0)</f>
        <v>0</v>
      </c>
      <c r="E63" s="377">
        <f t="shared" si="131"/>
        <v>0</v>
      </c>
      <c r="F63" s="377">
        <f t="shared" si="131"/>
        <v>0</v>
      </c>
      <c r="G63" s="377">
        <f t="shared" si="131"/>
        <v>0</v>
      </c>
      <c r="H63" s="377">
        <f t="shared" si="131"/>
        <v>0</v>
      </c>
      <c r="I63" s="377">
        <f t="shared" si="131"/>
        <v>0</v>
      </c>
      <c r="J63" s="377">
        <f t="shared" si="131"/>
        <v>0</v>
      </c>
      <c r="K63" s="377">
        <f t="shared" si="131"/>
        <v>0</v>
      </c>
      <c r="L63" s="377">
        <f t="shared" si="131"/>
        <v>0</v>
      </c>
      <c r="M63" s="377">
        <f t="shared" si="131"/>
        <v>0</v>
      </c>
      <c r="N63" s="377">
        <f t="shared" si="131"/>
        <v>0</v>
      </c>
      <c r="O63" s="377">
        <f t="shared" si="131"/>
        <v>0</v>
      </c>
      <c r="P63" s="377">
        <f t="shared" si="131"/>
        <v>0</v>
      </c>
      <c r="Q63" s="377">
        <f t="shared" si="131"/>
        <v>0</v>
      </c>
      <c r="R63" s="377">
        <f t="shared" si="131"/>
        <v>1</v>
      </c>
      <c r="S63" s="377">
        <f t="shared" si="131"/>
        <v>1</v>
      </c>
      <c r="T63" s="377">
        <f t="shared" si="131"/>
        <v>1</v>
      </c>
      <c r="U63" s="377">
        <f t="shared" si="131"/>
        <v>1</v>
      </c>
      <c r="V63" s="377">
        <f t="shared" si="131"/>
        <v>1</v>
      </c>
      <c r="W63" s="377">
        <f t="shared" si="131"/>
        <v>1</v>
      </c>
      <c r="X63" s="377">
        <f t="shared" ref="X63:AA63" si="132">IF(X17&gt;0,1,0)</f>
        <v>1</v>
      </c>
      <c r="Y63" s="377">
        <f t="shared" si="132"/>
        <v>1</v>
      </c>
      <c r="Z63" s="377">
        <f t="shared" si="132"/>
        <v>1</v>
      </c>
      <c r="AA63" s="377">
        <f t="shared" si="132"/>
        <v>1</v>
      </c>
    </row>
    <row r="64" spans="1:27" ht="18.95" customHeight="1">
      <c r="A64" s="347"/>
      <c r="B64" s="354"/>
      <c r="C64" s="361" t="s">
        <v>181</v>
      </c>
      <c r="D64" s="377">
        <f t="shared" ref="D64:W64" si="133">IF(D18&gt;0,1,0)</f>
        <v>0</v>
      </c>
      <c r="E64" s="377">
        <f t="shared" si="133"/>
        <v>0</v>
      </c>
      <c r="F64" s="377">
        <f t="shared" si="133"/>
        <v>0</v>
      </c>
      <c r="G64" s="377">
        <f t="shared" si="133"/>
        <v>0</v>
      </c>
      <c r="H64" s="377">
        <f t="shared" si="133"/>
        <v>0</v>
      </c>
      <c r="I64" s="377">
        <f t="shared" si="133"/>
        <v>0</v>
      </c>
      <c r="J64" s="377">
        <f t="shared" si="133"/>
        <v>0</v>
      </c>
      <c r="K64" s="377">
        <f t="shared" si="133"/>
        <v>0</v>
      </c>
      <c r="L64" s="377">
        <f t="shared" si="133"/>
        <v>0</v>
      </c>
      <c r="M64" s="377">
        <f t="shared" si="133"/>
        <v>0</v>
      </c>
      <c r="N64" s="377">
        <f t="shared" si="133"/>
        <v>0</v>
      </c>
      <c r="O64" s="377">
        <f t="shared" si="133"/>
        <v>0</v>
      </c>
      <c r="P64" s="377">
        <f t="shared" si="133"/>
        <v>0</v>
      </c>
      <c r="Q64" s="377">
        <f t="shared" si="133"/>
        <v>0</v>
      </c>
      <c r="R64" s="377">
        <f t="shared" si="133"/>
        <v>0</v>
      </c>
      <c r="S64" s="377">
        <f t="shared" si="133"/>
        <v>0</v>
      </c>
      <c r="T64" s="377">
        <f t="shared" si="133"/>
        <v>0</v>
      </c>
      <c r="U64" s="377">
        <f t="shared" si="133"/>
        <v>0</v>
      </c>
      <c r="V64" s="377">
        <f t="shared" si="133"/>
        <v>0</v>
      </c>
      <c r="W64" s="377">
        <f t="shared" si="133"/>
        <v>0</v>
      </c>
      <c r="X64" s="377">
        <f t="shared" ref="X64:AA64" si="134">IF(X18&gt;0,1,0)</f>
        <v>0</v>
      </c>
      <c r="Y64" s="377">
        <f t="shared" si="134"/>
        <v>0</v>
      </c>
      <c r="Z64" s="377">
        <f t="shared" si="134"/>
        <v>0</v>
      </c>
      <c r="AA64" s="377">
        <f t="shared" si="134"/>
        <v>0</v>
      </c>
    </row>
    <row r="65" spans="1:27" ht="18.95" customHeight="1">
      <c r="A65" s="347"/>
      <c r="B65" s="354"/>
      <c r="C65" s="361" t="s">
        <v>182</v>
      </c>
      <c r="D65" s="377">
        <f t="shared" ref="D65:W65" si="135">IF(D19&gt;0,1,0)</f>
        <v>0</v>
      </c>
      <c r="E65" s="377">
        <f t="shared" si="135"/>
        <v>0</v>
      </c>
      <c r="F65" s="377">
        <f t="shared" si="135"/>
        <v>0</v>
      </c>
      <c r="G65" s="377">
        <f t="shared" si="135"/>
        <v>0</v>
      </c>
      <c r="H65" s="377">
        <f t="shared" si="135"/>
        <v>0</v>
      </c>
      <c r="I65" s="377">
        <f t="shared" si="135"/>
        <v>0</v>
      </c>
      <c r="J65" s="377">
        <f t="shared" si="135"/>
        <v>0</v>
      </c>
      <c r="K65" s="377">
        <f t="shared" si="135"/>
        <v>0</v>
      </c>
      <c r="L65" s="377">
        <f t="shared" si="135"/>
        <v>0</v>
      </c>
      <c r="M65" s="377">
        <f t="shared" si="135"/>
        <v>0</v>
      </c>
      <c r="N65" s="377">
        <f t="shared" si="135"/>
        <v>0</v>
      </c>
      <c r="O65" s="377">
        <f t="shared" si="135"/>
        <v>0</v>
      </c>
      <c r="P65" s="377">
        <f t="shared" si="135"/>
        <v>0</v>
      </c>
      <c r="Q65" s="377">
        <f t="shared" si="135"/>
        <v>0</v>
      </c>
      <c r="R65" s="377">
        <f t="shared" si="135"/>
        <v>0</v>
      </c>
      <c r="S65" s="377">
        <f t="shared" si="135"/>
        <v>0</v>
      </c>
      <c r="T65" s="377">
        <f t="shared" si="135"/>
        <v>0</v>
      </c>
      <c r="U65" s="377">
        <f t="shared" si="135"/>
        <v>0</v>
      </c>
      <c r="V65" s="377">
        <f t="shared" si="135"/>
        <v>0</v>
      </c>
      <c r="W65" s="377">
        <f t="shared" si="135"/>
        <v>0</v>
      </c>
      <c r="X65" s="377">
        <f t="shared" ref="X65:AA65" si="136">IF(X19&gt;0,1,0)</f>
        <v>0</v>
      </c>
      <c r="Y65" s="377">
        <f t="shared" si="136"/>
        <v>0</v>
      </c>
      <c r="Z65" s="377">
        <f t="shared" si="136"/>
        <v>0</v>
      </c>
      <c r="AA65" s="377">
        <f t="shared" si="136"/>
        <v>0</v>
      </c>
    </row>
    <row r="66" spans="1:27" ht="18.95" customHeight="1">
      <c r="A66" s="347"/>
      <c r="B66" s="354"/>
      <c r="C66" s="361" t="s">
        <v>183</v>
      </c>
      <c r="D66" s="377">
        <f t="shared" ref="D66:W66" si="137">IF(D20&gt;0,1,0)</f>
        <v>0</v>
      </c>
      <c r="E66" s="377">
        <f t="shared" si="137"/>
        <v>0</v>
      </c>
      <c r="F66" s="377">
        <f t="shared" si="137"/>
        <v>0</v>
      </c>
      <c r="G66" s="377">
        <f t="shared" si="137"/>
        <v>0</v>
      </c>
      <c r="H66" s="377">
        <f t="shared" si="137"/>
        <v>0</v>
      </c>
      <c r="I66" s="377">
        <f t="shared" si="137"/>
        <v>0</v>
      </c>
      <c r="J66" s="377">
        <f t="shared" si="137"/>
        <v>0</v>
      </c>
      <c r="K66" s="377">
        <f t="shared" si="137"/>
        <v>0</v>
      </c>
      <c r="L66" s="377">
        <f t="shared" si="137"/>
        <v>0</v>
      </c>
      <c r="M66" s="377">
        <f t="shared" si="137"/>
        <v>0</v>
      </c>
      <c r="N66" s="377">
        <f t="shared" si="137"/>
        <v>0</v>
      </c>
      <c r="O66" s="377">
        <f t="shared" si="137"/>
        <v>0</v>
      </c>
      <c r="P66" s="377">
        <f t="shared" si="137"/>
        <v>0</v>
      </c>
      <c r="Q66" s="377">
        <f t="shared" si="137"/>
        <v>0</v>
      </c>
      <c r="R66" s="377">
        <f t="shared" si="137"/>
        <v>0</v>
      </c>
      <c r="S66" s="377">
        <f t="shared" si="137"/>
        <v>0</v>
      </c>
      <c r="T66" s="377">
        <f t="shared" si="137"/>
        <v>0</v>
      </c>
      <c r="U66" s="377">
        <f t="shared" si="137"/>
        <v>0</v>
      </c>
      <c r="V66" s="377">
        <f t="shared" si="137"/>
        <v>0</v>
      </c>
      <c r="W66" s="377">
        <f t="shared" si="137"/>
        <v>0</v>
      </c>
      <c r="X66" s="377">
        <f t="shared" ref="X66:AA66" si="138">IF(X20&gt;0,1,0)</f>
        <v>0</v>
      </c>
      <c r="Y66" s="377">
        <f t="shared" si="138"/>
        <v>0</v>
      </c>
      <c r="Z66" s="377">
        <f t="shared" si="138"/>
        <v>0</v>
      </c>
      <c r="AA66" s="377">
        <f t="shared" si="138"/>
        <v>0</v>
      </c>
    </row>
    <row r="67" spans="1:27" ht="18.95" customHeight="1">
      <c r="A67" s="347"/>
      <c r="B67" s="354"/>
      <c r="C67" s="361" t="s">
        <v>184</v>
      </c>
      <c r="D67" s="377">
        <f t="shared" ref="D67:W67" si="139">IF(D21&gt;0,1,0)</f>
        <v>0</v>
      </c>
      <c r="E67" s="377">
        <f t="shared" si="139"/>
        <v>0</v>
      </c>
      <c r="F67" s="377">
        <f t="shared" si="139"/>
        <v>0</v>
      </c>
      <c r="G67" s="377">
        <f t="shared" si="139"/>
        <v>0</v>
      </c>
      <c r="H67" s="377">
        <f t="shared" si="139"/>
        <v>0</v>
      </c>
      <c r="I67" s="377">
        <f t="shared" si="139"/>
        <v>0</v>
      </c>
      <c r="J67" s="377">
        <f t="shared" si="139"/>
        <v>0</v>
      </c>
      <c r="K67" s="377">
        <f t="shared" si="139"/>
        <v>0</v>
      </c>
      <c r="L67" s="377">
        <f t="shared" si="139"/>
        <v>0</v>
      </c>
      <c r="M67" s="377">
        <f t="shared" si="139"/>
        <v>0</v>
      </c>
      <c r="N67" s="377">
        <f t="shared" si="139"/>
        <v>0</v>
      </c>
      <c r="O67" s="377">
        <f t="shared" si="139"/>
        <v>0</v>
      </c>
      <c r="P67" s="377">
        <f t="shared" si="139"/>
        <v>0</v>
      </c>
      <c r="Q67" s="377">
        <f t="shared" si="139"/>
        <v>0</v>
      </c>
      <c r="R67" s="377">
        <f t="shared" si="139"/>
        <v>0</v>
      </c>
      <c r="S67" s="377">
        <f t="shared" si="139"/>
        <v>0</v>
      </c>
      <c r="T67" s="377">
        <f t="shared" si="139"/>
        <v>0</v>
      </c>
      <c r="U67" s="377">
        <f t="shared" si="139"/>
        <v>0</v>
      </c>
      <c r="V67" s="377">
        <f t="shared" si="139"/>
        <v>0</v>
      </c>
      <c r="W67" s="377">
        <f t="shared" si="139"/>
        <v>0</v>
      </c>
      <c r="X67" s="377">
        <f t="shared" ref="X67:AA67" si="140">IF(X21&gt;0,1,0)</f>
        <v>0</v>
      </c>
      <c r="Y67" s="377">
        <f t="shared" si="140"/>
        <v>0</v>
      </c>
      <c r="Z67" s="377">
        <f t="shared" si="140"/>
        <v>0</v>
      </c>
      <c r="AA67" s="377">
        <f t="shared" si="140"/>
        <v>0</v>
      </c>
    </row>
    <row r="68" spans="1:27" ht="18.95" customHeight="1">
      <c r="A68" s="347"/>
      <c r="B68" s="354"/>
      <c r="C68" s="361" t="s">
        <v>185</v>
      </c>
      <c r="D68" s="377">
        <f t="shared" ref="D68:W68" si="141">IF(D22&gt;0,1,0)</f>
        <v>0</v>
      </c>
      <c r="E68" s="377">
        <f t="shared" si="141"/>
        <v>0</v>
      </c>
      <c r="F68" s="377">
        <f t="shared" si="141"/>
        <v>0</v>
      </c>
      <c r="G68" s="377">
        <f t="shared" si="141"/>
        <v>0</v>
      </c>
      <c r="H68" s="377">
        <f t="shared" si="141"/>
        <v>0</v>
      </c>
      <c r="I68" s="377">
        <f t="shared" si="141"/>
        <v>0</v>
      </c>
      <c r="J68" s="377">
        <f t="shared" si="141"/>
        <v>0</v>
      </c>
      <c r="K68" s="377">
        <f t="shared" si="141"/>
        <v>0</v>
      </c>
      <c r="L68" s="377">
        <f t="shared" si="141"/>
        <v>0</v>
      </c>
      <c r="M68" s="377">
        <f t="shared" si="141"/>
        <v>0</v>
      </c>
      <c r="N68" s="377">
        <f t="shared" si="141"/>
        <v>0</v>
      </c>
      <c r="O68" s="377">
        <f t="shared" si="141"/>
        <v>0</v>
      </c>
      <c r="P68" s="377">
        <f t="shared" si="141"/>
        <v>0</v>
      </c>
      <c r="Q68" s="377">
        <f t="shared" si="141"/>
        <v>0</v>
      </c>
      <c r="R68" s="377">
        <f t="shared" si="141"/>
        <v>0</v>
      </c>
      <c r="S68" s="377">
        <f t="shared" si="141"/>
        <v>0</v>
      </c>
      <c r="T68" s="377">
        <f t="shared" si="141"/>
        <v>0</v>
      </c>
      <c r="U68" s="377">
        <f t="shared" si="141"/>
        <v>0</v>
      </c>
      <c r="V68" s="377">
        <f t="shared" si="141"/>
        <v>0</v>
      </c>
      <c r="W68" s="377">
        <f t="shared" si="141"/>
        <v>0</v>
      </c>
      <c r="X68" s="377">
        <f t="shared" ref="X68:AA68" si="142">IF(X22&gt;0,1,0)</f>
        <v>0</v>
      </c>
      <c r="Y68" s="377">
        <f t="shared" si="142"/>
        <v>0</v>
      </c>
      <c r="Z68" s="377">
        <f t="shared" si="142"/>
        <v>0</v>
      </c>
      <c r="AA68" s="377">
        <f t="shared" si="142"/>
        <v>0</v>
      </c>
    </row>
    <row r="69" spans="1:27" ht="18.95" customHeight="1">
      <c r="A69" s="347"/>
      <c r="B69" s="354"/>
      <c r="C69" s="368" t="s">
        <v>186</v>
      </c>
      <c r="D69" s="377">
        <f t="shared" ref="D69" si="143">IF(D23&gt;0,1,0)</f>
        <v>0</v>
      </c>
      <c r="E69" s="377">
        <f t="shared" ref="E69:W69" si="144">IF(E23&gt;0,1,0)</f>
        <v>0</v>
      </c>
      <c r="F69" s="377">
        <f t="shared" si="144"/>
        <v>0</v>
      </c>
      <c r="G69" s="377">
        <f t="shared" si="144"/>
        <v>0</v>
      </c>
      <c r="H69" s="377">
        <f t="shared" si="144"/>
        <v>0</v>
      </c>
      <c r="I69" s="377">
        <f t="shared" si="144"/>
        <v>0</v>
      </c>
      <c r="J69" s="377">
        <f t="shared" si="144"/>
        <v>0</v>
      </c>
      <c r="K69" s="377">
        <f t="shared" si="144"/>
        <v>0</v>
      </c>
      <c r="L69" s="377">
        <f t="shared" si="144"/>
        <v>0</v>
      </c>
      <c r="M69" s="377">
        <f t="shared" si="144"/>
        <v>0</v>
      </c>
      <c r="N69" s="377">
        <f t="shared" si="144"/>
        <v>0</v>
      </c>
      <c r="O69" s="377">
        <f t="shared" si="144"/>
        <v>0</v>
      </c>
      <c r="P69" s="377">
        <f t="shared" si="144"/>
        <v>0</v>
      </c>
      <c r="Q69" s="377">
        <f t="shared" si="144"/>
        <v>0</v>
      </c>
      <c r="R69" s="377">
        <f t="shared" si="144"/>
        <v>1</v>
      </c>
      <c r="S69" s="377">
        <f t="shared" si="144"/>
        <v>1</v>
      </c>
      <c r="T69" s="377">
        <f t="shared" si="144"/>
        <v>1</v>
      </c>
      <c r="U69" s="377">
        <f t="shared" si="144"/>
        <v>1</v>
      </c>
      <c r="V69" s="377">
        <f t="shared" si="144"/>
        <v>1</v>
      </c>
      <c r="W69" s="377">
        <f t="shared" si="144"/>
        <v>1</v>
      </c>
      <c r="X69" s="377">
        <f t="shared" ref="X69:AA69" si="145">IF(X23&gt;0,1,0)</f>
        <v>1</v>
      </c>
      <c r="Y69" s="377">
        <f t="shared" si="145"/>
        <v>1</v>
      </c>
      <c r="Z69" s="377">
        <f t="shared" si="145"/>
        <v>1</v>
      </c>
      <c r="AA69" s="377">
        <f t="shared" si="145"/>
        <v>1</v>
      </c>
    </row>
    <row r="70" spans="1:27" ht="18.95" customHeight="1">
      <c r="A70" s="347"/>
      <c r="B70" s="354"/>
      <c r="C70" s="361" t="s">
        <v>187</v>
      </c>
      <c r="D70" s="377">
        <f t="shared" ref="D70:W70" si="146">IF(D24&gt;0,1,0)</f>
        <v>0</v>
      </c>
      <c r="E70" s="377">
        <f t="shared" si="146"/>
        <v>0</v>
      </c>
      <c r="F70" s="377">
        <f t="shared" si="146"/>
        <v>0</v>
      </c>
      <c r="G70" s="377">
        <f t="shared" si="146"/>
        <v>0</v>
      </c>
      <c r="H70" s="377">
        <f t="shared" si="146"/>
        <v>0</v>
      </c>
      <c r="I70" s="377">
        <f t="shared" si="146"/>
        <v>0</v>
      </c>
      <c r="J70" s="377">
        <f t="shared" si="146"/>
        <v>0</v>
      </c>
      <c r="K70" s="377">
        <f t="shared" si="146"/>
        <v>0</v>
      </c>
      <c r="L70" s="377">
        <f t="shared" si="146"/>
        <v>0</v>
      </c>
      <c r="M70" s="377">
        <f t="shared" si="146"/>
        <v>0</v>
      </c>
      <c r="N70" s="377">
        <f t="shared" si="146"/>
        <v>0</v>
      </c>
      <c r="O70" s="377">
        <f t="shared" si="146"/>
        <v>0</v>
      </c>
      <c r="P70" s="377">
        <f t="shared" si="146"/>
        <v>0</v>
      </c>
      <c r="Q70" s="377">
        <f t="shared" si="146"/>
        <v>0</v>
      </c>
      <c r="R70" s="377">
        <f t="shared" si="146"/>
        <v>0</v>
      </c>
      <c r="S70" s="377">
        <f t="shared" si="146"/>
        <v>0</v>
      </c>
      <c r="T70" s="377">
        <f t="shared" si="146"/>
        <v>0</v>
      </c>
      <c r="U70" s="377">
        <f t="shared" si="146"/>
        <v>0</v>
      </c>
      <c r="V70" s="377">
        <f t="shared" si="146"/>
        <v>0</v>
      </c>
      <c r="W70" s="377">
        <f t="shared" si="146"/>
        <v>0</v>
      </c>
      <c r="X70" s="377">
        <f t="shared" ref="X70:AA70" si="147">IF(X24&gt;0,1,0)</f>
        <v>0</v>
      </c>
      <c r="Y70" s="377">
        <f t="shared" si="147"/>
        <v>0</v>
      </c>
      <c r="Z70" s="377">
        <f t="shared" si="147"/>
        <v>0</v>
      </c>
      <c r="AA70" s="377">
        <f t="shared" si="147"/>
        <v>0</v>
      </c>
    </row>
    <row r="71" spans="1:27" ht="18.95" customHeight="1">
      <c r="A71" s="347"/>
      <c r="B71" s="354"/>
      <c r="C71" s="361" t="s">
        <v>188</v>
      </c>
      <c r="D71" s="377">
        <f t="shared" ref="D71:W71" si="148">IF(D25&gt;0,1,0)</f>
        <v>0</v>
      </c>
      <c r="E71" s="377">
        <f t="shared" si="148"/>
        <v>0</v>
      </c>
      <c r="F71" s="377">
        <f t="shared" si="148"/>
        <v>0</v>
      </c>
      <c r="G71" s="377">
        <f t="shared" si="148"/>
        <v>0</v>
      </c>
      <c r="H71" s="377">
        <f t="shared" si="148"/>
        <v>0</v>
      </c>
      <c r="I71" s="377">
        <f t="shared" si="148"/>
        <v>0</v>
      </c>
      <c r="J71" s="377">
        <f t="shared" si="148"/>
        <v>0</v>
      </c>
      <c r="K71" s="377">
        <f t="shared" si="148"/>
        <v>0</v>
      </c>
      <c r="L71" s="377">
        <f t="shared" si="148"/>
        <v>0</v>
      </c>
      <c r="M71" s="377">
        <f t="shared" si="148"/>
        <v>0</v>
      </c>
      <c r="N71" s="377">
        <f t="shared" si="148"/>
        <v>0</v>
      </c>
      <c r="O71" s="377">
        <f t="shared" si="148"/>
        <v>0</v>
      </c>
      <c r="P71" s="377">
        <f t="shared" si="148"/>
        <v>0</v>
      </c>
      <c r="Q71" s="377">
        <f t="shared" si="148"/>
        <v>0</v>
      </c>
      <c r="R71" s="377">
        <f t="shared" si="148"/>
        <v>0</v>
      </c>
      <c r="S71" s="377">
        <f t="shared" si="148"/>
        <v>0</v>
      </c>
      <c r="T71" s="377">
        <f t="shared" si="148"/>
        <v>0</v>
      </c>
      <c r="U71" s="377">
        <f t="shared" si="148"/>
        <v>0</v>
      </c>
      <c r="V71" s="377">
        <f t="shared" si="148"/>
        <v>0</v>
      </c>
      <c r="W71" s="377">
        <f t="shared" si="148"/>
        <v>0</v>
      </c>
      <c r="X71" s="377">
        <f t="shared" ref="X71:AA71" si="149">IF(X25&gt;0,1,0)</f>
        <v>0</v>
      </c>
      <c r="Y71" s="377">
        <f t="shared" si="149"/>
        <v>0</v>
      </c>
      <c r="Z71" s="377">
        <f t="shared" si="149"/>
        <v>0</v>
      </c>
      <c r="AA71" s="377">
        <f t="shared" si="149"/>
        <v>0</v>
      </c>
    </row>
    <row r="72" spans="1:27" ht="18.95" customHeight="1">
      <c r="A72" s="347"/>
      <c r="B72" s="353"/>
      <c r="C72" s="374" t="s">
        <v>32</v>
      </c>
      <c r="D72" s="376">
        <f>SUM(D73:D82)</f>
        <v>0</v>
      </c>
      <c r="E72" s="376">
        <f>SUM(E73:E82)</f>
        <v>0</v>
      </c>
      <c r="F72" s="376">
        <f t="shared" ref="F72:O72" si="150">SUM(F73:F82)</f>
        <v>0</v>
      </c>
      <c r="G72" s="376">
        <f t="shared" si="150"/>
        <v>0</v>
      </c>
      <c r="H72" s="376">
        <f t="shared" si="150"/>
        <v>0</v>
      </c>
      <c r="I72" s="376">
        <f t="shared" si="150"/>
        <v>0</v>
      </c>
      <c r="J72" s="376">
        <f t="shared" si="150"/>
        <v>1</v>
      </c>
      <c r="K72" s="376">
        <f t="shared" si="150"/>
        <v>1</v>
      </c>
      <c r="L72" s="376">
        <f t="shared" si="150"/>
        <v>1</v>
      </c>
      <c r="M72" s="376">
        <f t="shared" si="150"/>
        <v>1</v>
      </c>
      <c r="N72" s="376">
        <f t="shared" si="150"/>
        <v>1</v>
      </c>
      <c r="O72" s="376">
        <f t="shared" si="150"/>
        <v>1</v>
      </c>
      <c r="P72" s="376">
        <f>SUM(P73:P82)</f>
        <v>2</v>
      </c>
      <c r="Q72" s="376">
        <f t="shared" ref="Q72:V72" si="151">SUM(Q73:Q82)</f>
        <v>2</v>
      </c>
      <c r="R72" s="376">
        <f t="shared" si="151"/>
        <v>3</v>
      </c>
      <c r="S72" s="376">
        <f t="shared" si="151"/>
        <v>4</v>
      </c>
      <c r="T72" s="376">
        <f t="shared" si="151"/>
        <v>4.0350000000000001</v>
      </c>
      <c r="U72" s="376">
        <f t="shared" si="151"/>
        <v>4.0350000000000001</v>
      </c>
      <c r="V72" s="376">
        <f t="shared" si="151"/>
        <v>5.0350000000000001</v>
      </c>
      <c r="W72" s="376">
        <f>SUM(W73:W82)</f>
        <v>5.0350000000000001</v>
      </c>
      <c r="X72" s="376">
        <f t="shared" ref="X72:AA72" si="152">SUM(X73:X82)</f>
        <v>5.0350000000000001</v>
      </c>
      <c r="Y72" s="376">
        <f t="shared" si="152"/>
        <v>5.0350000000000001</v>
      </c>
      <c r="Z72" s="376">
        <f t="shared" si="152"/>
        <v>5.0350000000000001</v>
      </c>
      <c r="AA72" s="376">
        <f t="shared" si="152"/>
        <v>5.0350000000000001</v>
      </c>
    </row>
    <row r="73" spans="1:27" ht="18.95" customHeight="1">
      <c r="A73" s="347"/>
      <c r="B73" s="353"/>
      <c r="C73" s="361" t="s">
        <v>189</v>
      </c>
      <c r="D73" s="377">
        <f>IF(D27&gt;0,1,0)</f>
        <v>0</v>
      </c>
      <c r="E73" s="377">
        <f t="shared" ref="E73:W73" si="153">IF(E27&gt;0,1,0)</f>
        <v>0</v>
      </c>
      <c r="F73" s="377">
        <f t="shared" si="153"/>
        <v>0</v>
      </c>
      <c r="G73" s="377">
        <f t="shared" si="153"/>
        <v>0</v>
      </c>
      <c r="H73" s="377">
        <f t="shared" si="153"/>
        <v>0</v>
      </c>
      <c r="I73" s="377">
        <f t="shared" si="153"/>
        <v>0</v>
      </c>
      <c r="J73" s="377">
        <f t="shared" si="153"/>
        <v>0</v>
      </c>
      <c r="K73" s="377">
        <f t="shared" si="153"/>
        <v>0</v>
      </c>
      <c r="L73" s="377">
        <f t="shared" si="153"/>
        <v>0</v>
      </c>
      <c r="M73" s="377">
        <f t="shared" si="153"/>
        <v>0</v>
      </c>
      <c r="N73" s="377">
        <f t="shared" si="153"/>
        <v>0</v>
      </c>
      <c r="O73" s="377">
        <f t="shared" si="153"/>
        <v>0</v>
      </c>
      <c r="P73" s="377">
        <f t="shared" si="153"/>
        <v>0</v>
      </c>
      <c r="Q73" s="377">
        <f t="shared" si="153"/>
        <v>0</v>
      </c>
      <c r="R73" s="377">
        <f t="shared" si="153"/>
        <v>0</v>
      </c>
      <c r="S73" s="377">
        <f t="shared" si="153"/>
        <v>1</v>
      </c>
      <c r="T73" s="377">
        <f t="shared" si="153"/>
        <v>1</v>
      </c>
      <c r="U73" s="377">
        <f t="shared" si="153"/>
        <v>1</v>
      </c>
      <c r="V73" s="377">
        <f t="shared" si="153"/>
        <v>1</v>
      </c>
      <c r="W73" s="377">
        <f t="shared" si="153"/>
        <v>1</v>
      </c>
      <c r="X73" s="377">
        <f t="shared" ref="X73:AA73" si="154">IF(X27&gt;0,1,0)</f>
        <v>1</v>
      </c>
      <c r="Y73" s="377">
        <f t="shared" si="154"/>
        <v>1</v>
      </c>
      <c r="Z73" s="377">
        <f t="shared" si="154"/>
        <v>1</v>
      </c>
      <c r="AA73" s="377">
        <f t="shared" si="154"/>
        <v>1</v>
      </c>
    </row>
    <row r="74" spans="1:27" ht="18.95" customHeight="1">
      <c r="A74" s="347"/>
      <c r="B74" s="353"/>
      <c r="C74" s="361" t="str">
        <f>C28</f>
        <v>Sr. Manager Marketing</v>
      </c>
      <c r="D74" s="377">
        <f t="shared" ref="D74:W74" si="155">IF(D28&gt;0,1,0)</f>
        <v>0</v>
      </c>
      <c r="E74" s="377">
        <f t="shared" si="155"/>
        <v>0</v>
      </c>
      <c r="F74" s="377">
        <f t="shared" si="155"/>
        <v>0</v>
      </c>
      <c r="G74" s="377">
        <f t="shared" si="155"/>
        <v>0</v>
      </c>
      <c r="H74" s="377">
        <f t="shared" si="155"/>
        <v>0</v>
      </c>
      <c r="I74" s="377">
        <f t="shared" si="155"/>
        <v>0</v>
      </c>
      <c r="J74" s="377">
        <f t="shared" si="155"/>
        <v>1</v>
      </c>
      <c r="K74" s="377">
        <f t="shared" si="155"/>
        <v>1</v>
      </c>
      <c r="L74" s="377">
        <f t="shared" si="155"/>
        <v>1</v>
      </c>
      <c r="M74" s="377">
        <f t="shared" si="155"/>
        <v>1</v>
      </c>
      <c r="N74" s="377">
        <f t="shared" si="155"/>
        <v>1</v>
      </c>
      <c r="O74" s="377">
        <f t="shared" si="155"/>
        <v>1</v>
      </c>
      <c r="P74" s="377">
        <f t="shared" si="155"/>
        <v>1</v>
      </c>
      <c r="Q74" s="377">
        <f t="shared" si="155"/>
        <v>1</v>
      </c>
      <c r="R74" s="377">
        <f t="shared" si="155"/>
        <v>1</v>
      </c>
      <c r="S74" s="377">
        <f t="shared" si="155"/>
        <v>1</v>
      </c>
      <c r="T74" s="377">
        <f t="shared" si="155"/>
        <v>1</v>
      </c>
      <c r="U74" s="377">
        <f t="shared" si="155"/>
        <v>1</v>
      </c>
      <c r="V74" s="377">
        <f t="shared" si="155"/>
        <v>1</v>
      </c>
      <c r="W74" s="377">
        <f t="shared" si="155"/>
        <v>1</v>
      </c>
      <c r="X74" s="377">
        <f t="shared" ref="X74:AA74" si="156">IF(X28&gt;0,1,0)</f>
        <v>1</v>
      </c>
      <c r="Y74" s="377">
        <f t="shared" si="156"/>
        <v>1</v>
      </c>
      <c r="Z74" s="377">
        <f t="shared" si="156"/>
        <v>1</v>
      </c>
      <c r="AA74" s="377">
        <f t="shared" si="156"/>
        <v>1</v>
      </c>
    </row>
    <row r="75" spans="1:27" ht="18.95" customHeight="1">
      <c r="A75" s="347"/>
      <c r="B75" s="353"/>
      <c r="C75" s="361" t="s">
        <v>191</v>
      </c>
      <c r="D75" s="377">
        <f t="shared" ref="D75:W75" si="157">IF(D29&gt;0,1,0)</f>
        <v>0</v>
      </c>
      <c r="E75" s="377">
        <f t="shared" si="157"/>
        <v>0</v>
      </c>
      <c r="F75" s="377">
        <f t="shared" si="157"/>
        <v>0</v>
      </c>
      <c r="G75" s="377">
        <f t="shared" si="157"/>
        <v>0</v>
      </c>
      <c r="H75" s="377">
        <f t="shared" si="157"/>
        <v>0</v>
      </c>
      <c r="I75" s="377">
        <f t="shared" si="157"/>
        <v>0</v>
      </c>
      <c r="J75" s="377">
        <f t="shared" si="157"/>
        <v>0</v>
      </c>
      <c r="K75" s="377">
        <f t="shared" si="157"/>
        <v>0</v>
      </c>
      <c r="L75" s="377">
        <f t="shared" si="157"/>
        <v>0</v>
      </c>
      <c r="M75" s="377">
        <f t="shared" si="157"/>
        <v>0</v>
      </c>
      <c r="N75" s="377">
        <f t="shared" si="157"/>
        <v>0</v>
      </c>
      <c r="O75" s="377">
        <f t="shared" si="157"/>
        <v>0</v>
      </c>
      <c r="P75" s="377">
        <f t="shared" si="157"/>
        <v>0</v>
      </c>
      <c r="Q75" s="377">
        <f t="shared" si="157"/>
        <v>0</v>
      </c>
      <c r="R75" s="377">
        <f t="shared" si="157"/>
        <v>0</v>
      </c>
      <c r="S75" s="377">
        <f t="shared" si="157"/>
        <v>0</v>
      </c>
      <c r="T75" s="377">
        <f t="shared" si="157"/>
        <v>0</v>
      </c>
      <c r="U75" s="377">
        <f t="shared" si="157"/>
        <v>0</v>
      </c>
      <c r="V75" s="377">
        <f t="shared" si="157"/>
        <v>0</v>
      </c>
      <c r="W75" s="377">
        <f t="shared" si="157"/>
        <v>0</v>
      </c>
      <c r="X75" s="377">
        <f t="shared" ref="X75:AA75" si="158">IF(X29&gt;0,1,0)</f>
        <v>0</v>
      </c>
      <c r="Y75" s="377">
        <f t="shared" si="158"/>
        <v>0</v>
      </c>
      <c r="Z75" s="377">
        <f t="shared" si="158"/>
        <v>0</v>
      </c>
      <c r="AA75" s="377">
        <f t="shared" si="158"/>
        <v>0</v>
      </c>
    </row>
    <row r="76" spans="1:27" ht="18.95" customHeight="1">
      <c r="A76" s="347"/>
      <c r="B76" s="353"/>
      <c r="C76" s="361" t="s">
        <v>192</v>
      </c>
      <c r="D76" s="377">
        <f t="shared" ref="D76:W76" si="159">IF(D30&gt;0,1,0)</f>
        <v>0</v>
      </c>
      <c r="E76" s="377">
        <f t="shared" si="159"/>
        <v>0</v>
      </c>
      <c r="F76" s="377">
        <f t="shared" si="159"/>
        <v>0</v>
      </c>
      <c r="G76" s="377">
        <f t="shared" si="159"/>
        <v>0</v>
      </c>
      <c r="H76" s="377">
        <f t="shared" si="159"/>
        <v>0</v>
      </c>
      <c r="I76" s="377">
        <f t="shared" si="159"/>
        <v>0</v>
      </c>
      <c r="J76" s="377">
        <f t="shared" si="159"/>
        <v>0</v>
      </c>
      <c r="K76" s="377">
        <f t="shared" si="159"/>
        <v>0</v>
      </c>
      <c r="L76" s="377">
        <f t="shared" si="159"/>
        <v>0</v>
      </c>
      <c r="M76" s="377">
        <f t="shared" si="159"/>
        <v>0</v>
      </c>
      <c r="N76" s="377">
        <f t="shared" si="159"/>
        <v>0</v>
      </c>
      <c r="O76" s="377">
        <f t="shared" si="159"/>
        <v>0</v>
      </c>
      <c r="P76" s="377">
        <f t="shared" si="159"/>
        <v>0</v>
      </c>
      <c r="Q76" s="377">
        <f t="shared" si="159"/>
        <v>0</v>
      </c>
      <c r="R76" s="377">
        <f t="shared" si="159"/>
        <v>0</v>
      </c>
      <c r="S76" s="377">
        <f t="shared" si="159"/>
        <v>0</v>
      </c>
      <c r="T76" s="377">
        <f t="shared" si="159"/>
        <v>0</v>
      </c>
      <c r="U76" s="377">
        <f t="shared" si="159"/>
        <v>0</v>
      </c>
      <c r="V76" s="377">
        <f t="shared" si="159"/>
        <v>0</v>
      </c>
      <c r="W76" s="377">
        <f t="shared" si="159"/>
        <v>0</v>
      </c>
      <c r="X76" s="377">
        <f t="shared" ref="X76:AA76" si="160">IF(X30&gt;0,1,0)</f>
        <v>0</v>
      </c>
      <c r="Y76" s="377">
        <f t="shared" si="160"/>
        <v>0</v>
      </c>
      <c r="Z76" s="377">
        <f t="shared" si="160"/>
        <v>0</v>
      </c>
      <c r="AA76" s="377">
        <f t="shared" si="160"/>
        <v>0</v>
      </c>
    </row>
    <row r="77" spans="1:27" ht="18.95" customHeight="1">
      <c r="A77" s="347"/>
      <c r="B77" s="353"/>
      <c r="C77" s="361" t="s">
        <v>193</v>
      </c>
      <c r="D77" s="377">
        <f t="shared" ref="D77:W77" si="161">IF(D31&gt;0,1,0)</f>
        <v>0</v>
      </c>
      <c r="E77" s="377">
        <f t="shared" si="161"/>
        <v>0</v>
      </c>
      <c r="F77" s="377">
        <f t="shared" si="161"/>
        <v>0</v>
      </c>
      <c r="G77" s="377">
        <f t="shared" si="161"/>
        <v>0</v>
      </c>
      <c r="H77" s="377">
        <f t="shared" si="161"/>
        <v>0</v>
      </c>
      <c r="I77" s="377">
        <f t="shared" si="161"/>
        <v>0</v>
      </c>
      <c r="J77" s="377">
        <f t="shared" si="161"/>
        <v>0</v>
      </c>
      <c r="K77" s="377">
        <f t="shared" si="161"/>
        <v>0</v>
      </c>
      <c r="L77" s="377">
        <f t="shared" si="161"/>
        <v>0</v>
      </c>
      <c r="M77" s="377">
        <f t="shared" si="161"/>
        <v>0</v>
      </c>
      <c r="N77" s="377">
        <f t="shared" si="161"/>
        <v>0</v>
      </c>
      <c r="O77" s="377">
        <f t="shared" si="161"/>
        <v>0</v>
      </c>
      <c r="P77" s="377">
        <f t="shared" si="161"/>
        <v>0</v>
      </c>
      <c r="Q77" s="377">
        <f t="shared" si="161"/>
        <v>0</v>
      </c>
      <c r="R77" s="377">
        <f t="shared" si="161"/>
        <v>0</v>
      </c>
      <c r="S77" s="377">
        <f t="shared" si="161"/>
        <v>0</v>
      </c>
      <c r="T77" s="377">
        <f t="shared" si="161"/>
        <v>0</v>
      </c>
      <c r="U77" s="377">
        <f t="shared" si="161"/>
        <v>0</v>
      </c>
      <c r="V77" s="377">
        <f t="shared" si="161"/>
        <v>0</v>
      </c>
      <c r="W77" s="377">
        <f t="shared" si="161"/>
        <v>0</v>
      </c>
      <c r="X77" s="377">
        <f t="shared" ref="X77:AA77" si="162">IF(X31&gt;0,1,0)</f>
        <v>0</v>
      </c>
      <c r="Y77" s="377">
        <f t="shared" si="162"/>
        <v>0</v>
      </c>
      <c r="Z77" s="377">
        <f t="shared" si="162"/>
        <v>0</v>
      </c>
      <c r="AA77" s="377">
        <f t="shared" si="162"/>
        <v>0</v>
      </c>
    </row>
    <row r="78" spans="1:27" ht="18.95" customHeight="1">
      <c r="A78" s="347"/>
      <c r="B78" s="353"/>
      <c r="C78" s="361" t="s">
        <v>194</v>
      </c>
      <c r="D78" s="377">
        <f t="shared" ref="D78:W78" si="163">IF(D32&gt;0,1,0)</f>
        <v>0</v>
      </c>
      <c r="E78" s="377">
        <f t="shared" si="163"/>
        <v>0</v>
      </c>
      <c r="F78" s="377">
        <f t="shared" si="163"/>
        <v>0</v>
      </c>
      <c r="G78" s="377">
        <f t="shared" si="163"/>
        <v>0</v>
      </c>
      <c r="H78" s="377">
        <f t="shared" si="163"/>
        <v>0</v>
      </c>
      <c r="I78" s="377">
        <f t="shared" si="163"/>
        <v>0</v>
      </c>
      <c r="J78" s="377">
        <f t="shared" si="163"/>
        <v>0</v>
      </c>
      <c r="K78" s="377">
        <f t="shared" si="163"/>
        <v>0</v>
      </c>
      <c r="L78" s="377">
        <f t="shared" si="163"/>
        <v>0</v>
      </c>
      <c r="M78" s="377">
        <f t="shared" si="163"/>
        <v>0</v>
      </c>
      <c r="N78" s="377">
        <f t="shared" si="163"/>
        <v>0</v>
      </c>
      <c r="O78" s="377">
        <f t="shared" si="163"/>
        <v>0</v>
      </c>
      <c r="P78" s="377">
        <f t="shared" si="163"/>
        <v>0</v>
      </c>
      <c r="Q78" s="377">
        <f t="shared" si="163"/>
        <v>0</v>
      </c>
      <c r="R78" s="377">
        <f t="shared" si="163"/>
        <v>0</v>
      </c>
      <c r="S78" s="377">
        <f t="shared" si="163"/>
        <v>0</v>
      </c>
      <c r="T78" s="377">
        <f t="shared" si="163"/>
        <v>0</v>
      </c>
      <c r="U78" s="377">
        <f t="shared" si="163"/>
        <v>0</v>
      </c>
      <c r="V78" s="377">
        <f t="shared" si="163"/>
        <v>0</v>
      </c>
      <c r="W78" s="377">
        <f t="shared" si="163"/>
        <v>0</v>
      </c>
      <c r="X78" s="377">
        <f t="shared" ref="X78:AA78" si="164">IF(X32&gt;0,1,0)</f>
        <v>0</v>
      </c>
      <c r="Y78" s="377">
        <f t="shared" si="164"/>
        <v>0</v>
      </c>
      <c r="Z78" s="377">
        <f t="shared" si="164"/>
        <v>0</v>
      </c>
      <c r="AA78" s="377">
        <f t="shared" si="164"/>
        <v>0</v>
      </c>
    </row>
    <row r="79" spans="1:27" ht="18.95" customHeight="1">
      <c r="A79" s="347"/>
      <c r="B79" s="353"/>
      <c r="C79" s="361" t="s">
        <v>195</v>
      </c>
      <c r="D79" s="377">
        <f t="shared" ref="D79:W79" si="165">IF(D33&gt;0,1,0)</f>
        <v>0</v>
      </c>
      <c r="E79" s="377">
        <f t="shared" si="165"/>
        <v>0</v>
      </c>
      <c r="F79" s="377">
        <f t="shared" si="165"/>
        <v>0</v>
      </c>
      <c r="G79" s="377">
        <f t="shared" si="165"/>
        <v>0</v>
      </c>
      <c r="H79" s="377">
        <f t="shared" si="165"/>
        <v>0</v>
      </c>
      <c r="I79" s="377">
        <f t="shared" si="165"/>
        <v>0</v>
      </c>
      <c r="J79" s="377">
        <f t="shared" si="165"/>
        <v>0</v>
      </c>
      <c r="K79" s="377">
        <f t="shared" si="165"/>
        <v>0</v>
      </c>
      <c r="L79" s="377">
        <f t="shared" si="165"/>
        <v>0</v>
      </c>
      <c r="M79" s="377">
        <f t="shared" si="165"/>
        <v>0</v>
      </c>
      <c r="N79" s="377">
        <f t="shared" si="165"/>
        <v>0</v>
      </c>
      <c r="O79" s="377">
        <f t="shared" si="165"/>
        <v>0</v>
      </c>
      <c r="P79" s="377">
        <f t="shared" si="165"/>
        <v>0</v>
      </c>
      <c r="Q79" s="377">
        <f t="shared" si="165"/>
        <v>0</v>
      </c>
      <c r="R79" s="377">
        <f t="shared" si="165"/>
        <v>0</v>
      </c>
      <c r="S79" s="377">
        <f t="shared" si="165"/>
        <v>0</v>
      </c>
      <c r="T79" s="377">
        <f t="shared" si="165"/>
        <v>0</v>
      </c>
      <c r="U79" s="377">
        <f t="shared" si="165"/>
        <v>0</v>
      </c>
      <c r="V79" s="377">
        <f t="shared" si="165"/>
        <v>0</v>
      </c>
      <c r="W79" s="377">
        <f t="shared" si="165"/>
        <v>0</v>
      </c>
      <c r="X79" s="377">
        <f t="shared" ref="X79:AA79" si="166">IF(X33&gt;0,1,0)</f>
        <v>0</v>
      </c>
      <c r="Y79" s="377">
        <f t="shared" si="166"/>
        <v>0</v>
      </c>
      <c r="Z79" s="377">
        <f t="shared" si="166"/>
        <v>0</v>
      </c>
      <c r="AA79" s="377">
        <f t="shared" si="166"/>
        <v>0</v>
      </c>
    </row>
    <row r="80" spans="1:27" ht="18.95" customHeight="1">
      <c r="A80" s="347"/>
      <c r="B80" s="353"/>
      <c r="C80" s="361" t="s">
        <v>196</v>
      </c>
      <c r="D80" s="377">
        <f t="shared" ref="D80:W80" si="167">IF(D34&gt;0,1,0)</f>
        <v>0</v>
      </c>
      <c r="E80" s="377">
        <f t="shared" si="167"/>
        <v>0</v>
      </c>
      <c r="F80" s="377">
        <f t="shared" si="167"/>
        <v>0</v>
      </c>
      <c r="G80" s="377">
        <f t="shared" si="167"/>
        <v>0</v>
      </c>
      <c r="H80" s="377">
        <f t="shared" si="167"/>
        <v>0</v>
      </c>
      <c r="I80" s="377">
        <f t="shared" si="167"/>
        <v>0</v>
      </c>
      <c r="J80" s="377">
        <f t="shared" si="167"/>
        <v>0</v>
      </c>
      <c r="K80" s="377">
        <f t="shared" si="167"/>
        <v>0</v>
      </c>
      <c r="L80" s="377">
        <f t="shared" si="167"/>
        <v>0</v>
      </c>
      <c r="M80" s="377">
        <f t="shared" si="167"/>
        <v>0</v>
      </c>
      <c r="N80" s="377">
        <f t="shared" si="167"/>
        <v>0</v>
      </c>
      <c r="O80" s="377">
        <f t="shared" si="167"/>
        <v>0</v>
      </c>
      <c r="P80" s="377">
        <f t="shared" si="167"/>
        <v>0</v>
      </c>
      <c r="Q80" s="377">
        <f t="shared" si="167"/>
        <v>0</v>
      </c>
      <c r="R80" s="377">
        <f t="shared" si="167"/>
        <v>0</v>
      </c>
      <c r="S80" s="377">
        <f t="shared" si="167"/>
        <v>0</v>
      </c>
      <c r="T80" s="377">
        <f t="shared" si="167"/>
        <v>0</v>
      </c>
      <c r="U80" s="377">
        <f t="shared" si="167"/>
        <v>0</v>
      </c>
      <c r="V80" s="377">
        <f t="shared" si="167"/>
        <v>1</v>
      </c>
      <c r="W80" s="377">
        <f t="shared" si="167"/>
        <v>1</v>
      </c>
      <c r="X80" s="377">
        <f t="shared" ref="X80:AA80" si="168">IF(X34&gt;0,1,0)</f>
        <v>1</v>
      </c>
      <c r="Y80" s="377">
        <f t="shared" si="168"/>
        <v>1</v>
      </c>
      <c r="Z80" s="377">
        <f t="shared" si="168"/>
        <v>1</v>
      </c>
      <c r="AA80" s="377">
        <f t="shared" si="168"/>
        <v>1</v>
      </c>
    </row>
    <row r="81" spans="1:27" ht="18.95" customHeight="1">
      <c r="A81" s="347"/>
      <c r="B81" s="353"/>
      <c r="C81" s="361" t="s">
        <v>197</v>
      </c>
      <c r="D81" s="377">
        <f t="shared" ref="D81:Q81" si="169">IF(D35&gt;0,1,0)</f>
        <v>0</v>
      </c>
      <c r="E81" s="377">
        <f t="shared" si="169"/>
        <v>0</v>
      </c>
      <c r="F81" s="377">
        <f t="shared" si="169"/>
        <v>0</v>
      </c>
      <c r="G81" s="377">
        <f t="shared" si="169"/>
        <v>0</v>
      </c>
      <c r="H81" s="377">
        <f t="shared" si="169"/>
        <v>0</v>
      </c>
      <c r="I81" s="377">
        <f t="shared" si="169"/>
        <v>0</v>
      </c>
      <c r="J81" s="377">
        <f t="shared" si="169"/>
        <v>0</v>
      </c>
      <c r="K81" s="377">
        <f t="shared" si="169"/>
        <v>0</v>
      </c>
      <c r="L81" s="377">
        <f t="shared" si="169"/>
        <v>0</v>
      </c>
      <c r="M81" s="377">
        <f t="shared" si="169"/>
        <v>0</v>
      </c>
      <c r="N81" s="377">
        <f t="shared" si="169"/>
        <v>0</v>
      </c>
      <c r="O81" s="377">
        <f t="shared" si="169"/>
        <v>0</v>
      </c>
      <c r="P81" s="377">
        <f t="shared" si="169"/>
        <v>0</v>
      </c>
      <c r="Q81" s="377">
        <f t="shared" si="169"/>
        <v>0</v>
      </c>
      <c r="R81" s="377">
        <f>IF(R35&gt;0,R36,0)</f>
        <v>1</v>
      </c>
      <c r="S81" s="377">
        <f t="shared" ref="S81:W81" si="170">IF(S35&gt;0,S36,0)</f>
        <v>1</v>
      </c>
      <c r="T81" s="377">
        <f t="shared" si="170"/>
        <v>1.0349999999999999</v>
      </c>
      <c r="U81" s="377">
        <f t="shared" si="170"/>
        <v>1.0349999999999999</v>
      </c>
      <c r="V81" s="377">
        <f t="shared" si="170"/>
        <v>1.0349999999999999</v>
      </c>
      <c r="W81" s="377">
        <f t="shared" si="170"/>
        <v>1.0349999999999999</v>
      </c>
      <c r="X81" s="377">
        <f t="shared" ref="X81:AA81" si="171">IF(X35&gt;0,X36,0)</f>
        <v>1.0349999999999999</v>
      </c>
      <c r="Y81" s="377">
        <f t="shared" si="171"/>
        <v>1.0349999999999999</v>
      </c>
      <c r="Z81" s="377">
        <f t="shared" si="171"/>
        <v>1.0349999999999999</v>
      </c>
      <c r="AA81" s="377">
        <f t="shared" si="171"/>
        <v>1.0349999999999999</v>
      </c>
    </row>
    <row r="82" spans="1:27" ht="18.95" customHeight="1">
      <c r="A82" s="347"/>
      <c r="B82" s="353"/>
      <c r="C82" s="361" t="s">
        <v>216</v>
      </c>
      <c r="D82" s="377">
        <f>IF(D37&gt;0,1,0)</f>
        <v>0</v>
      </c>
      <c r="E82" s="377">
        <f t="shared" ref="E82:W82" si="172">IF(E37&gt;0,1,0)</f>
        <v>0</v>
      </c>
      <c r="F82" s="377">
        <f t="shared" si="172"/>
        <v>0</v>
      </c>
      <c r="G82" s="377">
        <f t="shared" si="172"/>
        <v>0</v>
      </c>
      <c r="H82" s="377">
        <f t="shared" si="172"/>
        <v>0</v>
      </c>
      <c r="I82" s="377">
        <f t="shared" si="172"/>
        <v>0</v>
      </c>
      <c r="J82" s="377">
        <f t="shared" si="172"/>
        <v>0</v>
      </c>
      <c r="K82" s="377">
        <f t="shared" si="172"/>
        <v>0</v>
      </c>
      <c r="L82" s="377">
        <f t="shared" si="172"/>
        <v>0</v>
      </c>
      <c r="M82" s="377">
        <f t="shared" si="172"/>
        <v>0</v>
      </c>
      <c r="N82" s="377">
        <f t="shared" si="172"/>
        <v>0</v>
      </c>
      <c r="O82" s="377">
        <f t="shared" si="172"/>
        <v>0</v>
      </c>
      <c r="P82" s="377">
        <f t="shared" si="172"/>
        <v>1</v>
      </c>
      <c r="Q82" s="377">
        <f t="shared" si="172"/>
        <v>1</v>
      </c>
      <c r="R82" s="377">
        <f t="shared" si="172"/>
        <v>1</v>
      </c>
      <c r="S82" s="377">
        <f t="shared" si="172"/>
        <v>1</v>
      </c>
      <c r="T82" s="377">
        <f t="shared" si="172"/>
        <v>1</v>
      </c>
      <c r="U82" s="377">
        <f t="shared" si="172"/>
        <v>1</v>
      </c>
      <c r="V82" s="377">
        <f t="shared" si="172"/>
        <v>1</v>
      </c>
      <c r="W82" s="377">
        <f t="shared" si="172"/>
        <v>1</v>
      </c>
      <c r="X82" s="377">
        <f t="shared" ref="X82:AA82" si="173">IF(X37&gt;0,1,0)</f>
        <v>1</v>
      </c>
      <c r="Y82" s="377">
        <f t="shared" si="173"/>
        <v>1</v>
      </c>
      <c r="Z82" s="377">
        <f t="shared" si="173"/>
        <v>1</v>
      </c>
      <c r="AA82" s="377">
        <f t="shared" si="173"/>
        <v>1</v>
      </c>
    </row>
    <row r="83" spans="1:27" ht="18.95" customHeight="1">
      <c r="A83" s="347"/>
      <c r="B83" s="353"/>
      <c r="C83" s="374" t="s">
        <v>200</v>
      </c>
      <c r="D83" s="375">
        <f t="shared" ref="D83:E83" si="174">SUM(D84:D85)</f>
        <v>0</v>
      </c>
      <c r="E83" s="375">
        <f t="shared" si="174"/>
        <v>0</v>
      </c>
      <c r="F83" s="375">
        <f t="shared" ref="F83:W83" si="175">SUM(F84:F85)</f>
        <v>0</v>
      </c>
      <c r="G83" s="375">
        <f t="shared" si="175"/>
        <v>0</v>
      </c>
      <c r="H83" s="375">
        <f t="shared" si="175"/>
        <v>0</v>
      </c>
      <c r="I83" s="376">
        <f t="shared" si="175"/>
        <v>0</v>
      </c>
      <c r="J83" s="376">
        <f t="shared" si="175"/>
        <v>0</v>
      </c>
      <c r="K83" s="376">
        <f t="shared" si="175"/>
        <v>0</v>
      </c>
      <c r="L83" s="376">
        <f t="shared" si="175"/>
        <v>0</v>
      </c>
      <c r="M83" s="376">
        <f t="shared" si="175"/>
        <v>0</v>
      </c>
      <c r="N83" s="376">
        <f t="shared" si="175"/>
        <v>0</v>
      </c>
      <c r="O83" s="376">
        <f t="shared" si="175"/>
        <v>0</v>
      </c>
      <c r="P83" s="376">
        <f t="shared" si="175"/>
        <v>0</v>
      </c>
      <c r="Q83" s="376">
        <f t="shared" si="175"/>
        <v>0</v>
      </c>
      <c r="R83" s="376">
        <f t="shared" si="175"/>
        <v>0</v>
      </c>
      <c r="S83" s="376">
        <f t="shared" si="175"/>
        <v>0</v>
      </c>
      <c r="T83" s="376">
        <f t="shared" si="175"/>
        <v>1</v>
      </c>
      <c r="U83" s="376">
        <f t="shared" si="175"/>
        <v>1</v>
      </c>
      <c r="V83" s="376">
        <f t="shared" si="175"/>
        <v>2</v>
      </c>
      <c r="W83" s="376">
        <f t="shared" si="175"/>
        <v>2</v>
      </c>
      <c r="X83" s="376">
        <f t="shared" ref="X83:AA83" si="176">SUM(X84:X85)</f>
        <v>2</v>
      </c>
      <c r="Y83" s="376">
        <f t="shared" si="176"/>
        <v>2</v>
      </c>
      <c r="Z83" s="376">
        <f t="shared" si="176"/>
        <v>2</v>
      </c>
      <c r="AA83" s="376">
        <f t="shared" si="176"/>
        <v>2</v>
      </c>
    </row>
    <row r="84" spans="1:27" ht="18.95" customHeight="1">
      <c r="A84" s="347"/>
      <c r="B84" s="353"/>
      <c r="C84" s="361" t="s">
        <v>201</v>
      </c>
      <c r="D84" s="365">
        <v>0</v>
      </c>
      <c r="E84" s="365">
        <v>0</v>
      </c>
      <c r="F84" s="365">
        <v>0</v>
      </c>
      <c r="G84" s="365">
        <v>0</v>
      </c>
      <c r="H84" s="365">
        <v>0</v>
      </c>
      <c r="I84" s="365">
        <v>0</v>
      </c>
      <c r="J84" s="365">
        <v>0</v>
      </c>
      <c r="K84" s="365">
        <v>0</v>
      </c>
      <c r="L84" s="365">
        <f>K84</f>
        <v>0</v>
      </c>
      <c r="M84" s="365">
        <v>0</v>
      </c>
      <c r="N84" s="365">
        <f t="shared" ref="N84:O84" si="177">M84</f>
        <v>0</v>
      </c>
      <c r="O84" s="365">
        <f t="shared" si="177"/>
        <v>0</v>
      </c>
      <c r="P84" s="365">
        <f>O84</f>
        <v>0</v>
      </c>
      <c r="Q84" s="365">
        <f>P84</f>
        <v>0</v>
      </c>
      <c r="R84" s="365">
        <f t="shared" ref="R84:W85" si="178">Q84</f>
        <v>0</v>
      </c>
      <c r="S84" s="365">
        <f t="shared" si="178"/>
        <v>0</v>
      </c>
      <c r="T84" s="365">
        <f t="shared" ref="T84" si="179">S84</f>
        <v>0</v>
      </c>
      <c r="U84" s="365">
        <f t="shared" ref="U84" si="180">T84</f>
        <v>0</v>
      </c>
      <c r="V84" s="365">
        <v>1</v>
      </c>
      <c r="W84" s="365">
        <f t="shared" si="178"/>
        <v>1</v>
      </c>
      <c r="X84" s="365">
        <f t="shared" ref="X84:X85" si="181">W84</f>
        <v>1</v>
      </c>
      <c r="Y84" s="365">
        <f t="shared" ref="Y84:Y85" si="182">X84</f>
        <v>1</v>
      </c>
      <c r="Z84" s="365">
        <f t="shared" ref="Z84:Z85" si="183">Y84</f>
        <v>1</v>
      </c>
      <c r="AA84" s="365">
        <f t="shared" ref="AA84:AA85" si="184">Z84</f>
        <v>1</v>
      </c>
    </row>
    <row r="85" spans="1:27" ht="18.95" customHeight="1">
      <c r="A85" s="347"/>
      <c r="B85" s="353"/>
      <c r="C85" s="361" t="s">
        <v>202</v>
      </c>
      <c r="D85" s="365">
        <v>0</v>
      </c>
      <c r="E85" s="365">
        <v>0</v>
      </c>
      <c r="F85" s="365">
        <v>0</v>
      </c>
      <c r="G85" s="365">
        <v>0</v>
      </c>
      <c r="H85" s="365">
        <v>0</v>
      </c>
      <c r="I85" s="365">
        <v>0</v>
      </c>
      <c r="J85" s="365">
        <v>0</v>
      </c>
      <c r="K85" s="365">
        <v>0</v>
      </c>
      <c r="L85" s="365">
        <f>K85</f>
        <v>0</v>
      </c>
      <c r="M85" s="365">
        <f>L85</f>
        <v>0</v>
      </c>
      <c r="N85" s="365">
        <f>M85</f>
        <v>0</v>
      </c>
      <c r="O85" s="365">
        <f>N85</f>
        <v>0</v>
      </c>
      <c r="P85" s="365">
        <f>O85</f>
        <v>0</v>
      </c>
      <c r="Q85" s="365">
        <f>P85</f>
        <v>0</v>
      </c>
      <c r="R85" s="365">
        <f t="shared" si="178"/>
        <v>0</v>
      </c>
      <c r="S85" s="365">
        <f t="shared" si="178"/>
        <v>0</v>
      </c>
      <c r="T85" s="365">
        <v>1</v>
      </c>
      <c r="U85" s="365">
        <f t="shared" si="178"/>
        <v>1</v>
      </c>
      <c r="V85" s="365">
        <f t="shared" si="178"/>
        <v>1</v>
      </c>
      <c r="W85" s="365">
        <f t="shared" si="178"/>
        <v>1</v>
      </c>
      <c r="X85" s="365">
        <f t="shared" si="181"/>
        <v>1</v>
      </c>
      <c r="Y85" s="365">
        <f t="shared" si="182"/>
        <v>1</v>
      </c>
      <c r="Z85" s="365">
        <f t="shared" si="183"/>
        <v>1</v>
      </c>
      <c r="AA85" s="365">
        <f t="shared" si="184"/>
        <v>1</v>
      </c>
    </row>
    <row r="86" spans="1:27" ht="18.95" customHeight="1">
      <c r="A86" s="347"/>
      <c r="B86" s="353"/>
      <c r="C86" s="374" t="s">
        <v>203</v>
      </c>
      <c r="D86" s="376">
        <f>SUM(D87:D88)</f>
        <v>0</v>
      </c>
      <c r="E86" s="376">
        <f t="shared" ref="E86:W86" si="185">SUM(E87:E88)</f>
        <v>0</v>
      </c>
      <c r="F86" s="376">
        <f t="shared" si="185"/>
        <v>0</v>
      </c>
      <c r="G86" s="376">
        <f t="shared" si="185"/>
        <v>0</v>
      </c>
      <c r="H86" s="376">
        <f>SUM(H87:H88)</f>
        <v>0</v>
      </c>
      <c r="I86" s="376">
        <f t="shared" si="185"/>
        <v>0</v>
      </c>
      <c r="J86" s="376">
        <f t="shared" si="185"/>
        <v>0</v>
      </c>
      <c r="K86" s="376">
        <f t="shared" si="185"/>
        <v>0</v>
      </c>
      <c r="L86" s="376">
        <f>SUM(L87:L88)</f>
        <v>0</v>
      </c>
      <c r="M86" s="376">
        <f t="shared" si="185"/>
        <v>0</v>
      </c>
      <c r="N86" s="376">
        <f t="shared" si="185"/>
        <v>0</v>
      </c>
      <c r="O86" s="376">
        <f t="shared" si="185"/>
        <v>0</v>
      </c>
      <c r="P86" s="376">
        <f t="shared" si="185"/>
        <v>0</v>
      </c>
      <c r="Q86" s="376">
        <f>SUM(Q87:Q88)</f>
        <v>0</v>
      </c>
      <c r="R86" s="376">
        <f t="shared" si="185"/>
        <v>0</v>
      </c>
      <c r="S86" s="376">
        <f t="shared" si="185"/>
        <v>0</v>
      </c>
      <c r="T86" s="376">
        <f t="shared" si="185"/>
        <v>1</v>
      </c>
      <c r="U86" s="376">
        <f t="shared" si="185"/>
        <v>1</v>
      </c>
      <c r="V86" s="376">
        <f t="shared" si="185"/>
        <v>2</v>
      </c>
      <c r="W86" s="376">
        <f t="shared" si="185"/>
        <v>2</v>
      </c>
      <c r="X86" s="376">
        <f t="shared" ref="X86:AA86" si="186">SUM(X87:X88)</f>
        <v>2</v>
      </c>
      <c r="Y86" s="376">
        <f t="shared" si="186"/>
        <v>2</v>
      </c>
      <c r="Z86" s="376">
        <f t="shared" si="186"/>
        <v>2</v>
      </c>
      <c r="AA86" s="376">
        <f t="shared" si="186"/>
        <v>2</v>
      </c>
    </row>
    <row r="87" spans="1:27" ht="18.95" customHeight="1">
      <c r="A87" s="347"/>
      <c r="B87" s="353"/>
      <c r="C87" s="361" t="s">
        <v>204</v>
      </c>
      <c r="D87" s="365">
        <v>0</v>
      </c>
      <c r="E87" s="365">
        <v>0</v>
      </c>
      <c r="F87" s="365">
        <v>0</v>
      </c>
      <c r="G87" s="365">
        <v>0</v>
      </c>
      <c r="H87" s="365">
        <v>0</v>
      </c>
      <c r="I87" s="365">
        <v>0</v>
      </c>
      <c r="J87" s="365">
        <v>0</v>
      </c>
      <c r="K87" s="365">
        <v>0</v>
      </c>
      <c r="L87" s="365">
        <v>0</v>
      </c>
      <c r="M87" s="365">
        <v>0</v>
      </c>
      <c r="N87" s="365">
        <v>0</v>
      </c>
      <c r="O87" s="365">
        <v>0</v>
      </c>
      <c r="P87" s="365">
        <f>O87</f>
        <v>0</v>
      </c>
      <c r="Q87" s="365">
        <f>P87</f>
        <v>0</v>
      </c>
      <c r="R87" s="365">
        <f t="shared" ref="R87:U87" si="187">Q87</f>
        <v>0</v>
      </c>
      <c r="S87" s="365">
        <f t="shared" si="187"/>
        <v>0</v>
      </c>
      <c r="T87" s="365">
        <f t="shared" si="187"/>
        <v>0</v>
      </c>
      <c r="U87" s="365">
        <f t="shared" si="187"/>
        <v>0</v>
      </c>
      <c r="V87" s="365">
        <v>1</v>
      </c>
      <c r="W87" s="365">
        <f t="shared" ref="T87:W89" si="188">V87</f>
        <v>1</v>
      </c>
      <c r="X87" s="365">
        <f t="shared" ref="X87:X89" si="189">W87</f>
        <v>1</v>
      </c>
      <c r="Y87" s="365">
        <f t="shared" ref="Y87:Y89" si="190">X87</f>
        <v>1</v>
      </c>
      <c r="Z87" s="365">
        <f t="shared" ref="Z87:Z89" si="191">Y87</f>
        <v>1</v>
      </c>
      <c r="AA87" s="365">
        <f t="shared" ref="AA87:AA89" si="192">Z87</f>
        <v>1</v>
      </c>
    </row>
    <row r="88" spans="1:27" ht="18.95" customHeight="1">
      <c r="A88" s="347"/>
      <c r="B88" s="353"/>
      <c r="C88" s="361" t="s">
        <v>205</v>
      </c>
      <c r="D88" s="365">
        <v>0</v>
      </c>
      <c r="E88" s="365">
        <v>0</v>
      </c>
      <c r="F88" s="365">
        <v>0</v>
      </c>
      <c r="G88" s="365">
        <v>0</v>
      </c>
      <c r="H88" s="365">
        <v>0</v>
      </c>
      <c r="I88" s="365">
        <f>H88</f>
        <v>0</v>
      </c>
      <c r="J88" s="365">
        <f>I88</f>
        <v>0</v>
      </c>
      <c r="K88" s="365">
        <f>J88</f>
        <v>0</v>
      </c>
      <c r="L88" s="365">
        <v>0</v>
      </c>
      <c r="M88" s="365">
        <v>0</v>
      </c>
      <c r="N88" s="365">
        <f>M88</f>
        <v>0</v>
      </c>
      <c r="O88" s="365">
        <f>N88</f>
        <v>0</v>
      </c>
      <c r="P88" s="365">
        <f>O88</f>
        <v>0</v>
      </c>
      <c r="Q88" s="365">
        <f t="shared" ref="Q88:S88" si="193">P88</f>
        <v>0</v>
      </c>
      <c r="R88" s="365">
        <f t="shared" si="193"/>
        <v>0</v>
      </c>
      <c r="S88" s="365">
        <f t="shared" si="193"/>
        <v>0</v>
      </c>
      <c r="T88" s="365">
        <v>1</v>
      </c>
      <c r="U88" s="365">
        <f t="shared" si="188"/>
        <v>1</v>
      </c>
      <c r="V88" s="365">
        <f t="shared" si="188"/>
        <v>1</v>
      </c>
      <c r="W88" s="365">
        <f t="shared" si="188"/>
        <v>1</v>
      </c>
      <c r="X88" s="365">
        <f t="shared" si="189"/>
        <v>1</v>
      </c>
      <c r="Y88" s="365">
        <f t="shared" si="190"/>
        <v>1</v>
      </c>
      <c r="Z88" s="365">
        <f t="shared" si="191"/>
        <v>1</v>
      </c>
      <c r="AA88" s="365">
        <f t="shared" si="192"/>
        <v>1</v>
      </c>
    </row>
    <row r="89" spans="1:27" ht="18.95" customHeight="1">
      <c r="A89" s="347"/>
      <c r="B89" s="353"/>
      <c r="C89" s="374" t="s">
        <v>206</v>
      </c>
      <c r="D89" s="376">
        <v>0</v>
      </c>
      <c r="E89" s="376">
        <v>0</v>
      </c>
      <c r="F89" s="376">
        <v>0</v>
      </c>
      <c r="G89" s="376">
        <v>0</v>
      </c>
      <c r="H89" s="376">
        <v>0</v>
      </c>
      <c r="I89" s="376">
        <v>0</v>
      </c>
      <c r="J89" s="376">
        <v>0</v>
      </c>
      <c r="K89" s="376">
        <v>0</v>
      </c>
      <c r="L89" s="376">
        <v>0</v>
      </c>
      <c r="M89" s="376">
        <f>L89</f>
        <v>0</v>
      </c>
      <c r="N89" s="376">
        <v>0</v>
      </c>
      <c r="O89" s="376">
        <f>$N$89</f>
        <v>0</v>
      </c>
      <c r="P89" s="376">
        <f>O89</f>
        <v>0</v>
      </c>
      <c r="Q89" s="376">
        <f>P89</f>
        <v>0</v>
      </c>
      <c r="R89" s="376">
        <f>Q89</f>
        <v>0</v>
      </c>
      <c r="S89" s="376">
        <f t="shared" ref="S89" si="194">R89</f>
        <v>0</v>
      </c>
      <c r="T89" s="376">
        <f t="shared" si="188"/>
        <v>0</v>
      </c>
      <c r="U89" s="376">
        <f t="shared" si="188"/>
        <v>0</v>
      </c>
      <c r="V89" s="376">
        <f t="shared" si="188"/>
        <v>0</v>
      </c>
      <c r="W89" s="376">
        <f t="shared" si="188"/>
        <v>0</v>
      </c>
      <c r="X89" s="376">
        <f t="shared" si="189"/>
        <v>0</v>
      </c>
      <c r="Y89" s="376">
        <f t="shared" si="190"/>
        <v>0</v>
      </c>
      <c r="Z89" s="376">
        <f t="shared" si="191"/>
        <v>0</v>
      </c>
      <c r="AA89" s="376">
        <f t="shared" si="192"/>
        <v>0</v>
      </c>
    </row>
    <row r="90" spans="1:27" ht="18.95" customHeight="1">
      <c r="A90" s="347"/>
      <c r="B90" s="353"/>
      <c r="C90" s="374" t="s">
        <v>217</v>
      </c>
      <c r="D90" s="376">
        <f>SUM(D91:D94)</f>
        <v>0</v>
      </c>
      <c r="E90" s="376">
        <f>SUM(E91:E94)</f>
        <v>0</v>
      </c>
      <c r="F90" s="376">
        <f>SUM(F91:F94)</f>
        <v>0</v>
      </c>
      <c r="G90" s="376">
        <f>SUM(G91:G94)</f>
        <v>0</v>
      </c>
      <c r="H90" s="376">
        <v>0</v>
      </c>
      <c r="I90" s="376">
        <v>0</v>
      </c>
      <c r="J90" s="376">
        <v>0</v>
      </c>
      <c r="K90" s="376">
        <v>0</v>
      </c>
      <c r="L90" s="376">
        <f t="shared" ref="L90:W90" si="195">SUM(L91:L94)</f>
        <v>0</v>
      </c>
      <c r="M90" s="376">
        <f t="shared" si="195"/>
        <v>0</v>
      </c>
      <c r="N90" s="376">
        <f t="shared" si="195"/>
        <v>1</v>
      </c>
      <c r="O90" s="376">
        <f t="shared" si="195"/>
        <v>1</v>
      </c>
      <c r="P90" s="376">
        <f t="shared" si="195"/>
        <v>2</v>
      </c>
      <c r="Q90" s="376">
        <f t="shared" si="195"/>
        <v>2</v>
      </c>
      <c r="R90" s="376">
        <f t="shared" si="195"/>
        <v>2</v>
      </c>
      <c r="S90" s="376">
        <f t="shared" si="195"/>
        <v>2</v>
      </c>
      <c r="T90" s="376">
        <f t="shared" si="195"/>
        <v>2</v>
      </c>
      <c r="U90" s="376">
        <f t="shared" si="195"/>
        <v>2</v>
      </c>
      <c r="V90" s="376">
        <f t="shared" si="195"/>
        <v>2</v>
      </c>
      <c r="W90" s="376">
        <f t="shared" si="195"/>
        <v>2</v>
      </c>
      <c r="X90" s="376">
        <f t="shared" ref="X90:AA90" si="196">SUM(X91:X94)</f>
        <v>2</v>
      </c>
      <c r="Y90" s="376">
        <f t="shared" si="196"/>
        <v>2</v>
      </c>
      <c r="Z90" s="376">
        <f t="shared" si="196"/>
        <v>2</v>
      </c>
      <c r="AA90" s="376">
        <f t="shared" si="196"/>
        <v>2</v>
      </c>
    </row>
    <row r="91" spans="1:27" ht="18.95" customHeight="1">
      <c r="A91" s="347"/>
      <c r="B91" s="354"/>
      <c r="C91" s="361" t="s">
        <v>208</v>
      </c>
      <c r="D91" s="365">
        <v>0</v>
      </c>
      <c r="E91" s="365">
        <v>0</v>
      </c>
      <c r="F91" s="365">
        <v>0</v>
      </c>
      <c r="G91" s="365">
        <v>0</v>
      </c>
      <c r="H91" s="365">
        <v>0</v>
      </c>
      <c r="I91" s="365">
        <v>0</v>
      </c>
      <c r="J91" s="365">
        <v>0</v>
      </c>
      <c r="K91" s="365">
        <v>0</v>
      </c>
      <c r="L91" s="365">
        <v>0</v>
      </c>
      <c r="M91" s="365">
        <v>0</v>
      </c>
      <c r="N91" s="365">
        <v>0</v>
      </c>
      <c r="O91" s="365">
        <v>0</v>
      </c>
      <c r="P91" s="365">
        <v>0</v>
      </c>
      <c r="Q91" s="365">
        <f>P91</f>
        <v>0</v>
      </c>
      <c r="R91" s="365">
        <f>Q91</f>
        <v>0</v>
      </c>
      <c r="S91" s="365">
        <f>R91</f>
        <v>0</v>
      </c>
      <c r="T91" s="365">
        <f t="shared" ref="T91:W94" si="197">S91</f>
        <v>0</v>
      </c>
      <c r="U91" s="365">
        <f t="shared" si="197"/>
        <v>0</v>
      </c>
      <c r="V91" s="365">
        <f t="shared" si="197"/>
        <v>0</v>
      </c>
      <c r="W91" s="365">
        <f t="shared" si="197"/>
        <v>0</v>
      </c>
      <c r="X91" s="365">
        <f t="shared" ref="X91:X94" si="198">W91</f>
        <v>0</v>
      </c>
      <c r="Y91" s="365">
        <f t="shared" ref="Y91:Y94" si="199">X91</f>
        <v>0</v>
      </c>
      <c r="Z91" s="365">
        <f t="shared" ref="Z91:Z94" si="200">Y91</f>
        <v>0</v>
      </c>
      <c r="AA91" s="365">
        <f t="shared" ref="AA91:AA94" si="201">Z91</f>
        <v>0</v>
      </c>
    </row>
    <row r="92" spans="1:27" ht="18.95" customHeight="1">
      <c r="A92" s="347"/>
      <c r="B92" s="354"/>
      <c r="C92" s="361" t="s">
        <v>209</v>
      </c>
      <c r="D92" s="365">
        <v>0</v>
      </c>
      <c r="E92" s="365">
        <v>0</v>
      </c>
      <c r="F92" s="365">
        <v>0</v>
      </c>
      <c r="G92" s="365">
        <v>0</v>
      </c>
      <c r="H92" s="365">
        <v>0</v>
      </c>
      <c r="I92" s="365">
        <v>0</v>
      </c>
      <c r="J92" s="365">
        <v>0</v>
      </c>
      <c r="K92" s="365">
        <v>0</v>
      </c>
      <c r="L92" s="365">
        <v>0</v>
      </c>
      <c r="M92" s="365">
        <f>L92</f>
        <v>0</v>
      </c>
      <c r="N92" s="365">
        <f t="shared" ref="N92" si="202">M92</f>
        <v>0</v>
      </c>
      <c r="O92" s="365">
        <v>0</v>
      </c>
      <c r="P92" s="365">
        <v>0</v>
      </c>
      <c r="Q92" s="365">
        <f t="shared" ref="Q92:S94" si="203">P92</f>
        <v>0</v>
      </c>
      <c r="R92" s="365">
        <f t="shared" si="203"/>
        <v>0</v>
      </c>
      <c r="S92" s="365">
        <f t="shared" si="203"/>
        <v>0</v>
      </c>
      <c r="T92" s="365">
        <f t="shared" si="197"/>
        <v>0</v>
      </c>
      <c r="U92" s="365">
        <f t="shared" si="197"/>
        <v>0</v>
      </c>
      <c r="V92" s="365">
        <f t="shared" si="197"/>
        <v>0</v>
      </c>
      <c r="W92" s="365">
        <f t="shared" si="197"/>
        <v>0</v>
      </c>
      <c r="X92" s="365">
        <f t="shared" si="198"/>
        <v>0</v>
      </c>
      <c r="Y92" s="365">
        <f t="shared" si="199"/>
        <v>0</v>
      </c>
      <c r="Z92" s="365">
        <f t="shared" si="200"/>
        <v>0</v>
      </c>
      <c r="AA92" s="365">
        <f t="shared" si="201"/>
        <v>0</v>
      </c>
    </row>
    <row r="93" spans="1:27" ht="18.95" customHeight="1">
      <c r="A93" s="347"/>
      <c r="B93" s="354"/>
      <c r="C93" s="361" t="s">
        <v>210</v>
      </c>
      <c r="D93" s="365">
        <v>0</v>
      </c>
      <c r="E93" s="365">
        <v>0</v>
      </c>
      <c r="F93" s="365">
        <v>0</v>
      </c>
      <c r="G93" s="365">
        <f>F93</f>
        <v>0</v>
      </c>
      <c r="H93" s="365">
        <v>0</v>
      </c>
      <c r="I93" s="365">
        <f>H93</f>
        <v>0</v>
      </c>
      <c r="J93" s="365">
        <v>0</v>
      </c>
      <c r="K93" s="365">
        <f>J93</f>
        <v>0</v>
      </c>
      <c r="L93" s="365">
        <v>0</v>
      </c>
      <c r="M93" s="365">
        <v>0</v>
      </c>
      <c r="N93" s="365">
        <v>1</v>
      </c>
      <c r="O93" s="365">
        <f>N93</f>
        <v>1</v>
      </c>
      <c r="P93" s="365">
        <f>O93</f>
        <v>1</v>
      </c>
      <c r="Q93" s="365">
        <f t="shared" si="203"/>
        <v>1</v>
      </c>
      <c r="R93" s="365">
        <f t="shared" si="203"/>
        <v>1</v>
      </c>
      <c r="S93" s="365">
        <f t="shared" si="203"/>
        <v>1</v>
      </c>
      <c r="T93" s="365">
        <f t="shared" si="197"/>
        <v>1</v>
      </c>
      <c r="U93" s="365">
        <f t="shared" si="197"/>
        <v>1</v>
      </c>
      <c r="V93" s="365">
        <f t="shared" si="197"/>
        <v>1</v>
      </c>
      <c r="W93" s="365">
        <f t="shared" si="197"/>
        <v>1</v>
      </c>
      <c r="X93" s="365">
        <f t="shared" si="198"/>
        <v>1</v>
      </c>
      <c r="Y93" s="365">
        <f t="shared" si="199"/>
        <v>1</v>
      </c>
      <c r="Z93" s="365">
        <f t="shared" si="200"/>
        <v>1</v>
      </c>
      <c r="AA93" s="365">
        <f t="shared" si="201"/>
        <v>1</v>
      </c>
    </row>
    <row r="94" spans="1:27" ht="18.95" customHeight="1">
      <c r="A94" s="347"/>
      <c r="B94" s="354"/>
      <c r="C94" s="361" t="s">
        <v>211</v>
      </c>
      <c r="D94" s="365">
        <v>0</v>
      </c>
      <c r="E94" s="365">
        <v>0</v>
      </c>
      <c r="F94" s="365">
        <f>E94</f>
        <v>0</v>
      </c>
      <c r="G94" s="365">
        <f>F94</f>
        <v>0</v>
      </c>
      <c r="H94" s="365">
        <v>0</v>
      </c>
      <c r="I94" s="365">
        <v>0</v>
      </c>
      <c r="J94" s="365">
        <v>0</v>
      </c>
      <c r="K94" s="365">
        <v>0</v>
      </c>
      <c r="L94" s="365">
        <v>0</v>
      </c>
      <c r="M94" s="365">
        <f>L94</f>
        <v>0</v>
      </c>
      <c r="N94" s="365">
        <v>0</v>
      </c>
      <c r="O94" s="365">
        <v>0</v>
      </c>
      <c r="P94" s="365">
        <v>1</v>
      </c>
      <c r="Q94" s="365">
        <f t="shared" si="203"/>
        <v>1</v>
      </c>
      <c r="R94" s="365">
        <f t="shared" si="203"/>
        <v>1</v>
      </c>
      <c r="S94" s="365">
        <f t="shared" si="203"/>
        <v>1</v>
      </c>
      <c r="T94" s="365">
        <f t="shared" si="197"/>
        <v>1</v>
      </c>
      <c r="U94" s="365">
        <f t="shared" si="197"/>
        <v>1</v>
      </c>
      <c r="V94" s="365">
        <f t="shared" si="197"/>
        <v>1</v>
      </c>
      <c r="W94" s="365">
        <f t="shared" si="197"/>
        <v>1</v>
      </c>
      <c r="X94" s="365">
        <f t="shared" si="198"/>
        <v>1</v>
      </c>
      <c r="Y94" s="365">
        <f t="shared" si="199"/>
        <v>1</v>
      </c>
      <c r="Z94" s="365">
        <f t="shared" si="200"/>
        <v>1</v>
      </c>
      <c r="AA94" s="365">
        <f t="shared" si="201"/>
        <v>1</v>
      </c>
    </row>
    <row r="95" spans="1:27" ht="18.95" customHeight="1">
      <c r="A95" s="347"/>
      <c r="B95" s="354"/>
      <c r="C95" s="374" t="s">
        <v>212</v>
      </c>
      <c r="D95" s="376">
        <f>SUM(D96:D97)</f>
        <v>0</v>
      </c>
      <c r="E95" s="376">
        <f>SUM(E96:E97)</f>
        <v>0</v>
      </c>
      <c r="F95" s="376">
        <f>SUM(F96:F97)</f>
        <v>0</v>
      </c>
      <c r="G95" s="376">
        <f t="shared" ref="G95:O95" si="204">SUM(G96:G97)</f>
        <v>0</v>
      </c>
      <c r="H95" s="376">
        <f t="shared" si="204"/>
        <v>0</v>
      </c>
      <c r="I95" s="376">
        <f t="shared" si="204"/>
        <v>0</v>
      </c>
      <c r="J95" s="376">
        <f t="shared" si="204"/>
        <v>0</v>
      </c>
      <c r="K95" s="376">
        <f t="shared" si="204"/>
        <v>0</v>
      </c>
      <c r="L95" s="376">
        <f t="shared" si="204"/>
        <v>0</v>
      </c>
      <c r="M95" s="376">
        <f t="shared" si="204"/>
        <v>0</v>
      </c>
      <c r="N95" s="376">
        <f t="shared" si="204"/>
        <v>0</v>
      </c>
      <c r="O95" s="376">
        <f t="shared" si="204"/>
        <v>0</v>
      </c>
      <c r="P95" s="376">
        <f>SUM(P96:P97)</f>
        <v>0</v>
      </c>
      <c r="Q95" s="376">
        <f>SUM(Q96:Q97)</f>
        <v>0</v>
      </c>
      <c r="R95" s="376">
        <f>SUM(R96:R97)</f>
        <v>0</v>
      </c>
      <c r="S95" s="376">
        <f t="shared" ref="S95:W95" si="205">SUM(S96:S97)</f>
        <v>0</v>
      </c>
      <c r="T95" s="376">
        <f t="shared" si="205"/>
        <v>0</v>
      </c>
      <c r="U95" s="376">
        <f t="shared" si="205"/>
        <v>0</v>
      </c>
      <c r="V95" s="376">
        <f t="shared" si="205"/>
        <v>0</v>
      </c>
      <c r="W95" s="376">
        <f t="shared" si="205"/>
        <v>0</v>
      </c>
      <c r="X95" s="376">
        <f t="shared" ref="X95:AA95" si="206">SUM(X96:X97)</f>
        <v>0</v>
      </c>
      <c r="Y95" s="376">
        <f t="shared" si="206"/>
        <v>0</v>
      </c>
      <c r="Z95" s="376">
        <f t="shared" si="206"/>
        <v>0</v>
      </c>
      <c r="AA95" s="376">
        <f t="shared" si="206"/>
        <v>0</v>
      </c>
    </row>
    <row r="96" spans="1:27" ht="18.95" customHeight="1">
      <c r="A96" s="347"/>
      <c r="B96" s="354"/>
      <c r="C96" s="361" t="s">
        <v>213</v>
      </c>
      <c r="D96" s="365">
        <v>0</v>
      </c>
      <c r="E96" s="365">
        <v>0</v>
      </c>
      <c r="F96" s="365">
        <f t="shared" ref="F96:G97" si="207">E96</f>
        <v>0</v>
      </c>
      <c r="G96" s="365">
        <f t="shared" si="207"/>
        <v>0</v>
      </c>
      <c r="H96" s="365">
        <v>0</v>
      </c>
      <c r="I96" s="365">
        <v>0</v>
      </c>
      <c r="J96" s="365">
        <v>0</v>
      </c>
      <c r="K96" s="365">
        <f t="shared" ref="K96:K97" si="208">J96</f>
        <v>0</v>
      </c>
      <c r="L96" s="365">
        <f>K96</f>
        <v>0</v>
      </c>
      <c r="M96" s="365">
        <f>L96</f>
        <v>0</v>
      </c>
      <c r="N96" s="365">
        <f t="shared" ref="N96:O97" si="209">M96</f>
        <v>0</v>
      </c>
      <c r="O96" s="365">
        <f t="shared" si="209"/>
        <v>0</v>
      </c>
      <c r="P96" s="365">
        <f>O96</f>
        <v>0</v>
      </c>
      <c r="Q96" s="365">
        <f>P96</f>
        <v>0</v>
      </c>
      <c r="R96" s="365">
        <f t="shared" ref="R96:W97" si="210">Q96</f>
        <v>0</v>
      </c>
      <c r="S96" s="365">
        <f t="shared" si="210"/>
        <v>0</v>
      </c>
      <c r="T96" s="365">
        <f t="shared" si="210"/>
        <v>0</v>
      </c>
      <c r="U96" s="365">
        <f t="shared" si="210"/>
        <v>0</v>
      </c>
      <c r="V96" s="365">
        <f t="shared" si="210"/>
        <v>0</v>
      </c>
      <c r="W96" s="365">
        <f t="shared" si="210"/>
        <v>0</v>
      </c>
      <c r="X96" s="365">
        <f t="shared" ref="X96:X97" si="211">W96</f>
        <v>0</v>
      </c>
      <c r="Y96" s="365">
        <f t="shared" ref="Y96:Y97" si="212">X96</f>
        <v>0</v>
      </c>
      <c r="Z96" s="365">
        <f t="shared" ref="Z96:Z97" si="213">Y96</f>
        <v>0</v>
      </c>
      <c r="AA96" s="365">
        <f t="shared" ref="AA96:AA97" si="214">Z96</f>
        <v>0</v>
      </c>
    </row>
    <row r="97" spans="1:27" ht="18.95" customHeight="1">
      <c r="A97" s="347"/>
      <c r="B97" s="354"/>
      <c r="C97" s="361" t="s">
        <v>214</v>
      </c>
      <c r="D97" s="365">
        <v>0</v>
      </c>
      <c r="E97" s="365">
        <v>0</v>
      </c>
      <c r="F97" s="365">
        <f t="shared" si="207"/>
        <v>0</v>
      </c>
      <c r="G97" s="365">
        <f t="shared" si="207"/>
        <v>0</v>
      </c>
      <c r="H97" s="365">
        <v>0</v>
      </c>
      <c r="I97" s="365">
        <v>0</v>
      </c>
      <c r="J97" s="365">
        <v>0</v>
      </c>
      <c r="K97" s="365">
        <f t="shared" si="208"/>
        <v>0</v>
      </c>
      <c r="L97" s="365">
        <f>K97</f>
        <v>0</v>
      </c>
      <c r="M97" s="365">
        <f>L97</f>
        <v>0</v>
      </c>
      <c r="N97" s="365">
        <f t="shared" si="209"/>
        <v>0</v>
      </c>
      <c r="O97" s="365">
        <f t="shared" si="209"/>
        <v>0</v>
      </c>
      <c r="P97" s="365">
        <f>O97</f>
        <v>0</v>
      </c>
      <c r="Q97" s="365">
        <f>P97</f>
        <v>0</v>
      </c>
      <c r="R97" s="365">
        <f t="shared" si="210"/>
        <v>0</v>
      </c>
      <c r="S97" s="365">
        <f t="shared" si="210"/>
        <v>0</v>
      </c>
      <c r="T97" s="365">
        <f t="shared" si="210"/>
        <v>0</v>
      </c>
      <c r="U97" s="365">
        <f t="shared" si="210"/>
        <v>0</v>
      </c>
      <c r="V97" s="365">
        <f t="shared" si="210"/>
        <v>0</v>
      </c>
      <c r="W97" s="365">
        <f t="shared" si="210"/>
        <v>0</v>
      </c>
      <c r="X97" s="365">
        <f t="shared" si="211"/>
        <v>0</v>
      </c>
      <c r="Y97" s="365">
        <f t="shared" si="212"/>
        <v>0</v>
      </c>
      <c r="Z97" s="365">
        <f t="shared" si="213"/>
        <v>0</v>
      </c>
      <c r="AA97" s="365">
        <f t="shared" si="214"/>
        <v>0</v>
      </c>
    </row>
    <row r="98" spans="1:27" ht="18.95" customHeight="1">
      <c r="A98" s="347"/>
      <c r="B98" s="374" t="s">
        <v>218</v>
      </c>
      <c r="C98" s="378"/>
      <c r="D98" s="379">
        <f>D55+D59+D72+D90</f>
        <v>0</v>
      </c>
      <c r="E98" s="379">
        <f>E55+E59+E72+E90</f>
        <v>0</v>
      </c>
      <c r="F98" s="379">
        <f>F55+F59+F72+F90</f>
        <v>0</v>
      </c>
      <c r="G98" s="379">
        <f>SUM(G90,G89,G86,G83,G72,G59,G55)</f>
        <v>2</v>
      </c>
      <c r="H98" s="379">
        <f>SUM(H95,H90,H89,H86,H83,H72,H59,H55)</f>
        <v>2</v>
      </c>
      <c r="I98" s="379">
        <f t="shared" ref="I98:W98" si="215">SUM(I95,I90,I89,I86,I83,I72,I59,I55)</f>
        <v>2</v>
      </c>
      <c r="J98" s="379">
        <f t="shared" si="215"/>
        <v>7</v>
      </c>
      <c r="K98" s="379">
        <f t="shared" si="215"/>
        <v>7</v>
      </c>
      <c r="L98" s="379">
        <f t="shared" si="215"/>
        <v>7</v>
      </c>
      <c r="M98" s="379">
        <f t="shared" si="215"/>
        <v>6.5</v>
      </c>
      <c r="N98" s="379">
        <f t="shared" si="215"/>
        <v>7.5</v>
      </c>
      <c r="O98" s="379">
        <f t="shared" si="215"/>
        <v>7.5</v>
      </c>
      <c r="P98" s="379">
        <f t="shared" si="215"/>
        <v>10</v>
      </c>
      <c r="Q98" s="379">
        <f t="shared" si="215"/>
        <v>10</v>
      </c>
      <c r="R98" s="379">
        <f t="shared" si="215"/>
        <v>15</v>
      </c>
      <c r="S98" s="379">
        <f t="shared" si="215"/>
        <v>16</v>
      </c>
      <c r="T98" s="379">
        <f t="shared" si="215"/>
        <v>20.035</v>
      </c>
      <c r="U98" s="379">
        <f t="shared" si="215"/>
        <v>20.035</v>
      </c>
      <c r="V98" s="379">
        <f t="shared" si="215"/>
        <v>23.035</v>
      </c>
      <c r="W98" s="379">
        <f t="shared" si="215"/>
        <v>23.035</v>
      </c>
      <c r="X98" s="379">
        <f t="shared" ref="X98:AA98" si="216">SUM(X95,X90,X89,X86,X83,X72,X59,X55)</f>
        <v>23.035</v>
      </c>
      <c r="Y98" s="379">
        <f t="shared" si="216"/>
        <v>23.035</v>
      </c>
      <c r="Z98" s="379">
        <f t="shared" si="216"/>
        <v>23.035</v>
      </c>
      <c r="AA98" s="379">
        <f t="shared" si="216"/>
        <v>23.035</v>
      </c>
    </row>
    <row r="99" spans="1:27" ht="18.95" customHeight="1">
      <c r="A99" s="349"/>
      <c r="C99" s="347"/>
      <c r="D99" s="347"/>
      <c r="E99" s="347"/>
      <c r="F99" s="347"/>
      <c r="G99" s="347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</row>
    <row r="100" spans="1:27" ht="18.95" customHeight="1">
      <c r="A100" s="349"/>
      <c r="B100" s="380" t="s">
        <v>219</v>
      </c>
      <c r="C100" s="381"/>
      <c r="D100" s="347"/>
      <c r="E100" s="347"/>
      <c r="F100" s="347"/>
      <c r="G100" s="347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</row>
    <row r="101" spans="1:27" ht="18.95" customHeight="1">
      <c r="A101" s="349"/>
      <c r="B101" s="349"/>
      <c r="C101" s="382" t="s">
        <v>170</v>
      </c>
      <c r="D101" s="383">
        <f>SUM(D102:D104)</f>
        <v>0</v>
      </c>
      <c r="E101" s="383">
        <f t="shared" ref="E101:S101" si="217">SUM(E102:E104)</f>
        <v>0</v>
      </c>
      <c r="F101" s="383">
        <f t="shared" si="217"/>
        <v>0</v>
      </c>
      <c r="G101" s="383">
        <f t="shared" si="217"/>
        <v>0</v>
      </c>
      <c r="H101" s="383">
        <f t="shared" si="217"/>
        <v>0</v>
      </c>
      <c r="I101" s="383">
        <f t="shared" si="217"/>
        <v>0</v>
      </c>
      <c r="J101" s="383">
        <f t="shared" si="217"/>
        <v>25000</v>
      </c>
      <c r="K101" s="383">
        <f t="shared" si="217"/>
        <v>25000</v>
      </c>
      <c r="L101" s="383">
        <f t="shared" si="217"/>
        <v>75000</v>
      </c>
      <c r="M101" s="383">
        <f t="shared" si="217"/>
        <v>75000</v>
      </c>
      <c r="N101" s="383">
        <f t="shared" si="217"/>
        <v>75000</v>
      </c>
      <c r="O101" s="383">
        <f t="shared" si="217"/>
        <v>75000</v>
      </c>
      <c r="P101" s="383">
        <f t="shared" si="217"/>
        <v>77625</v>
      </c>
      <c r="Q101" s="383">
        <f t="shared" si="217"/>
        <v>77625</v>
      </c>
      <c r="R101" s="383">
        <f t="shared" si="217"/>
        <v>77625</v>
      </c>
      <c r="S101" s="383">
        <f t="shared" si="217"/>
        <v>77625</v>
      </c>
      <c r="T101" s="383">
        <f t="shared" ref="T101:W101" si="218">SUM(T102:T104)</f>
        <v>80341.875</v>
      </c>
      <c r="U101" s="383">
        <f t="shared" si="218"/>
        <v>79074</v>
      </c>
      <c r="V101" s="383">
        <f t="shared" si="218"/>
        <v>79074</v>
      </c>
      <c r="W101" s="383">
        <f t="shared" si="218"/>
        <v>79074</v>
      </c>
      <c r="X101" s="383">
        <f t="shared" ref="X101:AA101" si="219">SUM(X102:X104)</f>
        <v>79074</v>
      </c>
      <c r="Y101" s="383">
        <f t="shared" si="219"/>
        <v>79074</v>
      </c>
      <c r="Z101" s="383">
        <f t="shared" si="219"/>
        <v>79074</v>
      </c>
      <c r="AA101" s="383">
        <f t="shared" si="219"/>
        <v>79074</v>
      </c>
    </row>
    <row r="102" spans="1:27" ht="18.95" customHeight="1">
      <c r="A102" s="347"/>
      <c r="B102" s="347"/>
      <c r="C102" s="384" t="s">
        <v>171</v>
      </c>
      <c r="D102" s="385">
        <f t="shared" ref="D102:W102" si="220">D56*D8</f>
        <v>0</v>
      </c>
      <c r="E102" s="385">
        <f t="shared" si="220"/>
        <v>0</v>
      </c>
      <c r="F102" s="385">
        <f t="shared" si="220"/>
        <v>0</v>
      </c>
      <c r="G102" s="385">
        <f t="shared" si="220"/>
        <v>0</v>
      </c>
      <c r="H102" s="385">
        <f t="shared" si="220"/>
        <v>0</v>
      </c>
      <c r="I102" s="385">
        <f t="shared" si="220"/>
        <v>0</v>
      </c>
      <c r="J102" s="385">
        <f t="shared" si="220"/>
        <v>12500</v>
      </c>
      <c r="K102" s="386">
        <f t="shared" si="220"/>
        <v>12500</v>
      </c>
      <c r="L102" s="387">
        <f t="shared" si="220"/>
        <v>35000</v>
      </c>
      <c r="M102" s="387">
        <f t="shared" si="220"/>
        <v>35000</v>
      </c>
      <c r="N102" s="387">
        <f t="shared" si="220"/>
        <v>35000</v>
      </c>
      <c r="O102" s="387">
        <f t="shared" si="220"/>
        <v>35000</v>
      </c>
      <c r="P102" s="387">
        <f t="shared" si="220"/>
        <v>36225</v>
      </c>
      <c r="Q102" s="387">
        <f t="shared" si="220"/>
        <v>36225</v>
      </c>
      <c r="R102" s="387">
        <f t="shared" si="220"/>
        <v>36225</v>
      </c>
      <c r="S102" s="387">
        <f t="shared" si="220"/>
        <v>36225</v>
      </c>
      <c r="T102" s="387">
        <f t="shared" si="220"/>
        <v>37492.875</v>
      </c>
      <c r="U102" s="387">
        <f t="shared" si="220"/>
        <v>36225</v>
      </c>
      <c r="V102" s="387">
        <f t="shared" si="220"/>
        <v>36225</v>
      </c>
      <c r="W102" s="387">
        <f t="shared" si="220"/>
        <v>36225</v>
      </c>
      <c r="X102" s="387">
        <f t="shared" ref="X102:AA102" si="221">X56*X8</f>
        <v>36225</v>
      </c>
      <c r="Y102" s="387">
        <f t="shared" si="221"/>
        <v>36225</v>
      </c>
      <c r="Z102" s="387">
        <f t="shared" si="221"/>
        <v>36225</v>
      </c>
      <c r="AA102" s="387">
        <f t="shared" si="221"/>
        <v>36225</v>
      </c>
    </row>
    <row r="103" spans="1:27" ht="18.95" customHeight="1">
      <c r="A103" s="347"/>
      <c r="B103" s="347"/>
      <c r="C103" s="384" t="s">
        <v>172</v>
      </c>
      <c r="D103" s="385">
        <v>0</v>
      </c>
      <c r="E103" s="385">
        <v>0</v>
      </c>
      <c r="F103" s="385">
        <v>0</v>
      </c>
      <c r="G103" s="385">
        <f t="shared" ref="G103:W103" si="222">G57*G9</f>
        <v>0</v>
      </c>
      <c r="H103" s="385">
        <f t="shared" si="222"/>
        <v>0</v>
      </c>
      <c r="I103" s="385">
        <f t="shared" si="222"/>
        <v>0</v>
      </c>
      <c r="J103" s="385">
        <f t="shared" si="222"/>
        <v>12500</v>
      </c>
      <c r="K103" s="386">
        <f t="shared" si="222"/>
        <v>12500</v>
      </c>
      <c r="L103" s="387">
        <f t="shared" si="222"/>
        <v>40000</v>
      </c>
      <c r="M103" s="387">
        <f t="shared" si="222"/>
        <v>40000</v>
      </c>
      <c r="N103" s="387">
        <f t="shared" si="222"/>
        <v>40000</v>
      </c>
      <c r="O103" s="387">
        <f t="shared" si="222"/>
        <v>40000</v>
      </c>
      <c r="P103" s="387">
        <f t="shared" si="222"/>
        <v>41400</v>
      </c>
      <c r="Q103" s="387">
        <f t="shared" si="222"/>
        <v>41400</v>
      </c>
      <c r="R103" s="387">
        <f t="shared" si="222"/>
        <v>41400</v>
      </c>
      <c r="S103" s="387">
        <f t="shared" si="222"/>
        <v>41400</v>
      </c>
      <c r="T103" s="387">
        <f t="shared" si="222"/>
        <v>42849</v>
      </c>
      <c r="U103" s="387">
        <f t="shared" si="222"/>
        <v>42849</v>
      </c>
      <c r="V103" s="387">
        <f t="shared" si="222"/>
        <v>42849</v>
      </c>
      <c r="W103" s="387">
        <f t="shared" si="222"/>
        <v>42849</v>
      </c>
      <c r="X103" s="387">
        <f t="shared" ref="X103:AA103" si="223">X57*X9</f>
        <v>42849</v>
      </c>
      <c r="Y103" s="387">
        <f t="shared" si="223"/>
        <v>42849</v>
      </c>
      <c r="Z103" s="387">
        <f t="shared" si="223"/>
        <v>42849</v>
      </c>
      <c r="AA103" s="387">
        <f t="shared" si="223"/>
        <v>42849</v>
      </c>
    </row>
    <row r="104" spans="1:27" ht="18.95" customHeight="1">
      <c r="A104" s="347"/>
      <c r="B104" s="347"/>
      <c r="C104" s="384" t="s">
        <v>173</v>
      </c>
      <c r="D104" s="385">
        <f>D58*D10</f>
        <v>0</v>
      </c>
      <c r="E104" s="385">
        <f>E58*E10</f>
        <v>0</v>
      </c>
      <c r="F104" s="385">
        <f>F58*F10</f>
        <v>0</v>
      </c>
      <c r="G104" s="385">
        <f t="shared" ref="G104:W104" si="224">G58*G10</f>
        <v>0</v>
      </c>
      <c r="H104" s="385">
        <f t="shared" si="224"/>
        <v>0</v>
      </c>
      <c r="I104" s="385">
        <f t="shared" si="224"/>
        <v>0</v>
      </c>
      <c r="J104" s="385">
        <f t="shared" si="224"/>
        <v>0</v>
      </c>
      <c r="K104" s="386">
        <f t="shared" si="224"/>
        <v>0</v>
      </c>
      <c r="L104" s="387">
        <f t="shared" si="224"/>
        <v>0</v>
      </c>
      <c r="M104" s="387">
        <f t="shared" si="224"/>
        <v>0</v>
      </c>
      <c r="N104" s="387">
        <f t="shared" si="224"/>
        <v>0</v>
      </c>
      <c r="O104" s="387">
        <f t="shared" si="224"/>
        <v>0</v>
      </c>
      <c r="P104" s="387">
        <f t="shared" si="224"/>
        <v>0</v>
      </c>
      <c r="Q104" s="387">
        <f t="shared" si="224"/>
        <v>0</v>
      </c>
      <c r="R104" s="387">
        <f t="shared" si="224"/>
        <v>0</v>
      </c>
      <c r="S104" s="387">
        <f t="shared" si="224"/>
        <v>0</v>
      </c>
      <c r="T104" s="387">
        <f t="shared" si="224"/>
        <v>0</v>
      </c>
      <c r="U104" s="387">
        <f t="shared" si="224"/>
        <v>0</v>
      </c>
      <c r="V104" s="387">
        <f t="shared" si="224"/>
        <v>0</v>
      </c>
      <c r="W104" s="387">
        <f t="shared" si="224"/>
        <v>0</v>
      </c>
      <c r="X104" s="387">
        <f t="shared" ref="X104:AA104" si="225">X58*X10</f>
        <v>0</v>
      </c>
      <c r="Y104" s="387">
        <f t="shared" si="225"/>
        <v>0</v>
      </c>
      <c r="Z104" s="387">
        <f t="shared" si="225"/>
        <v>0</v>
      </c>
      <c r="AA104" s="387">
        <f t="shared" si="225"/>
        <v>0</v>
      </c>
    </row>
    <row r="105" spans="1:27" ht="18.95" customHeight="1">
      <c r="A105" s="347"/>
      <c r="B105" s="349"/>
      <c r="C105" s="382" t="s">
        <v>174</v>
      </c>
      <c r="D105" s="383">
        <f t="shared" ref="D105:S105" si="226">SUM(D106:D117)</f>
        <v>0</v>
      </c>
      <c r="E105" s="383">
        <f t="shared" si="226"/>
        <v>0</v>
      </c>
      <c r="F105" s="383">
        <f t="shared" si="226"/>
        <v>9500</v>
      </c>
      <c r="G105" s="383">
        <f t="shared" si="226"/>
        <v>28500</v>
      </c>
      <c r="H105" s="383">
        <f t="shared" si="226"/>
        <v>28500</v>
      </c>
      <c r="I105" s="383">
        <f t="shared" si="226"/>
        <v>28500</v>
      </c>
      <c r="J105" s="383">
        <f t="shared" si="226"/>
        <v>140000</v>
      </c>
      <c r="K105" s="383">
        <f t="shared" si="226"/>
        <v>140000</v>
      </c>
      <c r="L105" s="383">
        <f t="shared" si="226"/>
        <v>144900</v>
      </c>
      <c r="M105" s="383">
        <f t="shared" si="226"/>
        <v>129375</v>
      </c>
      <c r="N105" s="383">
        <f t="shared" si="226"/>
        <v>129375</v>
      </c>
      <c r="O105" s="383">
        <f t="shared" si="226"/>
        <v>129375</v>
      </c>
      <c r="P105" s="383">
        <f t="shared" si="226"/>
        <v>149971.5</v>
      </c>
      <c r="Q105" s="383">
        <f t="shared" si="226"/>
        <v>149971.5</v>
      </c>
      <c r="R105" s="383">
        <f t="shared" si="226"/>
        <v>295457.25</v>
      </c>
      <c r="S105" s="383">
        <f t="shared" si="226"/>
        <v>295457.25</v>
      </c>
      <c r="T105" s="383">
        <f t="shared" ref="T105:W105" si="227">SUM(T106:T117)</f>
        <v>383408.50499999995</v>
      </c>
      <c r="U105" s="383">
        <f t="shared" si="227"/>
        <v>383408.50499999995</v>
      </c>
      <c r="V105" s="383">
        <f t="shared" si="227"/>
        <v>383408.50499999995</v>
      </c>
      <c r="W105" s="383">
        <f t="shared" si="227"/>
        <v>383408.50499999995</v>
      </c>
      <c r="X105" s="383">
        <f t="shared" ref="X105:AA105" si="228">SUM(X106:X117)</f>
        <v>383408.50499999995</v>
      </c>
      <c r="Y105" s="383">
        <f t="shared" si="228"/>
        <v>383408.50499999995</v>
      </c>
      <c r="Z105" s="383">
        <f t="shared" si="228"/>
        <v>383408.50499999995</v>
      </c>
      <c r="AA105" s="383">
        <f t="shared" si="228"/>
        <v>383408.50499999995</v>
      </c>
    </row>
    <row r="106" spans="1:27" ht="18.95" customHeight="1">
      <c r="A106" s="347"/>
      <c r="B106" s="347"/>
      <c r="C106" s="384" t="s">
        <v>175</v>
      </c>
      <c r="D106" s="385">
        <f t="shared" ref="D106:W106" si="229">D12*D60</f>
        <v>0</v>
      </c>
      <c r="E106" s="385">
        <f t="shared" si="229"/>
        <v>0</v>
      </c>
      <c r="F106" s="385">
        <f t="shared" si="229"/>
        <v>0</v>
      </c>
      <c r="G106" s="385">
        <f t="shared" si="229"/>
        <v>0</v>
      </c>
      <c r="H106" s="385">
        <f t="shared" si="229"/>
        <v>0</v>
      </c>
      <c r="I106" s="385">
        <f t="shared" si="229"/>
        <v>0</v>
      </c>
      <c r="J106" s="385">
        <f t="shared" si="229"/>
        <v>0</v>
      </c>
      <c r="K106" s="386">
        <f t="shared" si="229"/>
        <v>0</v>
      </c>
      <c r="L106" s="385">
        <f t="shared" si="229"/>
        <v>0</v>
      </c>
      <c r="M106" s="385">
        <f t="shared" si="229"/>
        <v>0</v>
      </c>
      <c r="N106" s="385">
        <f t="shared" si="229"/>
        <v>0</v>
      </c>
      <c r="O106" s="385">
        <f t="shared" si="229"/>
        <v>0</v>
      </c>
      <c r="P106" s="385">
        <f t="shared" si="229"/>
        <v>0</v>
      </c>
      <c r="Q106" s="385">
        <f t="shared" si="229"/>
        <v>0</v>
      </c>
      <c r="R106" s="385">
        <f t="shared" si="229"/>
        <v>0</v>
      </c>
      <c r="S106" s="385">
        <f t="shared" si="229"/>
        <v>0</v>
      </c>
      <c r="T106" s="385">
        <f t="shared" si="229"/>
        <v>0</v>
      </c>
      <c r="U106" s="385">
        <f t="shared" si="229"/>
        <v>0</v>
      </c>
      <c r="V106" s="385">
        <f t="shared" si="229"/>
        <v>0</v>
      </c>
      <c r="W106" s="385">
        <f t="shared" si="229"/>
        <v>0</v>
      </c>
      <c r="X106" s="385">
        <f t="shared" ref="X106:AA106" si="230">X12*X60</f>
        <v>0</v>
      </c>
      <c r="Y106" s="385">
        <f t="shared" si="230"/>
        <v>0</v>
      </c>
      <c r="Z106" s="385">
        <f t="shared" si="230"/>
        <v>0</v>
      </c>
      <c r="AA106" s="385">
        <f t="shared" si="230"/>
        <v>0</v>
      </c>
    </row>
    <row r="107" spans="1:27" ht="18.95" customHeight="1">
      <c r="A107" s="347"/>
      <c r="B107" s="347"/>
      <c r="C107" s="384" t="s">
        <v>215</v>
      </c>
      <c r="D107" s="385">
        <v>0</v>
      </c>
      <c r="E107" s="385">
        <v>0</v>
      </c>
      <c r="F107" s="385">
        <v>9500</v>
      </c>
      <c r="G107" s="385">
        <f t="shared" ref="G107:I107" si="231">9500*3</f>
        <v>28500</v>
      </c>
      <c r="H107" s="385">
        <f t="shared" si="231"/>
        <v>28500</v>
      </c>
      <c r="I107" s="385">
        <f t="shared" si="231"/>
        <v>28500</v>
      </c>
      <c r="J107" s="385">
        <f t="shared" ref="J107:S107" si="232">J13*J61</f>
        <v>80000</v>
      </c>
      <c r="K107" s="386">
        <f t="shared" si="232"/>
        <v>80000</v>
      </c>
      <c r="L107" s="385">
        <f t="shared" si="232"/>
        <v>82800</v>
      </c>
      <c r="M107" s="385">
        <f t="shared" si="232"/>
        <v>82800</v>
      </c>
      <c r="N107" s="385">
        <f t="shared" si="232"/>
        <v>82800</v>
      </c>
      <c r="O107" s="385">
        <f t="shared" si="232"/>
        <v>82800</v>
      </c>
      <c r="P107" s="385">
        <f t="shared" si="232"/>
        <v>85698</v>
      </c>
      <c r="Q107" s="385">
        <f t="shared" si="232"/>
        <v>85698</v>
      </c>
      <c r="R107" s="385">
        <f t="shared" si="232"/>
        <v>128547</v>
      </c>
      <c r="S107" s="385">
        <f t="shared" si="232"/>
        <v>128547</v>
      </c>
      <c r="T107" s="385">
        <f t="shared" ref="T107:W107" si="233">T13*T61</f>
        <v>177394.86</v>
      </c>
      <c r="U107" s="385">
        <f t="shared" si="233"/>
        <v>177394.86</v>
      </c>
      <c r="V107" s="385">
        <f t="shared" si="233"/>
        <v>177394.86</v>
      </c>
      <c r="W107" s="385">
        <f t="shared" si="233"/>
        <v>177394.86</v>
      </c>
      <c r="X107" s="385">
        <f t="shared" ref="X107:AA107" si="234">X13*X61</f>
        <v>177394.86</v>
      </c>
      <c r="Y107" s="385">
        <f t="shared" si="234"/>
        <v>177394.86</v>
      </c>
      <c r="Z107" s="385">
        <f t="shared" si="234"/>
        <v>177394.86</v>
      </c>
      <c r="AA107" s="385">
        <f t="shared" si="234"/>
        <v>177394.86</v>
      </c>
    </row>
    <row r="108" spans="1:27" ht="18.95" customHeight="1">
      <c r="A108" s="347"/>
      <c r="B108" s="347"/>
      <c r="C108" s="384" t="s">
        <v>220</v>
      </c>
      <c r="D108" s="385">
        <f t="shared" ref="D108:S108" si="235">D15*D62</f>
        <v>0</v>
      </c>
      <c r="E108" s="385">
        <f t="shared" si="235"/>
        <v>0</v>
      </c>
      <c r="F108" s="385">
        <f t="shared" si="235"/>
        <v>0</v>
      </c>
      <c r="G108" s="385">
        <f t="shared" si="235"/>
        <v>0</v>
      </c>
      <c r="H108" s="385">
        <f t="shared" si="235"/>
        <v>0</v>
      </c>
      <c r="I108" s="385">
        <f t="shared" si="235"/>
        <v>0</v>
      </c>
      <c r="J108" s="385">
        <f t="shared" si="235"/>
        <v>60000</v>
      </c>
      <c r="K108" s="386">
        <f t="shared" si="235"/>
        <v>60000</v>
      </c>
      <c r="L108" s="385">
        <f t="shared" si="235"/>
        <v>62099.999999999993</v>
      </c>
      <c r="M108" s="385">
        <f t="shared" si="235"/>
        <v>46574.999999999993</v>
      </c>
      <c r="N108" s="385">
        <f t="shared" si="235"/>
        <v>46574.999999999993</v>
      </c>
      <c r="O108" s="385">
        <f t="shared" si="235"/>
        <v>46574.999999999993</v>
      </c>
      <c r="P108" s="385">
        <f t="shared" si="235"/>
        <v>64273.499999999985</v>
      </c>
      <c r="Q108" s="385">
        <f t="shared" si="235"/>
        <v>64273.499999999985</v>
      </c>
      <c r="R108" s="385">
        <f t="shared" si="235"/>
        <v>96410.249999999971</v>
      </c>
      <c r="S108" s="385">
        <f t="shared" si="235"/>
        <v>96410.249999999971</v>
      </c>
      <c r="T108" s="385">
        <f t="shared" ref="T108:V108" si="236">T15*T62</f>
        <v>133046.14499999996</v>
      </c>
      <c r="U108" s="385">
        <f t="shared" si="236"/>
        <v>133046.14499999996</v>
      </c>
      <c r="V108" s="385">
        <f t="shared" si="236"/>
        <v>133046.14499999996</v>
      </c>
      <c r="W108" s="385">
        <f>W15*W62</f>
        <v>133046.14499999996</v>
      </c>
      <c r="X108" s="385">
        <f t="shared" ref="X108:AA108" si="237">X15*X62</f>
        <v>133046.14499999996</v>
      </c>
      <c r="Y108" s="385">
        <f t="shared" si="237"/>
        <v>133046.14499999996</v>
      </c>
      <c r="Z108" s="385">
        <f t="shared" si="237"/>
        <v>133046.14499999996</v>
      </c>
      <c r="AA108" s="385">
        <f t="shared" si="237"/>
        <v>133046.14499999996</v>
      </c>
    </row>
    <row r="109" spans="1:27" ht="18.95" customHeight="1">
      <c r="A109" s="347"/>
      <c r="B109" s="347"/>
      <c r="C109" s="384" t="s">
        <v>180</v>
      </c>
      <c r="D109" s="385">
        <f t="shared" ref="D109:S109" si="238">D17*D63</f>
        <v>0</v>
      </c>
      <c r="E109" s="385">
        <f t="shared" si="238"/>
        <v>0</v>
      </c>
      <c r="F109" s="385">
        <f t="shared" si="238"/>
        <v>0</v>
      </c>
      <c r="G109" s="385">
        <f t="shared" si="238"/>
        <v>0</v>
      </c>
      <c r="H109" s="385">
        <f t="shared" si="238"/>
        <v>0</v>
      </c>
      <c r="I109" s="385">
        <f t="shared" si="238"/>
        <v>0</v>
      </c>
      <c r="J109" s="385">
        <f t="shared" si="238"/>
        <v>0</v>
      </c>
      <c r="K109" s="386">
        <f t="shared" si="238"/>
        <v>0</v>
      </c>
      <c r="L109" s="385">
        <f t="shared" si="238"/>
        <v>0</v>
      </c>
      <c r="M109" s="385">
        <f t="shared" si="238"/>
        <v>0</v>
      </c>
      <c r="N109" s="385">
        <f t="shared" si="238"/>
        <v>0</v>
      </c>
      <c r="O109" s="385">
        <f t="shared" si="238"/>
        <v>0</v>
      </c>
      <c r="P109" s="385">
        <f t="shared" si="238"/>
        <v>0</v>
      </c>
      <c r="Q109" s="385">
        <f t="shared" si="238"/>
        <v>0</v>
      </c>
      <c r="R109" s="385">
        <f t="shared" si="238"/>
        <v>37500</v>
      </c>
      <c r="S109" s="385">
        <f t="shared" si="238"/>
        <v>37500</v>
      </c>
      <c r="T109" s="385">
        <f t="shared" ref="T109:W109" si="239">T17*T63</f>
        <v>38812.5</v>
      </c>
      <c r="U109" s="385">
        <f t="shared" si="239"/>
        <v>38812.5</v>
      </c>
      <c r="V109" s="385">
        <f t="shared" si="239"/>
        <v>38812.5</v>
      </c>
      <c r="W109" s="385">
        <f t="shared" si="239"/>
        <v>38812.5</v>
      </c>
      <c r="X109" s="385">
        <f t="shared" ref="X109:AA109" si="240">X17*X63</f>
        <v>38812.5</v>
      </c>
      <c r="Y109" s="385">
        <f t="shared" si="240"/>
        <v>38812.5</v>
      </c>
      <c r="Z109" s="385">
        <f t="shared" si="240"/>
        <v>38812.5</v>
      </c>
      <c r="AA109" s="385">
        <f t="shared" si="240"/>
        <v>38812.5</v>
      </c>
    </row>
    <row r="110" spans="1:27" ht="18.95" customHeight="1">
      <c r="A110" s="347"/>
      <c r="B110" s="347"/>
      <c r="C110" s="384" t="s">
        <v>181</v>
      </c>
      <c r="D110" s="385">
        <f t="shared" ref="D110:S110" si="241">D18*D64</f>
        <v>0</v>
      </c>
      <c r="E110" s="385">
        <f t="shared" si="241"/>
        <v>0</v>
      </c>
      <c r="F110" s="385">
        <f t="shared" si="241"/>
        <v>0</v>
      </c>
      <c r="G110" s="385">
        <f t="shared" si="241"/>
        <v>0</v>
      </c>
      <c r="H110" s="385">
        <f t="shared" si="241"/>
        <v>0</v>
      </c>
      <c r="I110" s="385">
        <f t="shared" si="241"/>
        <v>0</v>
      </c>
      <c r="J110" s="385">
        <f t="shared" si="241"/>
        <v>0</v>
      </c>
      <c r="K110" s="386">
        <f t="shared" si="241"/>
        <v>0</v>
      </c>
      <c r="L110" s="385">
        <f t="shared" si="241"/>
        <v>0</v>
      </c>
      <c r="M110" s="385">
        <f t="shared" si="241"/>
        <v>0</v>
      </c>
      <c r="N110" s="385">
        <f t="shared" si="241"/>
        <v>0</v>
      </c>
      <c r="O110" s="385">
        <f t="shared" si="241"/>
        <v>0</v>
      </c>
      <c r="P110" s="385">
        <f t="shared" si="241"/>
        <v>0</v>
      </c>
      <c r="Q110" s="385">
        <f t="shared" si="241"/>
        <v>0</v>
      </c>
      <c r="R110" s="385">
        <f t="shared" si="241"/>
        <v>0</v>
      </c>
      <c r="S110" s="385">
        <f t="shared" si="241"/>
        <v>0</v>
      </c>
      <c r="T110" s="385">
        <f t="shared" ref="T110:W110" si="242">T18*T64</f>
        <v>0</v>
      </c>
      <c r="U110" s="385">
        <f t="shared" si="242"/>
        <v>0</v>
      </c>
      <c r="V110" s="385">
        <f t="shared" si="242"/>
        <v>0</v>
      </c>
      <c r="W110" s="385">
        <f t="shared" si="242"/>
        <v>0</v>
      </c>
      <c r="X110" s="385">
        <f t="shared" ref="X110:AA110" si="243">X18*X64</f>
        <v>0</v>
      </c>
      <c r="Y110" s="385">
        <f t="shared" si="243"/>
        <v>0</v>
      </c>
      <c r="Z110" s="385">
        <f t="shared" si="243"/>
        <v>0</v>
      </c>
      <c r="AA110" s="385">
        <f t="shared" si="243"/>
        <v>0</v>
      </c>
    </row>
    <row r="111" spans="1:27" ht="18.95" customHeight="1">
      <c r="A111" s="347"/>
      <c r="B111" s="347"/>
      <c r="C111" s="384" t="s">
        <v>182</v>
      </c>
      <c r="D111" s="385">
        <f t="shared" ref="D111:S111" si="244">D19*D65</f>
        <v>0</v>
      </c>
      <c r="E111" s="385">
        <f t="shared" si="244"/>
        <v>0</v>
      </c>
      <c r="F111" s="385">
        <f t="shared" si="244"/>
        <v>0</v>
      </c>
      <c r="G111" s="385">
        <f t="shared" si="244"/>
        <v>0</v>
      </c>
      <c r="H111" s="385">
        <f t="shared" si="244"/>
        <v>0</v>
      </c>
      <c r="I111" s="385">
        <f t="shared" si="244"/>
        <v>0</v>
      </c>
      <c r="J111" s="385">
        <f t="shared" si="244"/>
        <v>0</v>
      </c>
      <c r="K111" s="386">
        <f t="shared" si="244"/>
        <v>0</v>
      </c>
      <c r="L111" s="385">
        <f t="shared" si="244"/>
        <v>0</v>
      </c>
      <c r="M111" s="385">
        <f t="shared" si="244"/>
        <v>0</v>
      </c>
      <c r="N111" s="385">
        <f t="shared" si="244"/>
        <v>0</v>
      </c>
      <c r="O111" s="385">
        <f t="shared" si="244"/>
        <v>0</v>
      </c>
      <c r="P111" s="385">
        <f t="shared" si="244"/>
        <v>0</v>
      </c>
      <c r="Q111" s="385">
        <f t="shared" si="244"/>
        <v>0</v>
      </c>
      <c r="R111" s="385">
        <f t="shared" si="244"/>
        <v>0</v>
      </c>
      <c r="S111" s="385">
        <f t="shared" si="244"/>
        <v>0</v>
      </c>
      <c r="T111" s="385">
        <f t="shared" ref="T111:W111" si="245">T19*T65</f>
        <v>0</v>
      </c>
      <c r="U111" s="385">
        <f t="shared" si="245"/>
        <v>0</v>
      </c>
      <c r="V111" s="385">
        <f t="shared" si="245"/>
        <v>0</v>
      </c>
      <c r="W111" s="385">
        <f t="shared" si="245"/>
        <v>0</v>
      </c>
      <c r="X111" s="385">
        <f t="shared" ref="X111:AA111" si="246">X19*X65</f>
        <v>0</v>
      </c>
      <c r="Y111" s="385">
        <f t="shared" si="246"/>
        <v>0</v>
      </c>
      <c r="Z111" s="385">
        <f t="shared" si="246"/>
        <v>0</v>
      </c>
      <c r="AA111" s="385">
        <f t="shared" si="246"/>
        <v>0</v>
      </c>
    </row>
    <row r="112" spans="1:27" ht="18.95" customHeight="1">
      <c r="A112" s="347"/>
      <c r="B112" s="347"/>
      <c r="C112" s="384" t="s">
        <v>183</v>
      </c>
      <c r="D112" s="385">
        <f t="shared" ref="D112:S112" si="247">D20*D66</f>
        <v>0</v>
      </c>
      <c r="E112" s="385">
        <f t="shared" si="247"/>
        <v>0</v>
      </c>
      <c r="F112" s="385">
        <f t="shared" si="247"/>
        <v>0</v>
      </c>
      <c r="G112" s="385">
        <f t="shared" si="247"/>
        <v>0</v>
      </c>
      <c r="H112" s="385">
        <f t="shared" si="247"/>
        <v>0</v>
      </c>
      <c r="I112" s="385">
        <f t="shared" si="247"/>
        <v>0</v>
      </c>
      <c r="J112" s="385">
        <f t="shared" si="247"/>
        <v>0</v>
      </c>
      <c r="K112" s="386">
        <f t="shared" si="247"/>
        <v>0</v>
      </c>
      <c r="L112" s="385">
        <f t="shared" si="247"/>
        <v>0</v>
      </c>
      <c r="M112" s="385">
        <f t="shared" si="247"/>
        <v>0</v>
      </c>
      <c r="N112" s="385">
        <f t="shared" si="247"/>
        <v>0</v>
      </c>
      <c r="O112" s="385">
        <f t="shared" si="247"/>
        <v>0</v>
      </c>
      <c r="P112" s="385">
        <f t="shared" si="247"/>
        <v>0</v>
      </c>
      <c r="Q112" s="385">
        <f t="shared" si="247"/>
        <v>0</v>
      </c>
      <c r="R112" s="385">
        <f t="shared" si="247"/>
        <v>0</v>
      </c>
      <c r="S112" s="385">
        <f t="shared" si="247"/>
        <v>0</v>
      </c>
      <c r="T112" s="385">
        <f t="shared" ref="T112:W112" si="248">T20*T66</f>
        <v>0</v>
      </c>
      <c r="U112" s="385">
        <f t="shared" si="248"/>
        <v>0</v>
      </c>
      <c r="V112" s="385">
        <f t="shared" si="248"/>
        <v>0</v>
      </c>
      <c r="W112" s="385">
        <f t="shared" si="248"/>
        <v>0</v>
      </c>
      <c r="X112" s="385">
        <f t="shared" ref="X112:AA112" si="249">X20*X66</f>
        <v>0</v>
      </c>
      <c r="Y112" s="385">
        <f t="shared" si="249"/>
        <v>0</v>
      </c>
      <c r="Z112" s="385">
        <f t="shared" si="249"/>
        <v>0</v>
      </c>
      <c r="AA112" s="385">
        <f t="shared" si="249"/>
        <v>0</v>
      </c>
    </row>
    <row r="113" spans="1:27" ht="18.95" customHeight="1">
      <c r="A113" s="347"/>
      <c r="B113" s="347"/>
      <c r="C113" s="384" t="s">
        <v>184</v>
      </c>
      <c r="D113" s="385">
        <f t="shared" ref="D113:S113" si="250">D21*D67</f>
        <v>0</v>
      </c>
      <c r="E113" s="385">
        <f t="shared" si="250"/>
        <v>0</v>
      </c>
      <c r="F113" s="385">
        <f t="shared" si="250"/>
        <v>0</v>
      </c>
      <c r="G113" s="385">
        <f t="shared" si="250"/>
        <v>0</v>
      </c>
      <c r="H113" s="385">
        <f t="shared" si="250"/>
        <v>0</v>
      </c>
      <c r="I113" s="385">
        <f t="shared" si="250"/>
        <v>0</v>
      </c>
      <c r="J113" s="385">
        <f t="shared" si="250"/>
        <v>0</v>
      </c>
      <c r="K113" s="386">
        <f t="shared" si="250"/>
        <v>0</v>
      </c>
      <c r="L113" s="385">
        <f t="shared" si="250"/>
        <v>0</v>
      </c>
      <c r="M113" s="385">
        <f t="shared" si="250"/>
        <v>0</v>
      </c>
      <c r="N113" s="385">
        <f t="shared" si="250"/>
        <v>0</v>
      </c>
      <c r="O113" s="385">
        <f t="shared" si="250"/>
        <v>0</v>
      </c>
      <c r="P113" s="385">
        <f t="shared" si="250"/>
        <v>0</v>
      </c>
      <c r="Q113" s="385">
        <f t="shared" si="250"/>
        <v>0</v>
      </c>
      <c r="R113" s="385">
        <f t="shared" si="250"/>
        <v>0</v>
      </c>
      <c r="S113" s="385">
        <f t="shared" si="250"/>
        <v>0</v>
      </c>
      <c r="T113" s="385">
        <f t="shared" ref="T113:W113" si="251">T21*T67</f>
        <v>0</v>
      </c>
      <c r="U113" s="385">
        <f t="shared" si="251"/>
        <v>0</v>
      </c>
      <c r="V113" s="385">
        <f t="shared" si="251"/>
        <v>0</v>
      </c>
      <c r="W113" s="385">
        <f t="shared" si="251"/>
        <v>0</v>
      </c>
      <c r="X113" s="385">
        <f t="shared" ref="X113:AA113" si="252">X21*X67</f>
        <v>0</v>
      </c>
      <c r="Y113" s="385">
        <f t="shared" si="252"/>
        <v>0</v>
      </c>
      <c r="Z113" s="385">
        <f t="shared" si="252"/>
        <v>0</v>
      </c>
      <c r="AA113" s="385">
        <f t="shared" si="252"/>
        <v>0</v>
      </c>
    </row>
    <row r="114" spans="1:27" ht="18.95" customHeight="1">
      <c r="A114" s="347"/>
      <c r="B114" s="347"/>
      <c r="C114" s="384" t="s">
        <v>185</v>
      </c>
      <c r="D114" s="385">
        <f t="shared" ref="D114:S114" si="253">D22*D68</f>
        <v>0</v>
      </c>
      <c r="E114" s="385">
        <f t="shared" si="253"/>
        <v>0</v>
      </c>
      <c r="F114" s="385">
        <f t="shared" si="253"/>
        <v>0</v>
      </c>
      <c r="G114" s="385">
        <f t="shared" si="253"/>
        <v>0</v>
      </c>
      <c r="H114" s="385">
        <f t="shared" si="253"/>
        <v>0</v>
      </c>
      <c r="I114" s="385">
        <f t="shared" si="253"/>
        <v>0</v>
      </c>
      <c r="J114" s="385">
        <f t="shared" si="253"/>
        <v>0</v>
      </c>
      <c r="K114" s="386">
        <f t="shared" si="253"/>
        <v>0</v>
      </c>
      <c r="L114" s="385">
        <f t="shared" si="253"/>
        <v>0</v>
      </c>
      <c r="M114" s="385">
        <f t="shared" si="253"/>
        <v>0</v>
      </c>
      <c r="N114" s="385">
        <f t="shared" si="253"/>
        <v>0</v>
      </c>
      <c r="O114" s="385">
        <f t="shared" si="253"/>
        <v>0</v>
      </c>
      <c r="P114" s="385">
        <f t="shared" si="253"/>
        <v>0</v>
      </c>
      <c r="Q114" s="385">
        <f t="shared" si="253"/>
        <v>0</v>
      </c>
      <c r="R114" s="385">
        <f t="shared" si="253"/>
        <v>0</v>
      </c>
      <c r="S114" s="385">
        <f t="shared" si="253"/>
        <v>0</v>
      </c>
      <c r="T114" s="385">
        <f t="shared" ref="T114:W114" si="254">T22*T68</f>
        <v>0</v>
      </c>
      <c r="U114" s="385">
        <f t="shared" si="254"/>
        <v>0</v>
      </c>
      <c r="V114" s="385">
        <f t="shared" si="254"/>
        <v>0</v>
      </c>
      <c r="W114" s="385">
        <f t="shared" si="254"/>
        <v>0</v>
      </c>
      <c r="X114" s="385">
        <f t="shared" ref="X114:AA114" si="255">X22*X68</f>
        <v>0</v>
      </c>
      <c r="Y114" s="385">
        <f t="shared" si="255"/>
        <v>0</v>
      </c>
      <c r="Z114" s="385">
        <f t="shared" si="255"/>
        <v>0</v>
      </c>
      <c r="AA114" s="385">
        <f t="shared" si="255"/>
        <v>0</v>
      </c>
    </row>
    <row r="115" spans="1:27" ht="18.95" customHeight="1">
      <c r="A115" s="347"/>
      <c r="B115" s="347"/>
      <c r="C115" s="384" t="s">
        <v>186</v>
      </c>
      <c r="D115" s="385">
        <f t="shared" ref="D115:S115" si="256">D23*D69</f>
        <v>0</v>
      </c>
      <c r="E115" s="385">
        <f t="shared" si="256"/>
        <v>0</v>
      </c>
      <c r="F115" s="385">
        <f t="shared" si="256"/>
        <v>0</v>
      </c>
      <c r="G115" s="385">
        <f t="shared" si="256"/>
        <v>0</v>
      </c>
      <c r="H115" s="385">
        <f t="shared" si="256"/>
        <v>0</v>
      </c>
      <c r="I115" s="385">
        <f t="shared" si="256"/>
        <v>0</v>
      </c>
      <c r="J115" s="385">
        <f t="shared" si="256"/>
        <v>0</v>
      </c>
      <c r="K115" s="386">
        <f t="shared" si="256"/>
        <v>0</v>
      </c>
      <c r="L115" s="385">
        <f t="shared" si="256"/>
        <v>0</v>
      </c>
      <c r="M115" s="385">
        <f t="shared" si="256"/>
        <v>0</v>
      </c>
      <c r="N115" s="385">
        <f t="shared" si="256"/>
        <v>0</v>
      </c>
      <c r="O115" s="385">
        <f t="shared" si="256"/>
        <v>0</v>
      </c>
      <c r="P115" s="385">
        <f t="shared" si="256"/>
        <v>0</v>
      </c>
      <c r="Q115" s="385">
        <f t="shared" si="256"/>
        <v>0</v>
      </c>
      <c r="R115" s="385">
        <f t="shared" si="256"/>
        <v>33000</v>
      </c>
      <c r="S115" s="385">
        <f t="shared" si="256"/>
        <v>33000</v>
      </c>
      <c r="T115" s="385">
        <f t="shared" ref="T115:W115" si="257">T23*T69</f>
        <v>34155</v>
      </c>
      <c r="U115" s="385">
        <f t="shared" si="257"/>
        <v>34155</v>
      </c>
      <c r="V115" s="385">
        <f t="shared" si="257"/>
        <v>34155</v>
      </c>
      <c r="W115" s="385">
        <f t="shared" si="257"/>
        <v>34155</v>
      </c>
      <c r="X115" s="385">
        <f t="shared" ref="X115:AA115" si="258">X23*X69</f>
        <v>34155</v>
      </c>
      <c r="Y115" s="385">
        <f t="shared" si="258"/>
        <v>34155</v>
      </c>
      <c r="Z115" s="385">
        <f t="shared" si="258"/>
        <v>34155</v>
      </c>
      <c r="AA115" s="385">
        <f t="shared" si="258"/>
        <v>34155</v>
      </c>
    </row>
    <row r="116" spans="1:27" ht="18.95" customHeight="1">
      <c r="A116" s="347"/>
      <c r="B116" s="347"/>
      <c r="C116" s="384" t="s">
        <v>187</v>
      </c>
      <c r="D116" s="385">
        <f t="shared" ref="D116:S116" si="259">D24*D70</f>
        <v>0</v>
      </c>
      <c r="E116" s="385">
        <f t="shared" si="259"/>
        <v>0</v>
      </c>
      <c r="F116" s="385">
        <f t="shared" si="259"/>
        <v>0</v>
      </c>
      <c r="G116" s="385">
        <f t="shared" si="259"/>
        <v>0</v>
      </c>
      <c r="H116" s="385">
        <f t="shared" si="259"/>
        <v>0</v>
      </c>
      <c r="I116" s="385">
        <f t="shared" si="259"/>
        <v>0</v>
      </c>
      <c r="J116" s="385">
        <f t="shared" si="259"/>
        <v>0</v>
      </c>
      <c r="K116" s="386">
        <f t="shared" si="259"/>
        <v>0</v>
      </c>
      <c r="L116" s="385">
        <f t="shared" si="259"/>
        <v>0</v>
      </c>
      <c r="M116" s="385">
        <f t="shared" si="259"/>
        <v>0</v>
      </c>
      <c r="N116" s="385">
        <f t="shared" si="259"/>
        <v>0</v>
      </c>
      <c r="O116" s="385">
        <f t="shared" si="259"/>
        <v>0</v>
      </c>
      <c r="P116" s="385">
        <f t="shared" si="259"/>
        <v>0</v>
      </c>
      <c r="Q116" s="385">
        <f t="shared" si="259"/>
        <v>0</v>
      </c>
      <c r="R116" s="385">
        <f t="shared" si="259"/>
        <v>0</v>
      </c>
      <c r="S116" s="385">
        <f t="shared" si="259"/>
        <v>0</v>
      </c>
      <c r="T116" s="385">
        <f t="shared" ref="T116:W116" si="260">T24*T70</f>
        <v>0</v>
      </c>
      <c r="U116" s="385">
        <f t="shared" si="260"/>
        <v>0</v>
      </c>
      <c r="V116" s="385">
        <f t="shared" si="260"/>
        <v>0</v>
      </c>
      <c r="W116" s="385">
        <f t="shared" si="260"/>
        <v>0</v>
      </c>
      <c r="X116" s="385">
        <f t="shared" ref="X116:AA116" si="261">X24*X70</f>
        <v>0</v>
      </c>
      <c r="Y116" s="385">
        <f t="shared" si="261"/>
        <v>0</v>
      </c>
      <c r="Z116" s="385">
        <f t="shared" si="261"/>
        <v>0</v>
      </c>
      <c r="AA116" s="385">
        <f t="shared" si="261"/>
        <v>0</v>
      </c>
    </row>
    <row r="117" spans="1:27" ht="18.95" customHeight="1">
      <c r="A117" s="347"/>
      <c r="B117" s="347"/>
      <c r="C117" s="384" t="s">
        <v>188</v>
      </c>
      <c r="D117" s="385">
        <f t="shared" ref="D117:S117" si="262">D25*D71</f>
        <v>0</v>
      </c>
      <c r="E117" s="385">
        <f t="shared" si="262"/>
        <v>0</v>
      </c>
      <c r="F117" s="385">
        <f t="shared" si="262"/>
        <v>0</v>
      </c>
      <c r="G117" s="385">
        <f t="shared" si="262"/>
        <v>0</v>
      </c>
      <c r="H117" s="385">
        <f t="shared" si="262"/>
        <v>0</v>
      </c>
      <c r="I117" s="385">
        <f t="shared" si="262"/>
        <v>0</v>
      </c>
      <c r="J117" s="385">
        <f t="shared" si="262"/>
        <v>0</v>
      </c>
      <c r="K117" s="386">
        <f t="shared" si="262"/>
        <v>0</v>
      </c>
      <c r="L117" s="385">
        <f t="shared" si="262"/>
        <v>0</v>
      </c>
      <c r="M117" s="385">
        <f t="shared" si="262"/>
        <v>0</v>
      </c>
      <c r="N117" s="385">
        <f t="shared" si="262"/>
        <v>0</v>
      </c>
      <c r="O117" s="385">
        <f t="shared" si="262"/>
        <v>0</v>
      </c>
      <c r="P117" s="385">
        <f t="shared" si="262"/>
        <v>0</v>
      </c>
      <c r="Q117" s="385">
        <f t="shared" si="262"/>
        <v>0</v>
      </c>
      <c r="R117" s="385">
        <f t="shared" si="262"/>
        <v>0</v>
      </c>
      <c r="S117" s="385">
        <f t="shared" si="262"/>
        <v>0</v>
      </c>
      <c r="T117" s="385">
        <f t="shared" ref="T117:W117" si="263">T25*T71</f>
        <v>0</v>
      </c>
      <c r="U117" s="385">
        <f t="shared" si="263"/>
        <v>0</v>
      </c>
      <c r="V117" s="385">
        <f t="shared" si="263"/>
        <v>0</v>
      </c>
      <c r="W117" s="385">
        <f t="shared" si="263"/>
        <v>0</v>
      </c>
      <c r="X117" s="385">
        <f t="shared" ref="X117:AA117" si="264">X25*X71</f>
        <v>0</v>
      </c>
      <c r="Y117" s="385">
        <f t="shared" si="264"/>
        <v>0</v>
      </c>
      <c r="Z117" s="385">
        <f t="shared" si="264"/>
        <v>0</v>
      </c>
      <c r="AA117" s="385">
        <f t="shared" si="264"/>
        <v>0</v>
      </c>
    </row>
    <row r="118" spans="1:27" ht="18.95" customHeight="1">
      <c r="A118" s="347"/>
      <c r="B118" s="349"/>
      <c r="C118" s="382" t="s">
        <v>32</v>
      </c>
      <c r="D118" s="383">
        <f>SUM(D119:D127)</f>
        <v>0</v>
      </c>
      <c r="E118" s="383">
        <f>SUM(E119:E127)</f>
        <v>0</v>
      </c>
      <c r="F118" s="383">
        <f>SUM(F119:F127)</f>
        <v>0</v>
      </c>
      <c r="G118" s="383">
        <f>SUM(G119:G128)</f>
        <v>0</v>
      </c>
      <c r="H118" s="383">
        <f t="shared" ref="H118:S118" si="265">SUM(H119:H128)</f>
        <v>0</v>
      </c>
      <c r="I118" s="383">
        <f t="shared" si="265"/>
        <v>0</v>
      </c>
      <c r="J118" s="383">
        <f t="shared" si="265"/>
        <v>25000</v>
      </c>
      <c r="K118" s="383">
        <f t="shared" si="265"/>
        <v>25000</v>
      </c>
      <c r="L118" s="383">
        <f t="shared" si="265"/>
        <v>25000</v>
      </c>
      <c r="M118" s="383">
        <f t="shared" si="265"/>
        <v>25000</v>
      </c>
      <c r="N118" s="383">
        <f t="shared" si="265"/>
        <v>25000</v>
      </c>
      <c r="O118" s="383">
        <f t="shared" si="265"/>
        <v>25000</v>
      </c>
      <c r="P118" s="383">
        <f t="shared" si="265"/>
        <v>33875</v>
      </c>
      <c r="Q118" s="383">
        <f t="shared" si="265"/>
        <v>33875</v>
      </c>
      <c r="R118" s="383">
        <f t="shared" si="265"/>
        <v>63875</v>
      </c>
      <c r="S118" s="383">
        <f t="shared" si="265"/>
        <v>108875</v>
      </c>
      <c r="T118" s="383">
        <f t="shared" ref="T118:W118" si="266">SUM(T119:T128)</f>
        <v>113772.375</v>
      </c>
      <c r="U118" s="383">
        <f t="shared" si="266"/>
        <v>113772.375</v>
      </c>
      <c r="V118" s="383">
        <f t="shared" si="266"/>
        <v>163772.375</v>
      </c>
      <c r="W118" s="383">
        <f t="shared" si="266"/>
        <v>163772.375</v>
      </c>
      <c r="X118" s="383">
        <f t="shared" ref="X118:AA118" si="267">SUM(X119:X128)</f>
        <v>163772.375</v>
      </c>
      <c r="Y118" s="383">
        <f t="shared" si="267"/>
        <v>163772.375</v>
      </c>
      <c r="Z118" s="383">
        <f t="shared" si="267"/>
        <v>163772.375</v>
      </c>
      <c r="AA118" s="383">
        <f t="shared" si="267"/>
        <v>163772.375</v>
      </c>
    </row>
    <row r="119" spans="1:27" ht="18.95" customHeight="1">
      <c r="A119" s="347"/>
      <c r="B119" s="349"/>
      <c r="C119" s="384" t="s">
        <v>189</v>
      </c>
      <c r="D119" s="388">
        <f t="shared" ref="D119:S119" si="268">D73*D27</f>
        <v>0</v>
      </c>
      <c r="E119" s="388">
        <f t="shared" si="268"/>
        <v>0</v>
      </c>
      <c r="F119" s="388">
        <f t="shared" si="268"/>
        <v>0</v>
      </c>
      <c r="G119" s="388">
        <f t="shared" si="268"/>
        <v>0</v>
      </c>
      <c r="H119" s="388">
        <f t="shared" si="268"/>
        <v>0</v>
      </c>
      <c r="I119" s="388">
        <f t="shared" si="268"/>
        <v>0</v>
      </c>
      <c r="J119" s="388">
        <f t="shared" si="268"/>
        <v>0</v>
      </c>
      <c r="K119" s="388">
        <f t="shared" si="268"/>
        <v>0</v>
      </c>
      <c r="L119" s="388">
        <f t="shared" si="268"/>
        <v>0</v>
      </c>
      <c r="M119" s="388">
        <f t="shared" si="268"/>
        <v>0</v>
      </c>
      <c r="N119" s="388">
        <f t="shared" si="268"/>
        <v>0</v>
      </c>
      <c r="O119" s="388">
        <f t="shared" si="268"/>
        <v>0</v>
      </c>
      <c r="P119" s="388">
        <f t="shared" si="268"/>
        <v>0</v>
      </c>
      <c r="Q119" s="388">
        <f t="shared" si="268"/>
        <v>0</v>
      </c>
      <c r="R119" s="388">
        <f t="shared" si="268"/>
        <v>0</v>
      </c>
      <c r="S119" s="388">
        <f t="shared" si="268"/>
        <v>45000</v>
      </c>
      <c r="T119" s="388">
        <f t="shared" ref="T119:W119" si="269">T73*T27</f>
        <v>46575</v>
      </c>
      <c r="U119" s="388">
        <f t="shared" si="269"/>
        <v>46575</v>
      </c>
      <c r="V119" s="388">
        <f t="shared" si="269"/>
        <v>46575</v>
      </c>
      <c r="W119" s="388">
        <f t="shared" si="269"/>
        <v>46575</v>
      </c>
      <c r="X119" s="388">
        <f t="shared" ref="X119:AA119" si="270">X73*X27</f>
        <v>46575</v>
      </c>
      <c r="Y119" s="388">
        <f t="shared" si="270"/>
        <v>46575</v>
      </c>
      <c r="Z119" s="388">
        <f t="shared" si="270"/>
        <v>46575</v>
      </c>
      <c r="AA119" s="388">
        <f t="shared" si="270"/>
        <v>46575</v>
      </c>
    </row>
    <row r="120" spans="1:27" ht="18.95" customHeight="1">
      <c r="A120" s="347"/>
      <c r="B120" s="349"/>
      <c r="C120" s="384" t="s">
        <v>221</v>
      </c>
      <c r="D120" s="388">
        <f t="shared" ref="D120:S120" si="271">D74*D28</f>
        <v>0</v>
      </c>
      <c r="E120" s="388">
        <f t="shared" si="271"/>
        <v>0</v>
      </c>
      <c r="F120" s="388">
        <f t="shared" si="271"/>
        <v>0</v>
      </c>
      <c r="G120" s="388">
        <f t="shared" si="271"/>
        <v>0</v>
      </c>
      <c r="H120" s="388">
        <f t="shared" si="271"/>
        <v>0</v>
      </c>
      <c r="I120" s="388">
        <f t="shared" si="271"/>
        <v>0</v>
      </c>
      <c r="J120" s="388">
        <f t="shared" si="271"/>
        <v>25000</v>
      </c>
      <c r="K120" s="388">
        <f t="shared" si="271"/>
        <v>25000</v>
      </c>
      <c r="L120" s="388">
        <f t="shared" si="271"/>
        <v>25000</v>
      </c>
      <c r="M120" s="388">
        <f t="shared" si="271"/>
        <v>25000</v>
      </c>
      <c r="N120" s="388">
        <f t="shared" si="271"/>
        <v>25000</v>
      </c>
      <c r="O120" s="388">
        <f t="shared" si="271"/>
        <v>25000</v>
      </c>
      <c r="P120" s="388">
        <f t="shared" si="271"/>
        <v>25874.999999999996</v>
      </c>
      <c r="Q120" s="388">
        <f t="shared" si="271"/>
        <v>25874.999999999996</v>
      </c>
      <c r="R120" s="388">
        <f t="shared" si="271"/>
        <v>25874.999999999996</v>
      </c>
      <c r="S120" s="388">
        <f t="shared" si="271"/>
        <v>25874.999999999996</v>
      </c>
      <c r="T120" s="388">
        <f t="shared" ref="T120:W120" si="272">T74*T28</f>
        <v>26780.624999999993</v>
      </c>
      <c r="U120" s="388">
        <f t="shared" si="272"/>
        <v>26780.624999999993</v>
      </c>
      <c r="V120" s="388">
        <f t="shared" si="272"/>
        <v>26780.624999999993</v>
      </c>
      <c r="W120" s="388">
        <f t="shared" si="272"/>
        <v>26780.624999999993</v>
      </c>
      <c r="X120" s="388">
        <f t="shared" ref="X120:AA120" si="273">X74*X28</f>
        <v>26780.624999999993</v>
      </c>
      <c r="Y120" s="388">
        <f t="shared" si="273"/>
        <v>26780.624999999993</v>
      </c>
      <c r="Z120" s="388">
        <f t="shared" si="273"/>
        <v>26780.624999999993</v>
      </c>
      <c r="AA120" s="388">
        <f t="shared" si="273"/>
        <v>26780.624999999993</v>
      </c>
    </row>
    <row r="121" spans="1:27" ht="18.95" customHeight="1">
      <c r="A121" s="347"/>
      <c r="B121" s="349"/>
      <c r="C121" s="384" t="s">
        <v>191</v>
      </c>
      <c r="D121" s="388">
        <f t="shared" ref="D121:S121" si="274">D75*D29</f>
        <v>0</v>
      </c>
      <c r="E121" s="388">
        <f t="shared" si="274"/>
        <v>0</v>
      </c>
      <c r="F121" s="388">
        <f t="shared" si="274"/>
        <v>0</v>
      </c>
      <c r="G121" s="388">
        <f t="shared" si="274"/>
        <v>0</v>
      </c>
      <c r="H121" s="388">
        <f t="shared" si="274"/>
        <v>0</v>
      </c>
      <c r="I121" s="388">
        <f t="shared" si="274"/>
        <v>0</v>
      </c>
      <c r="J121" s="388">
        <f t="shared" si="274"/>
        <v>0</v>
      </c>
      <c r="K121" s="388">
        <f t="shared" si="274"/>
        <v>0</v>
      </c>
      <c r="L121" s="388">
        <f t="shared" si="274"/>
        <v>0</v>
      </c>
      <c r="M121" s="388">
        <f t="shared" si="274"/>
        <v>0</v>
      </c>
      <c r="N121" s="388">
        <f t="shared" si="274"/>
        <v>0</v>
      </c>
      <c r="O121" s="388">
        <f t="shared" si="274"/>
        <v>0</v>
      </c>
      <c r="P121" s="388">
        <f t="shared" si="274"/>
        <v>0</v>
      </c>
      <c r="Q121" s="388">
        <f t="shared" si="274"/>
        <v>0</v>
      </c>
      <c r="R121" s="388">
        <f t="shared" si="274"/>
        <v>0</v>
      </c>
      <c r="S121" s="388">
        <f t="shared" si="274"/>
        <v>0</v>
      </c>
      <c r="T121" s="388">
        <f t="shared" ref="T121:W121" si="275">T75*T29</f>
        <v>0</v>
      </c>
      <c r="U121" s="388">
        <f t="shared" si="275"/>
        <v>0</v>
      </c>
      <c r="V121" s="388">
        <f t="shared" si="275"/>
        <v>0</v>
      </c>
      <c r="W121" s="388">
        <f t="shared" si="275"/>
        <v>0</v>
      </c>
      <c r="X121" s="388">
        <f t="shared" ref="X121:AA121" si="276">X75*X29</f>
        <v>0</v>
      </c>
      <c r="Y121" s="388">
        <f t="shared" si="276"/>
        <v>0</v>
      </c>
      <c r="Z121" s="388">
        <f t="shared" si="276"/>
        <v>0</v>
      </c>
      <c r="AA121" s="388">
        <f t="shared" si="276"/>
        <v>0</v>
      </c>
    </row>
    <row r="122" spans="1:27" ht="18.95" customHeight="1">
      <c r="A122" s="347"/>
      <c r="B122" s="349"/>
      <c r="C122" s="384" t="s">
        <v>192</v>
      </c>
      <c r="D122" s="388">
        <f t="shared" ref="D122:S122" si="277">D76*D30</f>
        <v>0</v>
      </c>
      <c r="E122" s="388">
        <f t="shared" si="277"/>
        <v>0</v>
      </c>
      <c r="F122" s="388">
        <f t="shared" si="277"/>
        <v>0</v>
      </c>
      <c r="G122" s="388">
        <f t="shared" si="277"/>
        <v>0</v>
      </c>
      <c r="H122" s="388">
        <f t="shared" si="277"/>
        <v>0</v>
      </c>
      <c r="I122" s="388">
        <f t="shared" si="277"/>
        <v>0</v>
      </c>
      <c r="J122" s="388">
        <f t="shared" si="277"/>
        <v>0</v>
      </c>
      <c r="K122" s="388">
        <f t="shared" si="277"/>
        <v>0</v>
      </c>
      <c r="L122" s="388">
        <f t="shared" si="277"/>
        <v>0</v>
      </c>
      <c r="M122" s="388">
        <f t="shared" si="277"/>
        <v>0</v>
      </c>
      <c r="N122" s="388">
        <f t="shared" si="277"/>
        <v>0</v>
      </c>
      <c r="O122" s="388">
        <f t="shared" si="277"/>
        <v>0</v>
      </c>
      <c r="P122" s="388">
        <f t="shared" si="277"/>
        <v>0</v>
      </c>
      <c r="Q122" s="388">
        <f t="shared" si="277"/>
        <v>0</v>
      </c>
      <c r="R122" s="388">
        <f t="shared" si="277"/>
        <v>0</v>
      </c>
      <c r="S122" s="388">
        <f t="shared" si="277"/>
        <v>0</v>
      </c>
      <c r="T122" s="388">
        <f t="shared" ref="T122:W122" si="278">T76*T30</f>
        <v>0</v>
      </c>
      <c r="U122" s="388">
        <f t="shared" si="278"/>
        <v>0</v>
      </c>
      <c r="V122" s="388">
        <f t="shared" si="278"/>
        <v>0</v>
      </c>
      <c r="W122" s="388">
        <f t="shared" si="278"/>
        <v>0</v>
      </c>
      <c r="X122" s="388">
        <f t="shared" ref="X122:AA122" si="279">X76*X30</f>
        <v>0</v>
      </c>
      <c r="Y122" s="388">
        <f t="shared" si="279"/>
        <v>0</v>
      </c>
      <c r="Z122" s="388">
        <f t="shared" si="279"/>
        <v>0</v>
      </c>
      <c r="AA122" s="388">
        <f t="shared" si="279"/>
        <v>0</v>
      </c>
    </row>
    <row r="123" spans="1:27" ht="18.95" customHeight="1">
      <c r="A123" s="347"/>
      <c r="B123" s="349"/>
      <c r="C123" s="384" t="s">
        <v>193</v>
      </c>
      <c r="D123" s="388">
        <f>D78*D31</f>
        <v>0</v>
      </c>
      <c r="E123" s="388">
        <f>E78*E31</f>
        <v>0</v>
      </c>
      <c r="F123" s="388">
        <f>F78*F31</f>
        <v>0</v>
      </c>
      <c r="G123" s="388">
        <f>G78*G31</f>
        <v>0</v>
      </c>
      <c r="H123" s="388">
        <f t="shared" ref="H123:S123" si="280">H77*H31</f>
        <v>0</v>
      </c>
      <c r="I123" s="388">
        <f t="shared" si="280"/>
        <v>0</v>
      </c>
      <c r="J123" s="388">
        <f t="shared" si="280"/>
        <v>0</v>
      </c>
      <c r="K123" s="388">
        <f t="shared" si="280"/>
        <v>0</v>
      </c>
      <c r="L123" s="388">
        <f t="shared" si="280"/>
        <v>0</v>
      </c>
      <c r="M123" s="388">
        <f t="shared" si="280"/>
        <v>0</v>
      </c>
      <c r="N123" s="388">
        <f t="shared" si="280"/>
        <v>0</v>
      </c>
      <c r="O123" s="388">
        <f t="shared" si="280"/>
        <v>0</v>
      </c>
      <c r="P123" s="388">
        <f t="shared" si="280"/>
        <v>0</v>
      </c>
      <c r="Q123" s="388">
        <f t="shared" si="280"/>
        <v>0</v>
      </c>
      <c r="R123" s="388">
        <f t="shared" si="280"/>
        <v>0</v>
      </c>
      <c r="S123" s="388">
        <f t="shared" si="280"/>
        <v>0</v>
      </c>
      <c r="T123" s="388">
        <f t="shared" ref="T123:W123" si="281">T77*T31</f>
        <v>0</v>
      </c>
      <c r="U123" s="388">
        <f t="shared" si="281"/>
        <v>0</v>
      </c>
      <c r="V123" s="388">
        <f t="shared" si="281"/>
        <v>0</v>
      </c>
      <c r="W123" s="388">
        <f t="shared" si="281"/>
        <v>0</v>
      </c>
      <c r="X123" s="388">
        <f t="shared" ref="X123:AA123" si="282">X77*X31</f>
        <v>0</v>
      </c>
      <c r="Y123" s="388">
        <f t="shared" si="282"/>
        <v>0</v>
      </c>
      <c r="Z123" s="388">
        <f t="shared" si="282"/>
        <v>0</v>
      </c>
      <c r="AA123" s="388">
        <f t="shared" si="282"/>
        <v>0</v>
      </c>
    </row>
    <row r="124" spans="1:27" ht="18.95" customHeight="1">
      <c r="A124" s="347"/>
      <c r="B124" s="349"/>
      <c r="C124" s="384" t="s">
        <v>194</v>
      </c>
      <c r="D124" s="388"/>
      <c r="E124" s="388"/>
      <c r="F124" s="388"/>
      <c r="G124" s="388">
        <f>G79*G32</f>
        <v>0</v>
      </c>
      <c r="H124" s="388">
        <f t="shared" ref="H124:S124" si="283">H78*H32</f>
        <v>0</v>
      </c>
      <c r="I124" s="388">
        <f t="shared" si="283"/>
        <v>0</v>
      </c>
      <c r="J124" s="388">
        <f t="shared" si="283"/>
        <v>0</v>
      </c>
      <c r="K124" s="388">
        <f t="shared" si="283"/>
        <v>0</v>
      </c>
      <c r="L124" s="388">
        <f t="shared" si="283"/>
        <v>0</v>
      </c>
      <c r="M124" s="388">
        <f t="shared" si="283"/>
        <v>0</v>
      </c>
      <c r="N124" s="388">
        <f t="shared" si="283"/>
        <v>0</v>
      </c>
      <c r="O124" s="388">
        <f t="shared" si="283"/>
        <v>0</v>
      </c>
      <c r="P124" s="388">
        <f t="shared" si="283"/>
        <v>0</v>
      </c>
      <c r="Q124" s="388">
        <f t="shared" si="283"/>
        <v>0</v>
      </c>
      <c r="R124" s="388">
        <f t="shared" si="283"/>
        <v>0</v>
      </c>
      <c r="S124" s="388">
        <f t="shared" si="283"/>
        <v>0</v>
      </c>
      <c r="T124" s="388">
        <f t="shared" ref="T124:W124" si="284">T78*T32</f>
        <v>0</v>
      </c>
      <c r="U124" s="388">
        <f t="shared" si="284"/>
        <v>0</v>
      </c>
      <c r="V124" s="388">
        <f t="shared" si="284"/>
        <v>0</v>
      </c>
      <c r="W124" s="388">
        <f t="shared" si="284"/>
        <v>0</v>
      </c>
      <c r="X124" s="388">
        <f t="shared" ref="X124:AA124" si="285">X78*X32</f>
        <v>0</v>
      </c>
      <c r="Y124" s="388">
        <f t="shared" si="285"/>
        <v>0</v>
      </c>
      <c r="Z124" s="388">
        <f t="shared" si="285"/>
        <v>0</v>
      </c>
      <c r="AA124" s="388">
        <f t="shared" si="285"/>
        <v>0</v>
      </c>
    </row>
    <row r="125" spans="1:27" ht="18.95" customHeight="1">
      <c r="A125" s="347"/>
      <c r="B125" s="349"/>
      <c r="C125" s="384" t="s">
        <v>195</v>
      </c>
      <c r="D125" s="388"/>
      <c r="E125" s="388"/>
      <c r="F125" s="388"/>
      <c r="G125" s="388">
        <f>G80*G33</f>
        <v>0</v>
      </c>
      <c r="H125" s="388">
        <f t="shared" ref="H125:S125" si="286">H79*H33</f>
        <v>0</v>
      </c>
      <c r="I125" s="388">
        <f t="shared" si="286"/>
        <v>0</v>
      </c>
      <c r="J125" s="388">
        <f t="shared" si="286"/>
        <v>0</v>
      </c>
      <c r="K125" s="388">
        <f t="shared" si="286"/>
        <v>0</v>
      </c>
      <c r="L125" s="388">
        <f t="shared" si="286"/>
        <v>0</v>
      </c>
      <c r="M125" s="388">
        <f t="shared" si="286"/>
        <v>0</v>
      </c>
      <c r="N125" s="388">
        <f t="shared" si="286"/>
        <v>0</v>
      </c>
      <c r="O125" s="388">
        <f t="shared" si="286"/>
        <v>0</v>
      </c>
      <c r="P125" s="388">
        <f t="shared" si="286"/>
        <v>0</v>
      </c>
      <c r="Q125" s="388">
        <f t="shared" si="286"/>
        <v>0</v>
      </c>
      <c r="R125" s="388">
        <f t="shared" si="286"/>
        <v>0</v>
      </c>
      <c r="S125" s="388">
        <f t="shared" si="286"/>
        <v>0</v>
      </c>
      <c r="T125" s="388">
        <f t="shared" ref="T125:W125" si="287">T79*T33</f>
        <v>0</v>
      </c>
      <c r="U125" s="388">
        <f t="shared" si="287"/>
        <v>0</v>
      </c>
      <c r="V125" s="388">
        <f t="shared" si="287"/>
        <v>0</v>
      </c>
      <c r="W125" s="388">
        <f t="shared" si="287"/>
        <v>0</v>
      </c>
      <c r="X125" s="388">
        <f t="shared" ref="X125:AA125" si="288">X79*X33</f>
        <v>0</v>
      </c>
      <c r="Y125" s="388">
        <f t="shared" si="288"/>
        <v>0</v>
      </c>
      <c r="Z125" s="388">
        <f t="shared" si="288"/>
        <v>0</v>
      </c>
      <c r="AA125" s="388">
        <f t="shared" si="288"/>
        <v>0</v>
      </c>
    </row>
    <row r="126" spans="1:27" ht="18.95" customHeight="1">
      <c r="A126" s="347"/>
      <c r="B126" s="349"/>
      <c r="C126" s="384" t="s">
        <v>196</v>
      </c>
      <c r="D126" s="388">
        <f t="shared" ref="D126:G127" si="289">D80*D34</f>
        <v>0</v>
      </c>
      <c r="E126" s="388">
        <f t="shared" si="289"/>
        <v>0</v>
      </c>
      <c r="F126" s="388">
        <f t="shared" si="289"/>
        <v>0</v>
      </c>
      <c r="G126" s="388">
        <f t="shared" si="289"/>
        <v>0</v>
      </c>
      <c r="H126" s="388">
        <f t="shared" ref="H126:S126" si="290">H80*H34</f>
        <v>0</v>
      </c>
      <c r="I126" s="388">
        <f t="shared" si="290"/>
        <v>0</v>
      </c>
      <c r="J126" s="388">
        <f t="shared" si="290"/>
        <v>0</v>
      </c>
      <c r="K126" s="388">
        <f t="shared" si="290"/>
        <v>0</v>
      </c>
      <c r="L126" s="388">
        <f t="shared" si="290"/>
        <v>0</v>
      </c>
      <c r="M126" s="388">
        <f t="shared" si="290"/>
        <v>0</v>
      </c>
      <c r="N126" s="388">
        <f t="shared" si="290"/>
        <v>0</v>
      </c>
      <c r="O126" s="388">
        <f t="shared" si="290"/>
        <v>0</v>
      </c>
      <c r="P126" s="388">
        <f t="shared" si="290"/>
        <v>0</v>
      </c>
      <c r="Q126" s="388">
        <f t="shared" si="290"/>
        <v>0</v>
      </c>
      <c r="R126" s="388">
        <f t="shared" si="290"/>
        <v>0</v>
      </c>
      <c r="S126" s="388">
        <f t="shared" si="290"/>
        <v>0</v>
      </c>
      <c r="T126" s="388">
        <f t="shared" ref="T126:W126" si="291">T80*T34</f>
        <v>0</v>
      </c>
      <c r="U126" s="388">
        <f t="shared" si="291"/>
        <v>0</v>
      </c>
      <c r="V126" s="388">
        <f t="shared" si="291"/>
        <v>50000</v>
      </c>
      <c r="W126" s="388">
        <f t="shared" si="291"/>
        <v>50000</v>
      </c>
      <c r="X126" s="388">
        <f t="shared" ref="X126:AA126" si="292">X80*X34</f>
        <v>50000</v>
      </c>
      <c r="Y126" s="388">
        <f t="shared" si="292"/>
        <v>50000</v>
      </c>
      <c r="Z126" s="388">
        <f t="shared" si="292"/>
        <v>50000</v>
      </c>
      <c r="AA126" s="388">
        <f t="shared" si="292"/>
        <v>50000</v>
      </c>
    </row>
    <row r="127" spans="1:27" ht="18.95" customHeight="1">
      <c r="A127" s="347"/>
      <c r="B127" s="349"/>
      <c r="C127" s="384" t="s">
        <v>222</v>
      </c>
      <c r="D127" s="388">
        <f t="shared" si="289"/>
        <v>0</v>
      </c>
      <c r="E127" s="388">
        <f t="shared" si="289"/>
        <v>0</v>
      </c>
      <c r="F127" s="388">
        <f t="shared" si="289"/>
        <v>0</v>
      </c>
      <c r="G127" s="388">
        <f t="shared" si="289"/>
        <v>0</v>
      </c>
      <c r="H127" s="388">
        <f t="shared" ref="H127:S127" si="293">H81*H35</f>
        <v>0</v>
      </c>
      <c r="I127" s="388">
        <f t="shared" si="293"/>
        <v>0</v>
      </c>
      <c r="J127" s="388">
        <f t="shared" si="293"/>
        <v>0</v>
      </c>
      <c r="K127" s="388">
        <f t="shared" si="293"/>
        <v>0</v>
      </c>
      <c r="L127" s="388">
        <f t="shared" si="293"/>
        <v>0</v>
      </c>
      <c r="M127" s="388">
        <f t="shared" si="293"/>
        <v>0</v>
      </c>
      <c r="N127" s="388">
        <f t="shared" si="293"/>
        <v>0</v>
      </c>
      <c r="O127" s="388">
        <f t="shared" si="293"/>
        <v>0</v>
      </c>
      <c r="P127" s="388">
        <f t="shared" si="293"/>
        <v>0</v>
      </c>
      <c r="Q127" s="388">
        <f t="shared" si="293"/>
        <v>0</v>
      </c>
      <c r="R127" s="388">
        <f t="shared" si="293"/>
        <v>30000</v>
      </c>
      <c r="S127" s="388">
        <f t="shared" si="293"/>
        <v>30000</v>
      </c>
      <c r="T127" s="388">
        <f t="shared" ref="T127:W127" si="294">T81*T35</f>
        <v>32136.749999999993</v>
      </c>
      <c r="U127" s="388">
        <f t="shared" si="294"/>
        <v>32136.749999999993</v>
      </c>
      <c r="V127" s="388">
        <f t="shared" si="294"/>
        <v>32136.749999999993</v>
      </c>
      <c r="W127" s="388">
        <f t="shared" si="294"/>
        <v>32136.749999999993</v>
      </c>
      <c r="X127" s="388">
        <f t="shared" ref="X127:AA127" si="295">X81*X35</f>
        <v>32136.749999999993</v>
      </c>
      <c r="Y127" s="388">
        <f t="shared" si="295"/>
        <v>32136.749999999993</v>
      </c>
      <c r="Z127" s="388">
        <f t="shared" si="295"/>
        <v>32136.749999999993</v>
      </c>
      <c r="AA127" s="388">
        <f t="shared" si="295"/>
        <v>32136.749999999993</v>
      </c>
    </row>
    <row r="128" spans="1:27" ht="18.95" customHeight="1">
      <c r="A128" s="347"/>
      <c r="B128" s="349"/>
      <c r="C128" s="384" t="s">
        <v>199</v>
      </c>
      <c r="D128" s="388">
        <f t="shared" ref="D128:I128" si="296">D82*D38</f>
        <v>0</v>
      </c>
      <c r="E128" s="388">
        <f t="shared" si="296"/>
        <v>0</v>
      </c>
      <c r="F128" s="388">
        <f t="shared" si="296"/>
        <v>0</v>
      </c>
      <c r="G128" s="388">
        <f t="shared" si="296"/>
        <v>0</v>
      </c>
      <c r="H128" s="388">
        <f t="shared" si="296"/>
        <v>0</v>
      </c>
      <c r="I128" s="388">
        <f t="shared" si="296"/>
        <v>0</v>
      </c>
      <c r="J128" s="388">
        <f>J82*J37</f>
        <v>0</v>
      </c>
      <c r="K128" s="388">
        <f>K82*K37</f>
        <v>0</v>
      </c>
      <c r="L128" s="388">
        <f t="shared" ref="L128:O128" si="297">L82*L37</f>
        <v>0</v>
      </c>
      <c r="M128" s="388">
        <f t="shared" si="297"/>
        <v>0</v>
      </c>
      <c r="N128" s="388">
        <f t="shared" si="297"/>
        <v>0</v>
      </c>
      <c r="O128" s="388">
        <f t="shared" si="297"/>
        <v>0</v>
      </c>
      <c r="P128" s="388">
        <f t="shared" ref="P128:S128" si="298">P82*P37</f>
        <v>8000</v>
      </c>
      <c r="Q128" s="388">
        <f t="shared" si="298"/>
        <v>8000</v>
      </c>
      <c r="R128" s="388">
        <f t="shared" si="298"/>
        <v>8000</v>
      </c>
      <c r="S128" s="388">
        <f t="shared" si="298"/>
        <v>8000</v>
      </c>
      <c r="T128" s="388">
        <f t="shared" ref="T128:W128" si="299">T82*T37</f>
        <v>8280</v>
      </c>
      <c r="U128" s="388">
        <f t="shared" si="299"/>
        <v>8280</v>
      </c>
      <c r="V128" s="388">
        <f t="shared" si="299"/>
        <v>8280</v>
      </c>
      <c r="W128" s="388">
        <f t="shared" si="299"/>
        <v>8280</v>
      </c>
      <c r="X128" s="388">
        <f t="shared" ref="X128:AA128" si="300">X82*X37</f>
        <v>8280</v>
      </c>
      <c r="Y128" s="388">
        <f t="shared" si="300"/>
        <v>8280</v>
      </c>
      <c r="Z128" s="388">
        <f t="shared" si="300"/>
        <v>8280</v>
      </c>
      <c r="AA128" s="388">
        <f t="shared" si="300"/>
        <v>8280</v>
      </c>
    </row>
    <row r="129" spans="1:27" ht="18.95" customHeight="1">
      <c r="A129" s="347"/>
      <c r="B129" s="349"/>
      <c r="C129" s="382" t="s">
        <v>200</v>
      </c>
      <c r="D129" s="389">
        <f>SUM(D130:D131)</f>
        <v>0</v>
      </c>
      <c r="E129" s="389">
        <f t="shared" ref="E129:G129" si="301">SUM(E130:E131)</f>
        <v>0</v>
      </c>
      <c r="F129" s="389">
        <f t="shared" si="301"/>
        <v>0</v>
      </c>
      <c r="G129" s="389">
        <f t="shared" si="301"/>
        <v>0</v>
      </c>
      <c r="H129" s="389">
        <f t="shared" ref="H129:S129" si="302">SUM(H130:H131)</f>
        <v>0</v>
      </c>
      <c r="I129" s="389">
        <f t="shared" si="302"/>
        <v>0</v>
      </c>
      <c r="J129" s="389">
        <f t="shared" si="302"/>
        <v>0</v>
      </c>
      <c r="K129" s="389">
        <f t="shared" si="302"/>
        <v>0</v>
      </c>
      <c r="L129" s="389">
        <f t="shared" si="302"/>
        <v>0</v>
      </c>
      <c r="M129" s="389">
        <f t="shared" si="302"/>
        <v>0</v>
      </c>
      <c r="N129" s="389">
        <f t="shared" si="302"/>
        <v>0</v>
      </c>
      <c r="O129" s="389">
        <f t="shared" si="302"/>
        <v>0</v>
      </c>
      <c r="P129" s="389">
        <f t="shared" si="302"/>
        <v>0</v>
      </c>
      <c r="Q129" s="389">
        <f t="shared" si="302"/>
        <v>0</v>
      </c>
      <c r="R129" s="389">
        <f t="shared" si="302"/>
        <v>0</v>
      </c>
      <c r="S129" s="389">
        <f t="shared" si="302"/>
        <v>0</v>
      </c>
      <c r="T129" s="389">
        <f t="shared" ref="T129:W129" si="303">SUM(T130:T131)</f>
        <v>11500</v>
      </c>
      <c r="U129" s="389">
        <f t="shared" si="303"/>
        <v>11500</v>
      </c>
      <c r="V129" s="389">
        <f t="shared" si="303"/>
        <v>46500</v>
      </c>
      <c r="W129" s="389">
        <f t="shared" si="303"/>
        <v>46500</v>
      </c>
      <c r="X129" s="389">
        <f t="shared" ref="X129:AA129" si="304">SUM(X130:X131)</f>
        <v>46500</v>
      </c>
      <c r="Y129" s="389">
        <f t="shared" si="304"/>
        <v>46500</v>
      </c>
      <c r="Z129" s="389">
        <f t="shared" si="304"/>
        <v>46500</v>
      </c>
      <c r="AA129" s="389">
        <f t="shared" si="304"/>
        <v>46500</v>
      </c>
    </row>
    <row r="130" spans="1:27" ht="18.95" customHeight="1">
      <c r="A130" s="347"/>
      <c r="B130" s="349"/>
      <c r="C130" s="384" t="s">
        <v>201</v>
      </c>
      <c r="D130" s="388">
        <f t="shared" ref="D130:G131" si="305">D84*D39</f>
        <v>0</v>
      </c>
      <c r="E130" s="388">
        <f t="shared" si="305"/>
        <v>0</v>
      </c>
      <c r="F130" s="388">
        <f t="shared" si="305"/>
        <v>0</v>
      </c>
      <c r="G130" s="388">
        <f t="shared" si="305"/>
        <v>0</v>
      </c>
      <c r="H130" s="388">
        <f>H84*H40</f>
        <v>0</v>
      </c>
      <c r="I130" s="388">
        <f t="shared" ref="I130:K131" si="306">I84*I39</f>
        <v>0</v>
      </c>
      <c r="J130" s="388">
        <f t="shared" si="306"/>
        <v>0</v>
      </c>
      <c r="K130" s="388">
        <f t="shared" si="306"/>
        <v>0</v>
      </c>
      <c r="L130" s="388">
        <f t="shared" ref="L130:O131" si="307">L84*L39</f>
        <v>0</v>
      </c>
      <c r="M130" s="388">
        <f t="shared" si="307"/>
        <v>0</v>
      </c>
      <c r="N130" s="388">
        <f t="shared" si="307"/>
        <v>0</v>
      </c>
      <c r="O130" s="388">
        <f t="shared" si="307"/>
        <v>0</v>
      </c>
      <c r="P130" s="388">
        <f t="shared" ref="P130:S131" si="308">P84*P39</f>
        <v>0</v>
      </c>
      <c r="Q130" s="388">
        <f t="shared" si="308"/>
        <v>0</v>
      </c>
      <c r="R130" s="388">
        <f t="shared" si="308"/>
        <v>0</v>
      </c>
      <c r="S130" s="388">
        <f t="shared" si="308"/>
        <v>0</v>
      </c>
      <c r="T130" s="388">
        <f t="shared" ref="T130:W130" si="309">T84*T39</f>
        <v>0</v>
      </c>
      <c r="U130" s="388">
        <f t="shared" si="309"/>
        <v>0</v>
      </c>
      <c r="V130" s="388">
        <f t="shared" si="309"/>
        <v>35000</v>
      </c>
      <c r="W130" s="388">
        <f t="shared" si="309"/>
        <v>35000</v>
      </c>
      <c r="X130" s="388">
        <f t="shared" ref="X130:AA130" si="310">X84*X39</f>
        <v>35000</v>
      </c>
      <c r="Y130" s="388">
        <f t="shared" si="310"/>
        <v>35000</v>
      </c>
      <c r="Z130" s="388">
        <f t="shared" si="310"/>
        <v>35000</v>
      </c>
      <c r="AA130" s="388">
        <f t="shared" si="310"/>
        <v>35000</v>
      </c>
    </row>
    <row r="131" spans="1:27" ht="18.95" customHeight="1">
      <c r="A131" s="347"/>
      <c r="B131" s="349"/>
      <c r="C131" s="384" t="s">
        <v>202</v>
      </c>
      <c r="D131" s="388">
        <f t="shared" si="305"/>
        <v>0</v>
      </c>
      <c r="E131" s="388">
        <f t="shared" si="305"/>
        <v>0</v>
      </c>
      <c r="F131" s="388">
        <f t="shared" si="305"/>
        <v>0</v>
      </c>
      <c r="G131" s="388">
        <f t="shared" si="305"/>
        <v>0</v>
      </c>
      <c r="H131" s="388">
        <f>H85*H41</f>
        <v>0</v>
      </c>
      <c r="I131" s="388">
        <f t="shared" si="306"/>
        <v>0</v>
      </c>
      <c r="J131" s="388">
        <f t="shared" si="306"/>
        <v>0</v>
      </c>
      <c r="K131" s="388">
        <f t="shared" si="306"/>
        <v>0</v>
      </c>
      <c r="L131" s="388">
        <f t="shared" si="307"/>
        <v>0</v>
      </c>
      <c r="M131" s="388">
        <f t="shared" si="307"/>
        <v>0</v>
      </c>
      <c r="N131" s="388">
        <f t="shared" si="307"/>
        <v>0</v>
      </c>
      <c r="O131" s="388">
        <f t="shared" si="307"/>
        <v>0</v>
      </c>
      <c r="P131" s="388">
        <f t="shared" si="308"/>
        <v>0</v>
      </c>
      <c r="Q131" s="388">
        <f t="shared" si="308"/>
        <v>0</v>
      </c>
      <c r="R131" s="388">
        <f t="shared" si="308"/>
        <v>0</v>
      </c>
      <c r="S131" s="388">
        <f t="shared" si="308"/>
        <v>0</v>
      </c>
      <c r="T131" s="388">
        <f t="shared" ref="T131:W131" si="311">T85*T40</f>
        <v>11500</v>
      </c>
      <c r="U131" s="388">
        <f t="shared" si="311"/>
        <v>11500</v>
      </c>
      <c r="V131" s="388">
        <f t="shared" si="311"/>
        <v>11500</v>
      </c>
      <c r="W131" s="388">
        <f t="shared" si="311"/>
        <v>11500</v>
      </c>
      <c r="X131" s="388">
        <f t="shared" ref="X131:AA131" si="312">X85*X40</f>
        <v>11500</v>
      </c>
      <c r="Y131" s="388">
        <f t="shared" si="312"/>
        <v>11500</v>
      </c>
      <c r="Z131" s="388">
        <f t="shared" si="312"/>
        <v>11500</v>
      </c>
      <c r="AA131" s="388">
        <f t="shared" si="312"/>
        <v>11500</v>
      </c>
    </row>
    <row r="132" spans="1:27" ht="18.95" customHeight="1">
      <c r="A132" s="347"/>
      <c r="B132" s="349"/>
      <c r="C132" s="382" t="s">
        <v>203</v>
      </c>
      <c r="D132" s="383">
        <f>SUM(D133:D136)</f>
        <v>0</v>
      </c>
      <c r="E132" s="383">
        <f>SUM(E133:E136)</f>
        <v>0</v>
      </c>
      <c r="F132" s="383">
        <f t="shared" ref="F132:K132" si="313">SUM(F133:F134)</f>
        <v>0</v>
      </c>
      <c r="G132" s="383">
        <f t="shared" si="313"/>
        <v>0</v>
      </c>
      <c r="H132" s="383">
        <f t="shared" si="313"/>
        <v>0</v>
      </c>
      <c r="I132" s="383">
        <f t="shared" si="313"/>
        <v>0</v>
      </c>
      <c r="J132" s="383">
        <f t="shared" si="313"/>
        <v>0</v>
      </c>
      <c r="K132" s="383">
        <f t="shared" si="313"/>
        <v>0</v>
      </c>
      <c r="L132" s="383">
        <f t="shared" ref="L132:S132" si="314">SUM(L133:L134)</f>
        <v>0</v>
      </c>
      <c r="M132" s="383">
        <f t="shared" si="314"/>
        <v>0</v>
      </c>
      <c r="N132" s="383">
        <f t="shared" si="314"/>
        <v>0</v>
      </c>
      <c r="O132" s="383">
        <f t="shared" si="314"/>
        <v>0</v>
      </c>
      <c r="P132" s="383">
        <f t="shared" si="314"/>
        <v>0</v>
      </c>
      <c r="Q132" s="383">
        <f t="shared" si="314"/>
        <v>0</v>
      </c>
      <c r="R132" s="383">
        <f t="shared" si="314"/>
        <v>0</v>
      </c>
      <c r="S132" s="383">
        <f t="shared" si="314"/>
        <v>0</v>
      </c>
      <c r="T132" s="383">
        <f t="shared" ref="T132:W132" si="315">SUM(T133:T134)</f>
        <v>35000</v>
      </c>
      <c r="U132" s="383">
        <f t="shared" si="315"/>
        <v>35000</v>
      </c>
      <c r="V132" s="383">
        <f t="shared" si="315"/>
        <v>70000</v>
      </c>
      <c r="W132" s="383">
        <f t="shared" si="315"/>
        <v>70000</v>
      </c>
      <c r="X132" s="383">
        <f t="shared" ref="X132:AA132" si="316">SUM(X133:X134)</f>
        <v>70000</v>
      </c>
      <c r="Y132" s="383">
        <f t="shared" si="316"/>
        <v>70000</v>
      </c>
      <c r="Z132" s="383">
        <f t="shared" si="316"/>
        <v>70000</v>
      </c>
      <c r="AA132" s="383">
        <f t="shared" si="316"/>
        <v>70000</v>
      </c>
    </row>
    <row r="133" spans="1:27" ht="18.95" customHeight="1">
      <c r="A133" s="347"/>
      <c r="B133" s="349"/>
      <c r="C133" s="384" t="s">
        <v>204</v>
      </c>
      <c r="D133" s="388">
        <f t="shared" ref="D133:G135" si="317">D87*D42</f>
        <v>0</v>
      </c>
      <c r="E133" s="388">
        <f t="shared" si="317"/>
        <v>0</v>
      </c>
      <c r="F133" s="388">
        <f t="shared" si="317"/>
        <v>0</v>
      </c>
      <c r="G133" s="388">
        <f t="shared" si="317"/>
        <v>0</v>
      </c>
      <c r="H133" s="388">
        <f t="shared" ref="H133:K135" si="318">H87*H42</f>
        <v>0</v>
      </c>
      <c r="I133" s="388">
        <f t="shared" si="318"/>
        <v>0</v>
      </c>
      <c r="J133" s="388">
        <f t="shared" si="318"/>
        <v>0</v>
      </c>
      <c r="K133" s="388">
        <f t="shared" si="318"/>
        <v>0</v>
      </c>
      <c r="L133" s="388">
        <f t="shared" ref="L133:O135" si="319">L87*L42</f>
        <v>0</v>
      </c>
      <c r="M133" s="388">
        <f t="shared" si="319"/>
        <v>0</v>
      </c>
      <c r="N133" s="388">
        <f t="shared" si="319"/>
        <v>0</v>
      </c>
      <c r="O133" s="388">
        <f t="shared" si="319"/>
        <v>0</v>
      </c>
      <c r="P133" s="388">
        <f t="shared" ref="P133:S135" si="320">P87*P42</f>
        <v>0</v>
      </c>
      <c r="Q133" s="388">
        <f t="shared" si="320"/>
        <v>0</v>
      </c>
      <c r="R133" s="388">
        <f t="shared" si="320"/>
        <v>0</v>
      </c>
      <c r="S133" s="388">
        <f t="shared" si="320"/>
        <v>0</v>
      </c>
      <c r="T133" s="388">
        <f t="shared" ref="T133:W133" si="321">T87*T42</f>
        <v>0</v>
      </c>
      <c r="U133" s="388">
        <f t="shared" si="321"/>
        <v>0</v>
      </c>
      <c r="V133" s="388">
        <f t="shared" si="321"/>
        <v>35000</v>
      </c>
      <c r="W133" s="388">
        <f t="shared" si="321"/>
        <v>35000</v>
      </c>
      <c r="X133" s="388">
        <f t="shared" ref="X133:AA133" si="322">X87*X42</f>
        <v>35000</v>
      </c>
      <c r="Y133" s="388">
        <f t="shared" si="322"/>
        <v>35000</v>
      </c>
      <c r="Z133" s="388">
        <f t="shared" si="322"/>
        <v>35000</v>
      </c>
      <c r="AA133" s="388">
        <f t="shared" si="322"/>
        <v>35000</v>
      </c>
    </row>
    <row r="134" spans="1:27" ht="18.95" customHeight="1">
      <c r="A134" s="347"/>
      <c r="B134" s="349"/>
      <c r="C134" s="384" t="s">
        <v>205</v>
      </c>
      <c r="D134" s="388">
        <f t="shared" si="317"/>
        <v>0</v>
      </c>
      <c r="E134" s="388">
        <f t="shared" si="317"/>
        <v>0</v>
      </c>
      <c r="F134" s="388">
        <f t="shared" si="317"/>
        <v>0</v>
      </c>
      <c r="G134" s="388">
        <f t="shared" si="317"/>
        <v>0</v>
      </c>
      <c r="H134" s="388">
        <f t="shared" si="318"/>
        <v>0</v>
      </c>
      <c r="I134" s="388">
        <f t="shared" si="318"/>
        <v>0</v>
      </c>
      <c r="J134" s="388">
        <f t="shared" si="318"/>
        <v>0</v>
      </c>
      <c r="K134" s="388">
        <f t="shared" si="318"/>
        <v>0</v>
      </c>
      <c r="L134" s="388">
        <f t="shared" si="319"/>
        <v>0</v>
      </c>
      <c r="M134" s="388">
        <f t="shared" si="319"/>
        <v>0</v>
      </c>
      <c r="N134" s="388">
        <f t="shared" si="319"/>
        <v>0</v>
      </c>
      <c r="O134" s="388">
        <f t="shared" si="319"/>
        <v>0</v>
      </c>
      <c r="P134" s="388">
        <f t="shared" si="320"/>
        <v>0</v>
      </c>
      <c r="Q134" s="388">
        <f t="shared" si="320"/>
        <v>0</v>
      </c>
      <c r="R134" s="388">
        <f t="shared" si="320"/>
        <v>0</v>
      </c>
      <c r="S134" s="388">
        <f t="shared" si="320"/>
        <v>0</v>
      </c>
      <c r="T134" s="388">
        <f t="shared" ref="T134:W134" si="323">T88*T43</f>
        <v>35000</v>
      </c>
      <c r="U134" s="388">
        <f t="shared" si="323"/>
        <v>35000</v>
      </c>
      <c r="V134" s="388">
        <f t="shared" si="323"/>
        <v>35000</v>
      </c>
      <c r="W134" s="388">
        <f t="shared" si="323"/>
        <v>35000</v>
      </c>
      <c r="X134" s="388">
        <f t="shared" ref="X134:AA134" si="324">X88*X43</f>
        <v>35000</v>
      </c>
      <c r="Y134" s="388">
        <f t="shared" si="324"/>
        <v>35000</v>
      </c>
      <c r="Z134" s="388">
        <f t="shared" si="324"/>
        <v>35000</v>
      </c>
      <c r="AA134" s="388">
        <f t="shared" si="324"/>
        <v>35000</v>
      </c>
    </row>
    <row r="135" spans="1:27" ht="18.95" customHeight="1">
      <c r="A135" s="347"/>
      <c r="B135" s="349"/>
      <c r="C135" s="382" t="s">
        <v>206</v>
      </c>
      <c r="D135" s="389">
        <f t="shared" si="317"/>
        <v>0</v>
      </c>
      <c r="E135" s="389">
        <f t="shared" si="317"/>
        <v>0</v>
      </c>
      <c r="F135" s="389">
        <f t="shared" si="317"/>
        <v>0</v>
      </c>
      <c r="G135" s="389">
        <f t="shared" si="317"/>
        <v>0</v>
      </c>
      <c r="H135" s="389">
        <f t="shared" si="318"/>
        <v>0</v>
      </c>
      <c r="I135" s="389">
        <f t="shared" si="318"/>
        <v>0</v>
      </c>
      <c r="J135" s="389">
        <f t="shared" si="318"/>
        <v>0</v>
      </c>
      <c r="K135" s="389">
        <f t="shared" si="318"/>
        <v>0</v>
      </c>
      <c r="L135" s="389">
        <f t="shared" si="319"/>
        <v>0</v>
      </c>
      <c r="M135" s="389">
        <f t="shared" si="319"/>
        <v>0</v>
      </c>
      <c r="N135" s="389">
        <f t="shared" si="319"/>
        <v>0</v>
      </c>
      <c r="O135" s="389">
        <f t="shared" si="319"/>
        <v>0</v>
      </c>
      <c r="P135" s="389">
        <f t="shared" si="320"/>
        <v>0</v>
      </c>
      <c r="Q135" s="389">
        <f t="shared" si="320"/>
        <v>0</v>
      </c>
      <c r="R135" s="389">
        <f t="shared" si="320"/>
        <v>0</v>
      </c>
      <c r="S135" s="389">
        <f t="shared" si="320"/>
        <v>0</v>
      </c>
      <c r="T135" s="389">
        <f t="shared" ref="T135:W135" si="325">T89*T44</f>
        <v>0</v>
      </c>
      <c r="U135" s="389">
        <f t="shared" si="325"/>
        <v>0</v>
      </c>
      <c r="V135" s="389">
        <f t="shared" si="325"/>
        <v>0</v>
      </c>
      <c r="W135" s="389">
        <f t="shared" si="325"/>
        <v>0</v>
      </c>
      <c r="X135" s="389">
        <f t="shared" ref="X135:AA135" si="326">X89*X44</f>
        <v>0</v>
      </c>
      <c r="Y135" s="389">
        <f t="shared" si="326"/>
        <v>0</v>
      </c>
      <c r="Z135" s="389">
        <f t="shared" si="326"/>
        <v>0</v>
      </c>
      <c r="AA135" s="389">
        <f t="shared" si="326"/>
        <v>0</v>
      </c>
    </row>
    <row r="136" spans="1:27" ht="18.95" customHeight="1">
      <c r="A136" s="347"/>
      <c r="B136" s="349"/>
      <c r="C136" s="382" t="s">
        <v>217</v>
      </c>
      <c r="D136" s="383">
        <f t="shared" ref="D136:S136" si="327">SUM(D137:D140)</f>
        <v>0</v>
      </c>
      <c r="E136" s="383">
        <f t="shared" si="327"/>
        <v>0</v>
      </c>
      <c r="F136" s="383">
        <f t="shared" si="327"/>
        <v>0</v>
      </c>
      <c r="G136" s="383">
        <f t="shared" si="327"/>
        <v>0</v>
      </c>
      <c r="H136" s="383">
        <f t="shared" si="327"/>
        <v>0</v>
      </c>
      <c r="I136" s="383">
        <f t="shared" si="327"/>
        <v>0</v>
      </c>
      <c r="J136" s="383">
        <f t="shared" si="327"/>
        <v>0</v>
      </c>
      <c r="K136" s="383">
        <f t="shared" si="327"/>
        <v>0</v>
      </c>
      <c r="L136" s="383">
        <f t="shared" si="327"/>
        <v>0</v>
      </c>
      <c r="M136" s="383">
        <f t="shared" si="327"/>
        <v>0</v>
      </c>
      <c r="N136" s="383">
        <f t="shared" si="327"/>
        <v>30000</v>
      </c>
      <c r="O136" s="383">
        <f t="shared" si="327"/>
        <v>30000</v>
      </c>
      <c r="P136" s="383">
        <f t="shared" si="327"/>
        <v>43050</v>
      </c>
      <c r="Q136" s="383">
        <f t="shared" si="327"/>
        <v>43050</v>
      </c>
      <c r="R136" s="383">
        <f t="shared" si="327"/>
        <v>43050</v>
      </c>
      <c r="S136" s="383">
        <f t="shared" si="327"/>
        <v>43050</v>
      </c>
      <c r="T136" s="383">
        <f t="shared" ref="T136:W136" si="328">SUM(T137:T140)</f>
        <v>44556.749999999993</v>
      </c>
      <c r="U136" s="383">
        <f t="shared" si="328"/>
        <v>44556.749999999993</v>
      </c>
      <c r="V136" s="383">
        <f t="shared" si="328"/>
        <v>44556.749999999993</v>
      </c>
      <c r="W136" s="383">
        <f t="shared" si="328"/>
        <v>44556.749999999993</v>
      </c>
      <c r="X136" s="383">
        <f t="shared" ref="X136:AA136" si="329">SUM(X137:X140)</f>
        <v>44556.749999999993</v>
      </c>
      <c r="Y136" s="383">
        <f t="shared" si="329"/>
        <v>44556.749999999993</v>
      </c>
      <c r="Z136" s="383">
        <f t="shared" si="329"/>
        <v>44556.749999999993</v>
      </c>
      <c r="AA136" s="383">
        <f t="shared" si="329"/>
        <v>44556.749999999993</v>
      </c>
    </row>
    <row r="137" spans="1:27" ht="18.95" customHeight="1">
      <c r="A137" s="347"/>
      <c r="B137" s="347"/>
      <c r="C137" s="384" t="s">
        <v>208</v>
      </c>
      <c r="D137" s="388">
        <f t="shared" ref="D137:G140" si="330">D91*D46</f>
        <v>0</v>
      </c>
      <c r="E137" s="388">
        <f t="shared" si="330"/>
        <v>0</v>
      </c>
      <c r="F137" s="388">
        <f t="shared" si="330"/>
        <v>0</v>
      </c>
      <c r="G137" s="388">
        <f t="shared" si="330"/>
        <v>0</v>
      </c>
      <c r="H137" s="388">
        <f t="shared" ref="H137:K140" si="331">H91*H46</f>
        <v>0</v>
      </c>
      <c r="I137" s="388">
        <f t="shared" si="331"/>
        <v>0</v>
      </c>
      <c r="J137" s="388">
        <f t="shared" si="331"/>
        <v>0</v>
      </c>
      <c r="K137" s="388">
        <f t="shared" si="331"/>
        <v>0</v>
      </c>
      <c r="L137" s="388">
        <f t="shared" ref="L137:O140" si="332">L91*L46</f>
        <v>0</v>
      </c>
      <c r="M137" s="388">
        <f t="shared" si="332"/>
        <v>0</v>
      </c>
      <c r="N137" s="388">
        <f t="shared" si="332"/>
        <v>0</v>
      </c>
      <c r="O137" s="388">
        <f t="shared" si="332"/>
        <v>0</v>
      </c>
      <c r="P137" s="388">
        <f t="shared" ref="P137:S140" si="333">P91*P46</f>
        <v>0</v>
      </c>
      <c r="Q137" s="388">
        <f t="shared" si="333"/>
        <v>0</v>
      </c>
      <c r="R137" s="388">
        <f t="shared" si="333"/>
        <v>0</v>
      </c>
      <c r="S137" s="388">
        <f t="shared" si="333"/>
        <v>0</v>
      </c>
      <c r="T137" s="388">
        <f t="shared" ref="T137:W137" si="334">T91*T46</f>
        <v>0</v>
      </c>
      <c r="U137" s="388">
        <f t="shared" si="334"/>
        <v>0</v>
      </c>
      <c r="V137" s="388">
        <f t="shared" si="334"/>
        <v>0</v>
      </c>
      <c r="W137" s="388">
        <f t="shared" si="334"/>
        <v>0</v>
      </c>
      <c r="X137" s="388">
        <f t="shared" ref="X137:AA137" si="335">X91*X46</f>
        <v>0</v>
      </c>
      <c r="Y137" s="388">
        <f t="shared" si="335"/>
        <v>0</v>
      </c>
      <c r="Z137" s="388">
        <f t="shared" si="335"/>
        <v>0</v>
      </c>
      <c r="AA137" s="388">
        <f t="shared" si="335"/>
        <v>0</v>
      </c>
    </row>
    <row r="138" spans="1:27" ht="18.95" customHeight="1">
      <c r="A138" s="347"/>
      <c r="B138" s="347"/>
      <c r="C138" s="384" t="s">
        <v>209</v>
      </c>
      <c r="D138" s="388">
        <f t="shared" si="330"/>
        <v>0</v>
      </c>
      <c r="E138" s="388">
        <f t="shared" si="330"/>
        <v>0</v>
      </c>
      <c r="F138" s="388">
        <f t="shared" si="330"/>
        <v>0</v>
      </c>
      <c r="G138" s="388">
        <f t="shared" si="330"/>
        <v>0</v>
      </c>
      <c r="H138" s="388">
        <f t="shared" si="331"/>
        <v>0</v>
      </c>
      <c r="I138" s="388">
        <f t="shared" si="331"/>
        <v>0</v>
      </c>
      <c r="J138" s="388">
        <f t="shared" si="331"/>
        <v>0</v>
      </c>
      <c r="K138" s="388">
        <f t="shared" si="331"/>
        <v>0</v>
      </c>
      <c r="L138" s="388">
        <f t="shared" si="332"/>
        <v>0</v>
      </c>
      <c r="M138" s="388">
        <f t="shared" si="332"/>
        <v>0</v>
      </c>
      <c r="N138" s="388">
        <f t="shared" si="332"/>
        <v>0</v>
      </c>
      <c r="O138" s="388">
        <f t="shared" si="332"/>
        <v>0</v>
      </c>
      <c r="P138" s="388">
        <f t="shared" si="333"/>
        <v>0</v>
      </c>
      <c r="Q138" s="388">
        <f t="shared" si="333"/>
        <v>0</v>
      </c>
      <c r="R138" s="388">
        <f t="shared" si="333"/>
        <v>0</v>
      </c>
      <c r="S138" s="388">
        <f t="shared" si="333"/>
        <v>0</v>
      </c>
      <c r="T138" s="388">
        <f t="shared" ref="T138:W138" si="336">T92*T47</f>
        <v>0</v>
      </c>
      <c r="U138" s="388">
        <f t="shared" si="336"/>
        <v>0</v>
      </c>
      <c r="V138" s="388">
        <f t="shared" si="336"/>
        <v>0</v>
      </c>
      <c r="W138" s="388">
        <f t="shared" si="336"/>
        <v>0</v>
      </c>
      <c r="X138" s="388">
        <f t="shared" ref="X138:AA138" si="337">X92*X47</f>
        <v>0</v>
      </c>
      <c r="Y138" s="388">
        <f t="shared" si="337"/>
        <v>0</v>
      </c>
      <c r="Z138" s="388">
        <f t="shared" si="337"/>
        <v>0</v>
      </c>
      <c r="AA138" s="388">
        <f t="shared" si="337"/>
        <v>0</v>
      </c>
    </row>
    <row r="139" spans="1:27" ht="18.95" customHeight="1">
      <c r="A139" s="347"/>
      <c r="B139" s="347"/>
      <c r="C139" s="384" t="s">
        <v>210</v>
      </c>
      <c r="D139" s="388">
        <f t="shared" si="330"/>
        <v>0</v>
      </c>
      <c r="E139" s="388">
        <f t="shared" si="330"/>
        <v>0</v>
      </c>
      <c r="F139" s="388">
        <f t="shared" si="330"/>
        <v>0</v>
      </c>
      <c r="G139" s="388">
        <f t="shared" si="330"/>
        <v>0</v>
      </c>
      <c r="H139" s="388">
        <f t="shared" si="331"/>
        <v>0</v>
      </c>
      <c r="I139" s="388">
        <f t="shared" si="331"/>
        <v>0</v>
      </c>
      <c r="J139" s="388">
        <f t="shared" si="331"/>
        <v>0</v>
      </c>
      <c r="K139" s="388">
        <f t="shared" si="331"/>
        <v>0</v>
      </c>
      <c r="L139" s="388">
        <f t="shared" si="332"/>
        <v>0</v>
      </c>
      <c r="M139" s="388">
        <f t="shared" si="332"/>
        <v>0</v>
      </c>
      <c r="N139" s="388">
        <f t="shared" si="332"/>
        <v>30000</v>
      </c>
      <c r="O139" s="388">
        <f t="shared" si="332"/>
        <v>30000</v>
      </c>
      <c r="P139" s="388">
        <f t="shared" si="333"/>
        <v>31049.999999999996</v>
      </c>
      <c r="Q139" s="388">
        <f t="shared" si="333"/>
        <v>31049.999999999996</v>
      </c>
      <c r="R139" s="388">
        <f t="shared" si="333"/>
        <v>31049.999999999996</v>
      </c>
      <c r="S139" s="388">
        <f t="shared" si="333"/>
        <v>31049.999999999996</v>
      </c>
      <c r="T139" s="388">
        <f t="shared" ref="T139:W139" si="338">T93*T48</f>
        <v>32136.749999999993</v>
      </c>
      <c r="U139" s="388">
        <f t="shared" si="338"/>
        <v>32136.749999999993</v>
      </c>
      <c r="V139" s="388">
        <f t="shared" si="338"/>
        <v>32136.749999999993</v>
      </c>
      <c r="W139" s="388">
        <f t="shared" si="338"/>
        <v>32136.749999999993</v>
      </c>
      <c r="X139" s="388">
        <f t="shared" ref="X139:AA139" si="339">X93*X48</f>
        <v>32136.749999999993</v>
      </c>
      <c r="Y139" s="388">
        <f t="shared" si="339"/>
        <v>32136.749999999993</v>
      </c>
      <c r="Z139" s="388">
        <f t="shared" si="339"/>
        <v>32136.749999999993</v>
      </c>
      <c r="AA139" s="388">
        <f t="shared" si="339"/>
        <v>32136.749999999993</v>
      </c>
    </row>
    <row r="140" spans="1:27" ht="18.95" customHeight="1">
      <c r="A140" s="347"/>
      <c r="B140" s="347"/>
      <c r="C140" s="384" t="s">
        <v>211</v>
      </c>
      <c r="D140" s="388">
        <f t="shared" si="330"/>
        <v>0</v>
      </c>
      <c r="E140" s="388">
        <f t="shared" si="330"/>
        <v>0</v>
      </c>
      <c r="F140" s="388">
        <f t="shared" si="330"/>
        <v>0</v>
      </c>
      <c r="G140" s="388">
        <f t="shared" si="330"/>
        <v>0</v>
      </c>
      <c r="H140" s="388">
        <f t="shared" si="331"/>
        <v>0</v>
      </c>
      <c r="I140" s="388">
        <f t="shared" si="331"/>
        <v>0</v>
      </c>
      <c r="J140" s="388">
        <f t="shared" si="331"/>
        <v>0</v>
      </c>
      <c r="K140" s="388">
        <f t="shared" si="331"/>
        <v>0</v>
      </c>
      <c r="L140" s="388">
        <f t="shared" si="332"/>
        <v>0</v>
      </c>
      <c r="M140" s="388">
        <f t="shared" si="332"/>
        <v>0</v>
      </c>
      <c r="N140" s="388">
        <f t="shared" si="332"/>
        <v>0</v>
      </c>
      <c r="O140" s="388">
        <f t="shared" si="332"/>
        <v>0</v>
      </c>
      <c r="P140" s="388">
        <f t="shared" si="333"/>
        <v>12000</v>
      </c>
      <c r="Q140" s="388">
        <f t="shared" si="333"/>
        <v>12000</v>
      </c>
      <c r="R140" s="388">
        <f t="shared" si="333"/>
        <v>12000</v>
      </c>
      <c r="S140" s="388">
        <f t="shared" si="333"/>
        <v>12000</v>
      </c>
      <c r="T140" s="388">
        <f t="shared" ref="T140:W140" si="340">T94*T49</f>
        <v>12419.999999999998</v>
      </c>
      <c r="U140" s="388">
        <f t="shared" si="340"/>
        <v>12419.999999999998</v>
      </c>
      <c r="V140" s="388">
        <f t="shared" si="340"/>
        <v>12419.999999999998</v>
      </c>
      <c r="W140" s="388">
        <f t="shared" si="340"/>
        <v>12419.999999999998</v>
      </c>
      <c r="X140" s="388">
        <f t="shared" ref="X140:AA140" si="341">X94*X49</f>
        <v>12419.999999999998</v>
      </c>
      <c r="Y140" s="388">
        <f t="shared" si="341"/>
        <v>12419.999999999998</v>
      </c>
      <c r="Z140" s="388">
        <f t="shared" si="341"/>
        <v>12419.999999999998</v>
      </c>
      <c r="AA140" s="388">
        <f t="shared" si="341"/>
        <v>12419.999999999998</v>
      </c>
    </row>
    <row r="141" spans="1:27" ht="18.95" customHeight="1">
      <c r="A141" s="347"/>
      <c r="B141" s="347"/>
      <c r="C141" s="382" t="s">
        <v>223</v>
      </c>
      <c r="D141" s="383">
        <f>SUM(D142:D143)</f>
        <v>0</v>
      </c>
      <c r="E141" s="383">
        <f>SUM(E142:E143)</f>
        <v>0</v>
      </c>
      <c r="F141" s="383">
        <f t="shared" ref="F141:G141" si="342">SUM(F142:F143)</f>
        <v>0</v>
      </c>
      <c r="G141" s="383">
        <f t="shared" si="342"/>
        <v>0</v>
      </c>
      <c r="H141" s="383">
        <f t="shared" ref="H141:K141" si="343">SUM(H142:H143)</f>
        <v>0</v>
      </c>
      <c r="I141" s="383">
        <f t="shared" si="343"/>
        <v>0</v>
      </c>
      <c r="J141" s="383">
        <f t="shared" si="343"/>
        <v>0</v>
      </c>
      <c r="K141" s="383">
        <f t="shared" si="343"/>
        <v>0</v>
      </c>
      <c r="L141" s="383">
        <f t="shared" ref="L141:O141" si="344">SUM(L142:L143)</f>
        <v>0</v>
      </c>
      <c r="M141" s="383">
        <f t="shared" si="344"/>
        <v>0</v>
      </c>
      <c r="N141" s="383">
        <f t="shared" si="344"/>
        <v>0</v>
      </c>
      <c r="O141" s="383">
        <f t="shared" si="344"/>
        <v>0</v>
      </c>
      <c r="P141" s="383">
        <f t="shared" ref="P141:S141" si="345">SUM(P142:P143)</f>
        <v>0</v>
      </c>
      <c r="Q141" s="383">
        <f t="shared" si="345"/>
        <v>0</v>
      </c>
      <c r="R141" s="383">
        <f t="shared" si="345"/>
        <v>0</v>
      </c>
      <c r="S141" s="383">
        <f t="shared" si="345"/>
        <v>0</v>
      </c>
      <c r="T141" s="383">
        <f t="shared" ref="T141:W141" si="346">SUM(T142:T143)</f>
        <v>0</v>
      </c>
      <c r="U141" s="383">
        <f t="shared" si="346"/>
        <v>0</v>
      </c>
      <c r="V141" s="383">
        <f t="shared" si="346"/>
        <v>0</v>
      </c>
      <c r="W141" s="383">
        <f t="shared" si="346"/>
        <v>0</v>
      </c>
      <c r="X141" s="383">
        <f t="shared" ref="X141:AA141" si="347">SUM(X142:X143)</f>
        <v>0</v>
      </c>
      <c r="Y141" s="383">
        <f t="shared" si="347"/>
        <v>0</v>
      </c>
      <c r="Z141" s="383">
        <f t="shared" si="347"/>
        <v>0</v>
      </c>
      <c r="AA141" s="383">
        <f t="shared" si="347"/>
        <v>0</v>
      </c>
    </row>
    <row r="142" spans="1:27" ht="18.95" customHeight="1">
      <c r="A142" s="347"/>
      <c r="B142" s="347"/>
      <c r="C142" s="384" t="s">
        <v>213</v>
      </c>
      <c r="D142" s="388">
        <f t="shared" ref="D142:G143" si="348">D99*D54</f>
        <v>0</v>
      </c>
      <c r="E142" s="388">
        <f t="shared" si="348"/>
        <v>0</v>
      </c>
      <c r="F142" s="388">
        <f t="shared" si="348"/>
        <v>0</v>
      </c>
      <c r="G142" s="388">
        <f t="shared" si="348"/>
        <v>0</v>
      </c>
      <c r="H142" s="388">
        <f>H51*H96</f>
        <v>0</v>
      </c>
      <c r="I142" s="388">
        <f t="shared" ref="I142:S143" si="349">I51*I96</f>
        <v>0</v>
      </c>
      <c r="J142" s="388">
        <f t="shared" si="349"/>
        <v>0</v>
      </c>
      <c r="K142" s="388">
        <f t="shared" si="349"/>
        <v>0</v>
      </c>
      <c r="L142" s="388">
        <f t="shared" si="349"/>
        <v>0</v>
      </c>
      <c r="M142" s="388">
        <f t="shared" si="349"/>
        <v>0</v>
      </c>
      <c r="N142" s="388">
        <f t="shared" si="349"/>
        <v>0</v>
      </c>
      <c r="O142" s="388">
        <f t="shared" si="349"/>
        <v>0</v>
      </c>
      <c r="P142" s="388">
        <f>P51*P96</f>
        <v>0</v>
      </c>
      <c r="Q142" s="388">
        <f t="shared" si="349"/>
        <v>0</v>
      </c>
      <c r="R142" s="388">
        <f t="shared" si="349"/>
        <v>0</v>
      </c>
      <c r="S142" s="388">
        <f t="shared" si="349"/>
        <v>0</v>
      </c>
      <c r="T142" s="388">
        <f t="shared" ref="T142:W142" si="350">T51*T96</f>
        <v>0</v>
      </c>
      <c r="U142" s="388">
        <f t="shared" si="350"/>
        <v>0</v>
      </c>
      <c r="V142" s="388">
        <f t="shared" si="350"/>
        <v>0</v>
      </c>
      <c r="W142" s="388">
        <f t="shared" si="350"/>
        <v>0</v>
      </c>
      <c r="X142" s="388">
        <f t="shared" ref="X142:AA142" si="351">X51*X96</f>
        <v>0</v>
      </c>
      <c r="Y142" s="388">
        <f t="shared" si="351"/>
        <v>0</v>
      </c>
      <c r="Z142" s="388">
        <f t="shared" si="351"/>
        <v>0</v>
      </c>
      <c r="AA142" s="388">
        <f t="shared" si="351"/>
        <v>0</v>
      </c>
    </row>
    <row r="143" spans="1:27" ht="18.95" customHeight="1">
      <c r="A143" s="347"/>
      <c r="B143" s="347"/>
      <c r="C143" s="384" t="s">
        <v>214</v>
      </c>
      <c r="D143" s="388">
        <f t="shared" si="348"/>
        <v>0</v>
      </c>
      <c r="E143" s="388">
        <f t="shared" si="348"/>
        <v>0</v>
      </c>
      <c r="F143" s="388">
        <f t="shared" si="348"/>
        <v>0</v>
      </c>
      <c r="G143" s="388">
        <f t="shared" si="348"/>
        <v>0</v>
      </c>
      <c r="H143" s="388">
        <f>H52*H97</f>
        <v>0</v>
      </c>
      <c r="I143" s="388">
        <f t="shared" si="349"/>
        <v>0</v>
      </c>
      <c r="J143" s="388">
        <f>J52*J97</f>
        <v>0</v>
      </c>
      <c r="K143" s="388">
        <f t="shared" si="349"/>
        <v>0</v>
      </c>
      <c r="L143" s="388">
        <f>L52*L97</f>
        <v>0</v>
      </c>
      <c r="M143" s="388">
        <f t="shared" si="349"/>
        <v>0</v>
      </c>
      <c r="N143" s="388">
        <f t="shared" si="349"/>
        <v>0</v>
      </c>
      <c r="O143" s="388">
        <f t="shared" si="349"/>
        <v>0</v>
      </c>
      <c r="P143" s="388">
        <f>P52*P97</f>
        <v>0</v>
      </c>
      <c r="Q143" s="388">
        <f t="shared" si="349"/>
        <v>0</v>
      </c>
      <c r="R143" s="388">
        <f t="shared" si="349"/>
        <v>0</v>
      </c>
      <c r="S143" s="388">
        <f t="shared" si="349"/>
        <v>0</v>
      </c>
      <c r="T143" s="388">
        <f t="shared" ref="T143:W143" si="352">T52*T97</f>
        <v>0</v>
      </c>
      <c r="U143" s="388">
        <f t="shared" si="352"/>
        <v>0</v>
      </c>
      <c r="V143" s="388">
        <f t="shared" si="352"/>
        <v>0</v>
      </c>
      <c r="W143" s="388">
        <f t="shared" si="352"/>
        <v>0</v>
      </c>
      <c r="X143" s="388">
        <f t="shared" ref="X143:AA143" si="353">X52*X97</f>
        <v>0</v>
      </c>
      <c r="Y143" s="388">
        <f t="shared" si="353"/>
        <v>0</v>
      </c>
      <c r="Z143" s="388">
        <f t="shared" si="353"/>
        <v>0</v>
      </c>
      <c r="AA143" s="388">
        <f t="shared" si="353"/>
        <v>0</v>
      </c>
    </row>
    <row r="144" spans="1:27" ht="18.95" customHeight="1">
      <c r="A144" s="347"/>
      <c r="B144" s="525" t="s">
        <v>224</v>
      </c>
      <c r="C144" s="525"/>
      <c r="D144" s="390">
        <f>D101+D105+D118+D132+D135+D136</f>
        <v>0</v>
      </c>
      <c r="E144" s="390">
        <f>E101+E105+E118+E132+E135+E136</f>
        <v>0</v>
      </c>
      <c r="F144" s="390">
        <f>F101+F105+F118+F132+F135+F136</f>
        <v>9500</v>
      </c>
      <c r="G144" s="390">
        <f>G101+G105+G118+G132+G135+G136</f>
        <v>28500</v>
      </c>
      <c r="H144" s="390">
        <f>H101+H105+H118+H132+H135+H136+H141+H129</f>
        <v>28500</v>
      </c>
      <c r="I144" s="390">
        <f t="shared" ref="I144:O144" si="354">I101+I105+I118+I132+I135+I136+I141+I129</f>
        <v>28500</v>
      </c>
      <c r="J144" s="390">
        <f t="shared" si="354"/>
        <v>190000</v>
      </c>
      <c r="K144" s="390">
        <f t="shared" si="354"/>
        <v>190000</v>
      </c>
      <c r="L144" s="390">
        <f>L101+L105+L118+L132+L135+L136+L141+L129</f>
        <v>244900</v>
      </c>
      <c r="M144" s="390">
        <f t="shared" si="354"/>
        <v>229375</v>
      </c>
      <c r="N144" s="390">
        <f t="shared" si="354"/>
        <v>259375</v>
      </c>
      <c r="O144" s="390">
        <f t="shared" si="354"/>
        <v>259375</v>
      </c>
      <c r="P144" s="390">
        <f>P101+P105+P118+P132+P135+P136+P141+P129</f>
        <v>304521.5</v>
      </c>
      <c r="Q144" s="390">
        <f t="shared" ref="Q144:S144" si="355">Q101+Q105+Q118+Q132+Q135+Q136+Q141+Q129</f>
        <v>304521.5</v>
      </c>
      <c r="R144" s="390">
        <f t="shared" si="355"/>
        <v>480007.25</v>
      </c>
      <c r="S144" s="390">
        <f t="shared" si="355"/>
        <v>525007.25</v>
      </c>
      <c r="T144" s="390">
        <f t="shared" ref="T144:W144" si="356">T101+T105+T118+T132+T135+T136+T141+T129</f>
        <v>668579.50499999989</v>
      </c>
      <c r="U144" s="390">
        <f t="shared" si="356"/>
        <v>667311.62999999989</v>
      </c>
      <c r="V144" s="390">
        <f t="shared" si="356"/>
        <v>787311.62999999989</v>
      </c>
      <c r="W144" s="390">
        <f t="shared" si="356"/>
        <v>787311.62999999989</v>
      </c>
      <c r="X144" s="390">
        <f t="shared" ref="X144:AA144" si="357">X101+X105+X118+X132+X135+X136+X141+X129</f>
        <v>787311.62999999989</v>
      </c>
      <c r="Y144" s="390">
        <f t="shared" si="357"/>
        <v>787311.62999999989</v>
      </c>
      <c r="Z144" s="390">
        <f t="shared" si="357"/>
        <v>787311.62999999989</v>
      </c>
      <c r="AA144" s="390">
        <f t="shared" si="357"/>
        <v>787311.62999999989</v>
      </c>
    </row>
    <row r="146" spans="2:27" ht="18.95" customHeight="1">
      <c r="B146" s="380" t="s">
        <v>225</v>
      </c>
      <c r="C146" s="381"/>
      <c r="D146" s="391">
        <f>SUM(D147:D156)</f>
        <v>0</v>
      </c>
      <c r="E146" s="391">
        <f t="shared" ref="E146:AA146" si="358">SUM(E147:E156)</f>
        <v>0</v>
      </c>
      <c r="F146" s="391">
        <f t="shared" si="358"/>
        <v>0</v>
      </c>
      <c r="G146" s="391">
        <f t="shared" si="358"/>
        <v>0</v>
      </c>
      <c r="H146" s="391">
        <f t="shared" si="358"/>
        <v>0</v>
      </c>
      <c r="I146" s="391">
        <f t="shared" si="358"/>
        <v>0</v>
      </c>
      <c r="J146" s="391">
        <f t="shared" si="358"/>
        <v>32601.5625</v>
      </c>
      <c r="K146" s="391">
        <f t="shared" si="358"/>
        <v>32601.5625</v>
      </c>
      <c r="L146" s="391">
        <f t="shared" si="358"/>
        <v>13198.125</v>
      </c>
      <c r="M146" s="391">
        <f t="shared" si="358"/>
        <v>13198.125</v>
      </c>
      <c r="N146" s="391">
        <f t="shared" si="358"/>
        <v>13198.125</v>
      </c>
      <c r="O146" s="391">
        <f t="shared" si="358"/>
        <v>13198.125</v>
      </c>
      <c r="P146" s="391">
        <f t="shared" si="358"/>
        <v>13361.137500000001</v>
      </c>
      <c r="Q146" s="391">
        <f t="shared" si="358"/>
        <v>13361.137500000001</v>
      </c>
      <c r="R146" s="391">
        <f t="shared" si="358"/>
        <v>13361.137500000001</v>
      </c>
      <c r="S146" s="391">
        <f t="shared" si="358"/>
        <v>13361.137500000001</v>
      </c>
      <c r="T146" s="391">
        <f t="shared" si="358"/>
        <v>8540.625</v>
      </c>
      <c r="U146" s="391">
        <f t="shared" si="358"/>
        <v>8540.625</v>
      </c>
      <c r="V146" s="391">
        <f t="shared" si="358"/>
        <v>8540.625</v>
      </c>
      <c r="W146" s="391">
        <f t="shared" si="358"/>
        <v>8540.625</v>
      </c>
      <c r="X146" s="391">
        <f t="shared" si="358"/>
        <v>8540.625</v>
      </c>
      <c r="Y146" s="391">
        <f t="shared" si="358"/>
        <v>8540.625</v>
      </c>
      <c r="Z146" s="391">
        <f t="shared" si="358"/>
        <v>8540.625</v>
      </c>
      <c r="AA146" s="391">
        <f t="shared" si="358"/>
        <v>8540.625</v>
      </c>
    </row>
    <row r="147" spans="2:27" ht="18.95" customHeight="1">
      <c r="B147" s="349"/>
      <c r="C147" s="392" t="s">
        <v>226</v>
      </c>
      <c r="D147" s="388">
        <v>0</v>
      </c>
      <c r="E147" s="388">
        <v>0</v>
      </c>
      <c r="F147" s="388">
        <v>0</v>
      </c>
      <c r="G147" s="388">
        <f>F147</f>
        <v>0</v>
      </c>
      <c r="H147" s="388">
        <f>G147</f>
        <v>0</v>
      </c>
      <c r="I147" s="388">
        <f>H147</f>
        <v>0</v>
      </c>
      <c r="J147" s="388">
        <f t="shared" ref="J147:K147" si="359">I147</f>
        <v>0</v>
      </c>
      <c r="K147" s="388">
        <f t="shared" si="359"/>
        <v>0</v>
      </c>
      <c r="L147" s="388">
        <f>K147</f>
        <v>0</v>
      </c>
      <c r="M147" s="388">
        <f>L147</f>
        <v>0</v>
      </c>
      <c r="N147" s="388">
        <v>0</v>
      </c>
      <c r="O147" s="388">
        <v>0</v>
      </c>
      <c r="P147" s="388">
        <v>0</v>
      </c>
      <c r="Q147" s="388">
        <v>0</v>
      </c>
      <c r="R147" s="388">
        <v>0</v>
      </c>
      <c r="S147" s="388">
        <v>0</v>
      </c>
      <c r="T147" s="388">
        <v>0</v>
      </c>
      <c r="U147" s="388">
        <v>0</v>
      </c>
      <c r="V147" s="388">
        <v>0</v>
      </c>
      <c r="W147" s="388">
        <v>0</v>
      </c>
      <c r="X147" s="388">
        <v>0</v>
      </c>
      <c r="Y147" s="388">
        <v>0</v>
      </c>
      <c r="Z147" s="388">
        <v>0</v>
      </c>
      <c r="AA147" s="388">
        <v>0</v>
      </c>
    </row>
    <row r="148" spans="2:27" ht="18.95" customHeight="1">
      <c r="B148" s="349"/>
      <c r="C148" s="392" t="s">
        <v>227</v>
      </c>
      <c r="D148" s="388">
        <v>0</v>
      </c>
      <c r="E148" s="388">
        <v>0</v>
      </c>
      <c r="F148" s="388">
        <v>0</v>
      </c>
      <c r="G148" s="388">
        <v>0</v>
      </c>
      <c r="H148" s="388">
        <v>0</v>
      </c>
      <c r="I148" s="388">
        <f>H148</f>
        <v>0</v>
      </c>
      <c r="J148" s="388">
        <f>I148</f>
        <v>0</v>
      </c>
      <c r="K148" s="388">
        <f>J148</f>
        <v>0</v>
      </c>
      <c r="L148" s="388">
        <f>K148</f>
        <v>0</v>
      </c>
      <c r="M148" s="388">
        <f>L148</f>
        <v>0</v>
      </c>
      <c r="N148" s="388">
        <f t="shared" ref="N148:O148" si="360">M148</f>
        <v>0</v>
      </c>
      <c r="O148" s="388">
        <f t="shared" si="360"/>
        <v>0</v>
      </c>
      <c r="P148" s="388">
        <f>O148</f>
        <v>0</v>
      </c>
      <c r="Q148" s="388">
        <f t="shared" ref="Q148:S148" si="361">P148</f>
        <v>0</v>
      </c>
      <c r="R148" s="388">
        <f t="shared" si="361"/>
        <v>0</v>
      </c>
      <c r="S148" s="388">
        <f t="shared" si="361"/>
        <v>0</v>
      </c>
      <c r="T148" s="388">
        <f t="shared" ref="T148" si="362">S148</f>
        <v>0</v>
      </c>
      <c r="U148" s="388">
        <f t="shared" ref="U148" si="363">T148</f>
        <v>0</v>
      </c>
      <c r="V148" s="388">
        <f t="shared" ref="V148" si="364">U148</f>
        <v>0</v>
      </c>
      <c r="W148" s="388">
        <f t="shared" ref="W148" si="365">V148</f>
        <v>0</v>
      </c>
      <c r="X148" s="388">
        <f t="shared" ref="X148" si="366">W148</f>
        <v>0</v>
      </c>
      <c r="Y148" s="388">
        <f t="shared" ref="Y148" si="367">X148</f>
        <v>0</v>
      </c>
      <c r="Z148" s="388">
        <f t="shared" ref="Z148" si="368">Y148</f>
        <v>0</v>
      </c>
      <c r="AA148" s="388">
        <f t="shared" ref="AA148" si="369">Z148</f>
        <v>0</v>
      </c>
    </row>
    <row r="149" spans="2:27" ht="18.95" customHeight="1">
      <c r="C149" s="384" t="s">
        <v>228</v>
      </c>
      <c r="D149" s="388">
        <v>0</v>
      </c>
      <c r="E149" s="388">
        <v>0</v>
      </c>
      <c r="F149" s="388">
        <v>0</v>
      </c>
      <c r="G149" s="388">
        <v>0</v>
      </c>
      <c r="H149" s="388">
        <v>0</v>
      </c>
      <c r="I149" s="388">
        <v>0</v>
      </c>
      <c r="J149" s="388">
        <v>0</v>
      </c>
      <c r="K149" s="388">
        <v>0</v>
      </c>
      <c r="L149" s="388">
        <v>0</v>
      </c>
      <c r="M149" s="388">
        <v>0</v>
      </c>
      <c r="N149" s="388">
        <v>0</v>
      </c>
      <c r="O149" s="388">
        <v>0</v>
      </c>
      <c r="P149" s="388">
        <v>0</v>
      </c>
      <c r="Q149" s="388">
        <v>0</v>
      </c>
      <c r="R149" s="388">
        <v>0</v>
      </c>
      <c r="S149" s="388">
        <v>0</v>
      </c>
      <c r="T149" s="388">
        <v>0</v>
      </c>
      <c r="U149" s="388">
        <v>0</v>
      </c>
      <c r="V149" s="388">
        <v>0</v>
      </c>
      <c r="W149" s="388">
        <v>0</v>
      </c>
      <c r="X149" s="388">
        <v>0</v>
      </c>
      <c r="Y149" s="388">
        <v>0</v>
      </c>
      <c r="Z149" s="388">
        <v>0</v>
      </c>
      <c r="AA149" s="388">
        <v>0</v>
      </c>
    </row>
    <row r="150" spans="2:27" ht="18.95" customHeight="1">
      <c r="C150" s="384" t="s">
        <v>229</v>
      </c>
      <c r="D150" s="388">
        <v>0</v>
      </c>
      <c r="E150" s="388">
        <v>0</v>
      </c>
      <c r="F150" s="388">
        <v>0</v>
      </c>
      <c r="G150" s="388">
        <v>0</v>
      </c>
      <c r="H150" s="388">
        <v>0</v>
      </c>
      <c r="I150" s="388">
        <v>0</v>
      </c>
      <c r="J150" s="388">
        <v>0</v>
      </c>
      <c r="K150" s="388">
        <v>0</v>
      </c>
      <c r="L150" s="388">
        <v>0</v>
      </c>
      <c r="M150" s="388">
        <v>0</v>
      </c>
      <c r="N150" s="388">
        <v>0</v>
      </c>
      <c r="O150" s="388">
        <v>0</v>
      </c>
      <c r="P150" s="388">
        <v>0</v>
      </c>
      <c r="Q150" s="388">
        <v>0</v>
      </c>
      <c r="R150" s="388">
        <v>0</v>
      </c>
      <c r="S150" s="388">
        <v>0</v>
      </c>
      <c r="T150" s="388">
        <v>0</v>
      </c>
      <c r="U150" s="388">
        <v>0</v>
      </c>
      <c r="V150" s="388">
        <v>0</v>
      </c>
      <c r="W150" s="388">
        <v>0</v>
      </c>
      <c r="X150" s="388">
        <v>0</v>
      </c>
      <c r="Y150" s="388">
        <v>0</v>
      </c>
      <c r="Z150" s="388">
        <v>0</v>
      </c>
      <c r="AA150" s="388">
        <v>0</v>
      </c>
    </row>
    <row r="151" spans="2:27" ht="18.95" customHeight="1">
      <c r="C151" s="384" t="s">
        <v>230</v>
      </c>
      <c r="D151" s="388">
        <v>0</v>
      </c>
      <c r="E151" s="388">
        <v>0</v>
      </c>
      <c r="F151" s="388">
        <v>0</v>
      </c>
      <c r="G151" s="388">
        <v>0</v>
      </c>
      <c r="H151" s="388">
        <v>0</v>
      </c>
      <c r="I151" s="388">
        <v>0</v>
      </c>
      <c r="J151" s="388">
        <v>0</v>
      </c>
      <c r="K151" s="388">
        <v>0</v>
      </c>
      <c r="L151" s="388">
        <v>0</v>
      </c>
      <c r="M151" s="388">
        <v>0</v>
      </c>
      <c r="N151" s="388">
        <v>0</v>
      </c>
      <c r="O151" s="388">
        <v>0</v>
      </c>
      <c r="P151" s="388">
        <v>0</v>
      </c>
      <c r="Q151" s="388">
        <v>0</v>
      </c>
      <c r="R151" s="388">
        <v>0</v>
      </c>
      <c r="S151" s="388">
        <v>0</v>
      </c>
      <c r="T151" s="388">
        <v>0</v>
      </c>
      <c r="U151" s="388">
        <v>0</v>
      </c>
      <c r="V151" s="388">
        <v>0</v>
      </c>
      <c r="W151" s="388">
        <v>0</v>
      </c>
      <c r="X151" s="388">
        <v>0</v>
      </c>
      <c r="Y151" s="388">
        <v>0</v>
      </c>
      <c r="Z151" s="388">
        <v>0</v>
      </c>
      <c r="AA151" s="388">
        <v>0</v>
      </c>
    </row>
    <row r="152" spans="2:27" ht="18.95" customHeight="1">
      <c r="C152" s="384" t="s">
        <v>231</v>
      </c>
      <c r="D152" s="393">
        <f>'AI Training Costs'!G104</f>
        <v>0</v>
      </c>
      <c r="E152" s="393">
        <f>'AI Training Costs'!H104</f>
        <v>0</v>
      </c>
      <c r="F152" s="393">
        <f>'AI Training Costs'!I104</f>
        <v>0</v>
      </c>
      <c r="G152" s="393">
        <f>'AI Training Costs'!J104</f>
        <v>0</v>
      </c>
      <c r="H152" s="393">
        <f>'AI Training Costs'!L104</f>
        <v>0</v>
      </c>
      <c r="I152" s="393">
        <f>'AI Training Costs'!M104</f>
        <v>0</v>
      </c>
      <c r="J152" s="393">
        <f>'AI Training Costs'!N104</f>
        <v>11250</v>
      </c>
      <c r="K152" s="393">
        <f>'AI Training Costs'!O104</f>
        <v>11250</v>
      </c>
      <c r="L152" s="357">
        <f>'AI Training Costs'!Q104</f>
        <v>4657.4999999999991</v>
      </c>
      <c r="M152" s="393">
        <f>'AI Training Costs'!R104</f>
        <v>4657.4999999999991</v>
      </c>
      <c r="N152" s="393">
        <f>'AI Training Costs'!S104</f>
        <v>4657.4999999999991</v>
      </c>
      <c r="O152" s="393">
        <f>'AI Training Costs'!T104</f>
        <v>4657.4999999999991</v>
      </c>
      <c r="P152" s="357">
        <f>'AI Training Costs'!V104</f>
        <v>4820.5124999999998</v>
      </c>
      <c r="Q152" s="393">
        <f>'AI Training Costs'!W104</f>
        <v>4820.5124999999998</v>
      </c>
      <c r="R152" s="393">
        <f>'AI Training Costs'!X104</f>
        <v>4820.5124999999998</v>
      </c>
      <c r="S152" s="393">
        <f>'AI Training Costs'!Y104</f>
        <v>4820.5124999999998</v>
      </c>
      <c r="T152" s="357">
        <f>'AI Training Costs'!AA104</f>
        <v>0</v>
      </c>
      <c r="U152" s="393">
        <f>'AI Training Costs'!AB104</f>
        <v>0</v>
      </c>
      <c r="V152" s="393">
        <f>'AI Training Costs'!AC104</f>
        <v>0</v>
      </c>
      <c r="W152" s="393">
        <f>'AI Training Costs'!AD104</f>
        <v>0</v>
      </c>
      <c r="X152" s="393">
        <f>'AI Training Costs'!AF104</f>
        <v>0</v>
      </c>
      <c r="Y152" s="393">
        <f>'AI Training Costs'!AG104</f>
        <v>0</v>
      </c>
      <c r="Z152" s="393">
        <f>'AI Training Costs'!AH104</f>
        <v>0</v>
      </c>
      <c r="AA152" s="393">
        <f>'AI Training Costs'!AI104</f>
        <v>0</v>
      </c>
    </row>
    <row r="153" spans="2:27" ht="18.95" customHeight="1">
      <c r="C153" s="384" t="s">
        <v>231</v>
      </c>
      <c r="D153" s="393">
        <f>'AI Training Costs'!G105</f>
        <v>0</v>
      </c>
      <c r="E153" s="393">
        <f>'AI Training Costs'!H105</f>
        <v>0</v>
      </c>
      <c r="F153" s="393">
        <f>'AI Training Costs'!I105</f>
        <v>0</v>
      </c>
      <c r="G153" s="393">
        <f>'AI Training Costs'!J105</f>
        <v>0</v>
      </c>
      <c r="H153" s="393">
        <f>'AI Training Costs'!L105</f>
        <v>0</v>
      </c>
      <c r="I153" s="393">
        <f>'AI Training Costs'!M105</f>
        <v>0</v>
      </c>
      <c r="J153" s="393">
        <f>'AI Training Costs'!N105</f>
        <v>2250</v>
      </c>
      <c r="K153" s="393">
        <f>'AI Training Costs'!O105</f>
        <v>2250</v>
      </c>
      <c r="L153" s="357">
        <f>'AI Training Costs'!Q105</f>
        <v>900</v>
      </c>
      <c r="M153" s="393">
        <f>'AI Training Costs'!R105</f>
        <v>900</v>
      </c>
      <c r="N153" s="393">
        <f>'AI Training Costs'!S105</f>
        <v>900</v>
      </c>
      <c r="O153" s="393">
        <f>'AI Training Costs'!T105</f>
        <v>900</v>
      </c>
      <c r="P153" s="357">
        <f>'AI Training Costs'!V105</f>
        <v>900</v>
      </c>
      <c r="Q153" s="393">
        <f>'AI Training Costs'!W105</f>
        <v>900</v>
      </c>
      <c r="R153" s="393">
        <f>'AI Training Costs'!X105</f>
        <v>900</v>
      </c>
      <c r="S153" s="393">
        <f>'AI Training Costs'!Y105</f>
        <v>900</v>
      </c>
      <c r="T153" s="357">
        <f>'AI Training Costs'!AA105</f>
        <v>900</v>
      </c>
      <c r="U153" s="393">
        <f>'AI Training Costs'!AB105</f>
        <v>900</v>
      </c>
      <c r="V153" s="393">
        <f>'AI Training Costs'!AC105</f>
        <v>900</v>
      </c>
      <c r="W153" s="393">
        <f>'AI Training Costs'!AD105</f>
        <v>900</v>
      </c>
      <c r="X153" s="393">
        <f>'AI Training Costs'!AF105</f>
        <v>900</v>
      </c>
      <c r="Y153" s="393">
        <f>'AI Training Costs'!AG105</f>
        <v>900</v>
      </c>
      <c r="Z153" s="393">
        <f>'AI Training Costs'!AH105</f>
        <v>900</v>
      </c>
      <c r="AA153" s="393">
        <f>'AI Training Costs'!AI105</f>
        <v>900</v>
      </c>
    </row>
    <row r="154" spans="2:27" ht="18.95" customHeight="1">
      <c r="C154" s="384" t="s">
        <v>231</v>
      </c>
      <c r="D154" s="393">
        <f>'AI Training Costs'!G106</f>
        <v>0</v>
      </c>
      <c r="E154" s="393">
        <f>'AI Training Costs'!H106</f>
        <v>0</v>
      </c>
      <c r="F154" s="393">
        <f>'AI Training Costs'!I106</f>
        <v>0</v>
      </c>
      <c r="G154" s="393">
        <f>'AI Training Costs'!J106</f>
        <v>0</v>
      </c>
      <c r="H154" s="393">
        <f>'AI Training Costs'!L106</f>
        <v>0</v>
      </c>
      <c r="I154" s="393">
        <f>'AI Training Costs'!M106</f>
        <v>0</v>
      </c>
      <c r="J154" s="393">
        <f>'AI Training Costs'!N106</f>
        <v>7500</v>
      </c>
      <c r="K154" s="393">
        <f>'AI Training Costs'!O106</f>
        <v>7500</v>
      </c>
      <c r="L154" s="357">
        <f>'AI Training Costs'!Q106</f>
        <v>3000.0000000000005</v>
      </c>
      <c r="M154" s="393">
        <f>'AI Training Costs'!R106</f>
        <v>3000.0000000000005</v>
      </c>
      <c r="N154" s="393">
        <f>'AI Training Costs'!S106</f>
        <v>3000.0000000000005</v>
      </c>
      <c r="O154" s="393">
        <f>'AI Training Costs'!T106</f>
        <v>3000.0000000000005</v>
      </c>
      <c r="P154" s="357">
        <f>'AI Training Costs'!V106</f>
        <v>3000.0000000000005</v>
      </c>
      <c r="Q154" s="393">
        <f>'AI Training Costs'!W106</f>
        <v>3000.0000000000005</v>
      </c>
      <c r="R154" s="393">
        <f>'AI Training Costs'!X106</f>
        <v>3000.0000000000005</v>
      </c>
      <c r="S154" s="393">
        <f>'AI Training Costs'!Y106</f>
        <v>3000.0000000000005</v>
      </c>
      <c r="T154" s="357">
        <f>'AI Training Costs'!AA106</f>
        <v>3000.0000000000005</v>
      </c>
      <c r="U154" s="393">
        <f>'AI Training Costs'!AB106</f>
        <v>3000.0000000000005</v>
      </c>
      <c r="V154" s="393">
        <f>'AI Training Costs'!AC106</f>
        <v>3000.0000000000005</v>
      </c>
      <c r="W154" s="393">
        <f>'AI Training Costs'!AD106</f>
        <v>3000.0000000000005</v>
      </c>
      <c r="X154" s="393">
        <f>'AI Training Costs'!AF106</f>
        <v>3000.0000000000005</v>
      </c>
      <c r="Y154" s="393">
        <f>'AI Training Costs'!AG106</f>
        <v>3000.0000000000005</v>
      </c>
      <c r="Z154" s="393">
        <f>'AI Training Costs'!AH106</f>
        <v>3000.0000000000005</v>
      </c>
      <c r="AA154" s="393">
        <f>'AI Training Costs'!AI106</f>
        <v>3000.0000000000005</v>
      </c>
    </row>
    <row r="155" spans="2:27" ht="18.95" customHeight="1">
      <c r="C155" s="384" t="s">
        <v>231</v>
      </c>
      <c r="D155" s="393">
        <f>'AI Training Costs'!G107</f>
        <v>0</v>
      </c>
      <c r="E155" s="393">
        <f>'AI Training Costs'!H107</f>
        <v>0</v>
      </c>
      <c r="F155" s="393">
        <f>'AI Training Costs'!I107</f>
        <v>0</v>
      </c>
      <c r="G155" s="393">
        <f>'AI Training Costs'!J107</f>
        <v>0</v>
      </c>
      <c r="H155" s="393">
        <f>'AI Training Costs'!L107</f>
        <v>0</v>
      </c>
      <c r="I155" s="393">
        <f>'AI Training Costs'!M107</f>
        <v>0</v>
      </c>
      <c r="J155" s="393">
        <f>'AI Training Costs'!N107</f>
        <v>351.5625</v>
      </c>
      <c r="K155" s="393">
        <f>'AI Training Costs'!O107</f>
        <v>351.5625</v>
      </c>
      <c r="L155" s="357">
        <f>'AI Training Costs'!Q107</f>
        <v>140.625</v>
      </c>
      <c r="M155" s="393">
        <f>'AI Training Costs'!R107</f>
        <v>140.625</v>
      </c>
      <c r="N155" s="393">
        <f>'AI Training Costs'!S107</f>
        <v>140.625</v>
      </c>
      <c r="O155" s="393">
        <f>'AI Training Costs'!T107</f>
        <v>140.625</v>
      </c>
      <c r="P155" s="357">
        <f>'AI Training Costs'!V107</f>
        <v>140.625</v>
      </c>
      <c r="Q155" s="393">
        <f>'AI Training Costs'!W107</f>
        <v>140.625</v>
      </c>
      <c r="R155" s="393">
        <f>'AI Training Costs'!X107</f>
        <v>140.625</v>
      </c>
      <c r="S155" s="393">
        <f>'AI Training Costs'!Y107</f>
        <v>140.625</v>
      </c>
      <c r="T155" s="357">
        <f>'AI Training Costs'!AA107</f>
        <v>140.625</v>
      </c>
      <c r="U155" s="393">
        <f>'AI Training Costs'!AB107</f>
        <v>140.625</v>
      </c>
      <c r="V155" s="393">
        <f>'AI Training Costs'!AC107</f>
        <v>140.625</v>
      </c>
      <c r="W155" s="393">
        <f>'AI Training Costs'!AD107</f>
        <v>140.625</v>
      </c>
      <c r="X155" s="393">
        <f>'AI Training Costs'!AF107</f>
        <v>140.625</v>
      </c>
      <c r="Y155" s="393">
        <f>'AI Training Costs'!AG107</f>
        <v>140.625</v>
      </c>
      <c r="Z155" s="393">
        <f>'AI Training Costs'!AH107</f>
        <v>140.625</v>
      </c>
      <c r="AA155" s="393">
        <f>'AI Training Costs'!AI107</f>
        <v>140.625</v>
      </c>
    </row>
    <row r="156" spans="2:27" ht="18.95" customHeight="1">
      <c r="C156" s="384" t="s">
        <v>231</v>
      </c>
      <c r="D156" s="393">
        <f>'AI Training Costs'!G108</f>
        <v>0</v>
      </c>
      <c r="E156" s="393">
        <f>'AI Training Costs'!H108</f>
        <v>0</v>
      </c>
      <c r="F156" s="393">
        <f>'AI Training Costs'!I108</f>
        <v>0</v>
      </c>
      <c r="G156" s="393">
        <f>'AI Training Costs'!J108</f>
        <v>0</v>
      </c>
      <c r="H156" s="393">
        <f>'AI Training Costs'!L108</f>
        <v>0</v>
      </c>
      <c r="I156" s="393">
        <f>'AI Training Costs'!M108</f>
        <v>0</v>
      </c>
      <c r="J156" s="393">
        <f>'AI Training Costs'!N108</f>
        <v>11250</v>
      </c>
      <c r="K156" s="393">
        <f>'AI Training Costs'!O108</f>
        <v>11250</v>
      </c>
      <c r="L156" s="357">
        <f>'AI Training Costs'!Q108</f>
        <v>4500</v>
      </c>
      <c r="M156" s="393">
        <f>'AI Training Costs'!R108</f>
        <v>4500</v>
      </c>
      <c r="N156" s="393">
        <f>'AI Training Costs'!S108</f>
        <v>4500</v>
      </c>
      <c r="O156" s="393">
        <f>'AI Training Costs'!T108</f>
        <v>4500</v>
      </c>
      <c r="P156" s="357">
        <f>'AI Training Costs'!V108</f>
        <v>4500</v>
      </c>
      <c r="Q156" s="393">
        <f>'AI Training Costs'!W108</f>
        <v>4500</v>
      </c>
      <c r="R156" s="393">
        <f>'AI Training Costs'!X108</f>
        <v>4500</v>
      </c>
      <c r="S156" s="393">
        <f>'AI Training Costs'!Y108</f>
        <v>4500</v>
      </c>
      <c r="T156" s="357">
        <f>'AI Training Costs'!AA108</f>
        <v>4500</v>
      </c>
      <c r="U156" s="393">
        <f>'AI Training Costs'!AB108</f>
        <v>4500</v>
      </c>
      <c r="V156" s="393">
        <f>'AI Training Costs'!AC108</f>
        <v>4500</v>
      </c>
      <c r="W156" s="393">
        <f>'AI Training Costs'!AD108</f>
        <v>4500</v>
      </c>
      <c r="X156" s="393">
        <f>'AI Training Costs'!AF108</f>
        <v>4500</v>
      </c>
      <c r="Y156" s="393">
        <f>'AI Training Costs'!AG108</f>
        <v>4500</v>
      </c>
      <c r="Z156" s="393">
        <f>'AI Training Costs'!AH108</f>
        <v>4500</v>
      </c>
      <c r="AA156" s="393">
        <f>'AI Training Costs'!AI108</f>
        <v>4500</v>
      </c>
    </row>
  </sheetData>
  <sheetProtection algorithmName="SHA-512" hashValue="VHCUi+So+Lb2L/TSA4EmppgMYuU5jqjfDYN1FoGwL4c69NMdltY2iAvFtX02Yk4Lu2NKHMqSVj3KRgVeqMiyQA==" saltValue="d4TvKoMPXcCdz5D9bwNwXA==" spinCount="100000" sheet="1" objects="1" scenarios="1"/>
  <mergeCells count="1">
    <mergeCell ref="B144:C144"/>
  </mergeCells>
  <conditionalFormatting sqref="A1:XFD1048576">
    <cfRule type="cellIs" dxfId="12" priority="1" operator="equal">
      <formula>0</formula>
    </cfRule>
  </conditionalFormatting>
  <pageMargins left="0.75" right="0.75" top="1" bottom="1" header="0.5" footer="0.5"/>
  <pageSetup paperSize="9" orientation="portrait" horizontalDpi="4294967292" verticalDpi="4294967292" r:id="rId1"/>
  <ignoredErrors>
    <ignoredError sqref="L15:T15 P10 T8:T10 G107:I107 O83:W83 O97:W98 N95:W96 L30:T33 L27:M27 O27 L38:T38 Q27:R27 P28:T28 L34:Q35 S35:T35 L41:T41 L39 N39:R39 L45:T45 L42:Q42 S42:T42 L43:O43 Q43 L47:T47 L46:Q46 S46:T46 S23 L26:T26 L25:O25 T27 L37:M37 O37 L40:O40 S40 Q40 O29:T29 O92:W94 O91:Q91 S91:W91 Q37:T37 L49:T52 L48:M48 O48:T48 L12:T13 L44:P44 R44:T44 T39 T36 T34 O86:W86 O84:S84 W84 O85 Q85:S85 U85:W85 O89:W90 O87:Q87 W87 O88 U88:W88" formula="1"/>
    <ignoredError sqref="D86:M94 D98:M98 D95:E96 D97:H97 K97:M97" formulaRange="1"/>
    <ignoredError sqref="D128:W128 D137:W142 D133:W135 D130:G131 D129:I129 I130:W131 D145:W145 E144:G144 I144:W144 D147:W151 D143:I143 K143:W143" emptyCellReference="1"/>
    <ignoredError sqref="D136:W136 D132:W132 J129:W129 H130:H131" formula="1" emptyCellReference="1"/>
    <ignoredError sqref="F95:M95 F96:H96 K96:M96" formula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00B050"/>
  </sheetPr>
  <dimension ref="B1:AH14"/>
  <sheetViews>
    <sheetView showGridLines="0" zoomScale="90" zoomScaleNormal="90" zoomScalePageLayoutView="90" workbookViewId="0">
      <selection activeCell="B1" sqref="B1"/>
    </sheetView>
  </sheetViews>
  <sheetFormatPr defaultColWidth="12.28515625" defaultRowHeight="24" customHeight="1" outlineLevelCol="1"/>
  <cols>
    <col min="1" max="1" width="2.7109375" style="229" customWidth="1"/>
    <col min="2" max="2" width="2.28515625" style="229" customWidth="1"/>
    <col min="3" max="3" width="2" style="229" customWidth="1"/>
    <col min="4" max="4" width="26.42578125" style="229" customWidth="1"/>
    <col min="5" max="8" width="13" style="300" hidden="1" customWidth="1" outlineLevel="1"/>
    <col min="9" max="9" width="13" style="300" customWidth="1" collapsed="1"/>
    <col min="10" max="13" width="13" style="300" hidden="1" customWidth="1" outlineLevel="1"/>
    <col min="14" max="14" width="13" style="300" customWidth="1" collapsed="1"/>
    <col min="15" max="16" width="13" style="300" hidden="1" customWidth="1" outlineLevel="1"/>
    <col min="17" max="18" width="13" style="240" hidden="1" customWidth="1" outlineLevel="1"/>
    <col min="19" max="19" width="13" style="240" customWidth="1" collapsed="1"/>
    <col min="20" max="23" width="13" style="229" hidden="1" customWidth="1" outlineLevel="1"/>
    <col min="24" max="24" width="13" style="229" customWidth="1" collapsed="1"/>
    <col min="25" max="28" width="13" style="229" hidden="1" customWidth="1" outlineLevel="1"/>
    <col min="29" max="29" width="13" style="229" customWidth="1" collapsed="1"/>
    <col min="30" max="30" width="14.7109375" style="229" hidden="1" customWidth="1" outlineLevel="1"/>
    <col min="31" max="33" width="0" style="229" hidden="1" customWidth="1" outlineLevel="1"/>
    <col min="34" max="34" width="15.85546875" style="229" customWidth="1" collapsed="1"/>
    <col min="35" max="16384" width="12.28515625" style="229"/>
  </cols>
  <sheetData>
    <row r="1" spans="2:34" ht="18" customHeight="1"/>
    <row r="2" spans="2:34" ht="24" customHeight="1">
      <c r="B2" s="526" t="s">
        <v>232</v>
      </c>
      <c r="C2" s="527"/>
      <c r="D2" s="527"/>
      <c r="E2" s="394" t="s">
        <v>53</v>
      </c>
      <c r="F2" s="394" t="s">
        <v>54</v>
      </c>
      <c r="G2" s="394" t="s">
        <v>55</v>
      </c>
      <c r="H2" s="394" t="s">
        <v>56</v>
      </c>
      <c r="I2" s="395">
        <v>2017</v>
      </c>
      <c r="J2" s="394" t="s">
        <v>57</v>
      </c>
      <c r="K2" s="394" t="s">
        <v>58</v>
      </c>
      <c r="L2" s="394" t="s">
        <v>59</v>
      </c>
      <c r="M2" s="394" t="s">
        <v>60</v>
      </c>
      <c r="N2" s="395">
        <v>2018</v>
      </c>
      <c r="O2" s="394" t="s">
        <v>61</v>
      </c>
      <c r="P2" s="394" t="s">
        <v>62</v>
      </c>
      <c r="Q2" s="394" t="s">
        <v>63</v>
      </c>
      <c r="R2" s="394" t="s">
        <v>64</v>
      </c>
      <c r="S2" s="395">
        <v>2019</v>
      </c>
      <c r="T2" s="394" t="s">
        <v>65</v>
      </c>
      <c r="U2" s="394" t="s">
        <v>66</v>
      </c>
      <c r="V2" s="394" t="s">
        <v>67</v>
      </c>
      <c r="W2" s="394" t="s">
        <v>68</v>
      </c>
      <c r="X2" s="395">
        <v>2020</v>
      </c>
      <c r="Y2" s="396" t="s">
        <v>69</v>
      </c>
      <c r="Z2" s="394" t="s">
        <v>70</v>
      </c>
      <c r="AA2" s="394" t="s">
        <v>71</v>
      </c>
      <c r="AB2" s="394" t="s">
        <v>72</v>
      </c>
      <c r="AC2" s="395">
        <v>2021</v>
      </c>
      <c r="AD2" s="198" t="s">
        <v>73</v>
      </c>
      <c r="AE2" s="198" t="s">
        <v>74</v>
      </c>
      <c r="AF2" s="198" t="s">
        <v>75</v>
      </c>
      <c r="AG2" s="198" t="s">
        <v>76</v>
      </c>
      <c r="AH2" s="397">
        <v>2022</v>
      </c>
    </row>
    <row r="3" spans="2:34" s="234" customFormat="1" ht="24" customHeight="1">
      <c r="B3" s="336" t="s">
        <v>233</v>
      </c>
      <c r="E3" s="171">
        <f>E4</f>
        <v>0</v>
      </c>
      <c r="F3" s="171">
        <f t="shared" ref="F3:AG3" si="0">F4</f>
        <v>0</v>
      </c>
      <c r="G3" s="171">
        <f t="shared" si="0"/>
        <v>0</v>
      </c>
      <c r="H3" s="171">
        <f t="shared" si="0"/>
        <v>0</v>
      </c>
      <c r="I3" s="171">
        <f t="shared" si="0"/>
        <v>0</v>
      </c>
      <c r="J3" s="171">
        <f t="shared" si="0"/>
        <v>0</v>
      </c>
      <c r="K3" s="171">
        <f t="shared" si="0"/>
        <v>0</v>
      </c>
      <c r="L3" s="171">
        <f t="shared" si="0"/>
        <v>0</v>
      </c>
      <c r="M3" s="171">
        <f t="shared" si="0"/>
        <v>0</v>
      </c>
      <c r="N3" s="398">
        <f t="shared" si="0"/>
        <v>0</v>
      </c>
      <c r="O3" s="171">
        <f t="shared" si="0"/>
        <v>128907.18</v>
      </c>
      <c r="P3" s="171">
        <f t="shared" si="0"/>
        <v>234368.49</v>
      </c>
      <c r="Q3" s="171">
        <f t="shared" si="0"/>
        <v>366934.51</v>
      </c>
      <c r="R3" s="171">
        <f t="shared" si="0"/>
        <v>535504.02</v>
      </c>
      <c r="S3" s="398">
        <f t="shared" si="0"/>
        <v>1265714.2</v>
      </c>
      <c r="T3" s="171">
        <f t="shared" si="0"/>
        <v>779491.02999999991</v>
      </c>
      <c r="U3" s="171">
        <f t="shared" si="0"/>
        <v>1149722.5699999998</v>
      </c>
      <c r="V3" s="171">
        <f t="shared" si="0"/>
        <v>1722697.69</v>
      </c>
      <c r="W3" s="171">
        <f t="shared" si="0"/>
        <v>2391918.15</v>
      </c>
      <c r="X3" s="398">
        <f t="shared" si="0"/>
        <v>6043829.4399999995</v>
      </c>
      <c r="Y3" s="171">
        <f t="shared" si="0"/>
        <v>3646864.38</v>
      </c>
      <c r="Z3" s="171">
        <f t="shared" si="0"/>
        <v>4740916.71</v>
      </c>
      <c r="AA3" s="171">
        <f t="shared" si="0"/>
        <v>6163197.6399999997</v>
      </c>
      <c r="AB3" s="171">
        <f t="shared" si="0"/>
        <v>8012157.3200000003</v>
      </c>
      <c r="AC3" s="398">
        <f>AC4</f>
        <v>22563136.050000001</v>
      </c>
      <c r="AD3" s="171">
        <f t="shared" si="0"/>
        <v>10523180.219999999</v>
      </c>
      <c r="AE3" s="171">
        <f t="shared" si="0"/>
        <v>12756674.699999999</v>
      </c>
      <c r="AF3" s="171">
        <f t="shared" si="0"/>
        <v>15462636</v>
      </c>
      <c r="AG3" s="171">
        <f t="shared" si="0"/>
        <v>18740721.699999999</v>
      </c>
      <c r="AH3" s="399">
        <f>AH4</f>
        <v>57483212.620000005</v>
      </c>
    </row>
    <row r="4" spans="2:34" s="234" customFormat="1" ht="24" customHeight="1">
      <c r="B4" s="336"/>
      <c r="C4" s="234" t="s">
        <v>234</v>
      </c>
      <c r="E4" s="171">
        <f>SUM(E5:E6)</f>
        <v>0</v>
      </c>
      <c r="F4" s="171">
        <f t="shared" ref="F4:AB4" si="1">SUM(F5:F6)</f>
        <v>0</v>
      </c>
      <c r="G4" s="171">
        <f t="shared" si="1"/>
        <v>0</v>
      </c>
      <c r="H4" s="171">
        <f t="shared" si="1"/>
        <v>0</v>
      </c>
      <c r="I4" s="171">
        <f t="shared" ref="I4:I11" si="2">SUM(E4:H4)</f>
        <v>0</v>
      </c>
      <c r="J4" s="171">
        <f t="shared" si="1"/>
        <v>0</v>
      </c>
      <c r="K4" s="171">
        <f t="shared" ref="K4:M4" si="3">SUM(K5:K6)</f>
        <v>0</v>
      </c>
      <c r="L4" s="171">
        <f t="shared" si="3"/>
        <v>0</v>
      </c>
      <c r="M4" s="171">
        <f t="shared" si="3"/>
        <v>0</v>
      </c>
      <c r="N4" s="398">
        <f t="shared" ref="N4:N11" si="4">SUM(J4:M4)</f>
        <v>0</v>
      </c>
      <c r="O4" s="171">
        <f t="shared" si="1"/>
        <v>128907.18</v>
      </c>
      <c r="P4" s="171">
        <f t="shared" si="1"/>
        <v>234368.49</v>
      </c>
      <c r="Q4" s="171">
        <f t="shared" si="1"/>
        <v>366934.51</v>
      </c>
      <c r="R4" s="171">
        <f t="shared" si="1"/>
        <v>535504.02</v>
      </c>
      <c r="S4" s="398">
        <f t="shared" ref="S4:S11" si="5">SUM(O4:R4)</f>
        <v>1265714.2</v>
      </c>
      <c r="T4" s="171">
        <f t="shared" si="1"/>
        <v>779491.02999999991</v>
      </c>
      <c r="U4" s="171">
        <f t="shared" si="1"/>
        <v>1149722.5699999998</v>
      </c>
      <c r="V4" s="171">
        <f t="shared" si="1"/>
        <v>1722697.69</v>
      </c>
      <c r="W4" s="171">
        <f t="shared" si="1"/>
        <v>2391918.15</v>
      </c>
      <c r="X4" s="398">
        <f t="shared" ref="X4:X11" si="6">SUM(T4:W4)</f>
        <v>6043829.4399999995</v>
      </c>
      <c r="Y4" s="171">
        <f t="shared" si="1"/>
        <v>3646864.38</v>
      </c>
      <c r="Z4" s="171">
        <f t="shared" si="1"/>
        <v>4740916.71</v>
      </c>
      <c r="AA4" s="171">
        <f t="shared" si="1"/>
        <v>6163197.6399999997</v>
      </c>
      <c r="AB4" s="171">
        <f t="shared" si="1"/>
        <v>8012157.3200000003</v>
      </c>
      <c r="AC4" s="398">
        <f t="shared" ref="AC4:AC9" si="7">SUM(Y4:AB4)</f>
        <v>22563136.050000001</v>
      </c>
      <c r="AD4" s="171">
        <f t="shared" ref="AD4:AG4" si="8">SUM(AD5:AD6)</f>
        <v>10523180.219999999</v>
      </c>
      <c r="AE4" s="171">
        <f t="shared" si="8"/>
        <v>12756674.699999999</v>
      </c>
      <c r="AF4" s="171">
        <f t="shared" si="8"/>
        <v>15462636</v>
      </c>
      <c r="AG4" s="171">
        <f t="shared" si="8"/>
        <v>18740721.699999999</v>
      </c>
      <c r="AH4" s="399">
        <f t="shared" ref="AH4:AH9" si="9">SUM(AD4:AG4)</f>
        <v>57483212.620000005</v>
      </c>
    </row>
    <row r="5" spans="2:34" ht="24" customHeight="1">
      <c r="B5" s="400"/>
      <c r="D5" s="229" t="s">
        <v>235</v>
      </c>
      <c r="E5" s="166">
        <f>'Assumptions &amp; Sensitivity'!E21</f>
        <v>0</v>
      </c>
      <c r="F5" s="166">
        <f>'Assumptions &amp; Sensitivity'!F21</f>
        <v>0</v>
      </c>
      <c r="G5" s="166">
        <f>'Assumptions &amp; Sensitivity'!G21</f>
        <v>0</v>
      </c>
      <c r="H5" s="166">
        <f>'Assumptions &amp; Sensitivity'!H21</f>
        <v>0</v>
      </c>
      <c r="I5" s="171">
        <f t="shared" si="2"/>
        <v>0</v>
      </c>
      <c r="J5" s="166">
        <f>'Assumptions &amp; Sensitivity'!I21</f>
        <v>0</v>
      </c>
      <c r="K5" s="166">
        <f>'Assumptions &amp; Sensitivity'!J21</f>
        <v>0</v>
      </c>
      <c r="L5" s="166">
        <f>'Assumptions &amp; Sensitivity'!K21</f>
        <v>0</v>
      </c>
      <c r="M5" s="166">
        <f>'Assumptions &amp; Sensitivity'!L21</f>
        <v>0</v>
      </c>
      <c r="N5" s="398">
        <f t="shared" si="4"/>
        <v>0</v>
      </c>
      <c r="O5" s="166">
        <f>'Assumptions &amp; Sensitivity'!M21</f>
        <v>111214.37999999999</v>
      </c>
      <c r="P5" s="166">
        <f>'Assumptions &amp; Sensitivity'!N21</f>
        <v>202198.44</v>
      </c>
      <c r="Q5" s="166">
        <f>'Assumptions &amp; Sensitivity'!O21</f>
        <v>316567.26</v>
      </c>
      <c r="R5" s="166">
        <f>'Assumptions &amp; Sensitivity'!P21</f>
        <v>461997.42</v>
      </c>
      <c r="S5" s="398">
        <f t="shared" si="5"/>
        <v>1091977.5</v>
      </c>
      <c r="T5" s="166">
        <f>'Assumptions &amp; Sensitivity'!Q21</f>
        <v>672495.17999999993</v>
      </c>
      <c r="U5" s="166">
        <f>'Assumptions &amp; Sensitivity'!R21</f>
        <v>991908.41999999993</v>
      </c>
      <c r="V5" s="166">
        <f>'Assumptions &amp; Sensitivity'!S21</f>
        <v>1486235.94</v>
      </c>
      <c r="W5" s="166">
        <f>'Assumptions &amp; Sensitivity'!T21</f>
        <v>2063597.4</v>
      </c>
      <c r="X5" s="398">
        <f t="shared" si="6"/>
        <v>5214236.9399999995</v>
      </c>
      <c r="Y5" s="166">
        <f>'Assumptions &amp; Sensitivity'!U21</f>
        <v>3146286.1799999997</v>
      </c>
      <c r="Z5" s="166">
        <f>'Assumptions &amp; Sensitivity'!V21</f>
        <v>4090167.96</v>
      </c>
      <c r="AA5" s="166">
        <f>'Assumptions &amp; Sensitivity'!W21</f>
        <v>5317221.84</v>
      </c>
      <c r="AB5" s="166">
        <f>'Assumptions &amp; Sensitivity'!X21</f>
        <v>6912390.7199999997</v>
      </c>
      <c r="AC5" s="398">
        <f t="shared" si="7"/>
        <v>19466066.699999999</v>
      </c>
      <c r="AD5" s="166">
        <f>'Assumptions &amp; Sensitivity'!Y21</f>
        <v>9078743.5199999996</v>
      </c>
      <c r="AE5" s="166">
        <f>'Assumptions &amp; Sensitivity'!Z21</f>
        <v>11005661.699999999</v>
      </c>
      <c r="AF5" s="166">
        <f>'Assumptions &amp; Sensitivity'!AA21</f>
        <v>13340196</v>
      </c>
      <c r="AG5" s="166">
        <f>'Assumptions &amp; Sensitivity'!AB21</f>
        <v>16168322.399999999</v>
      </c>
      <c r="AH5" s="399">
        <f t="shared" si="9"/>
        <v>49592923.619999997</v>
      </c>
    </row>
    <row r="6" spans="2:34" ht="24" customHeight="1">
      <c r="B6" s="400"/>
      <c r="D6" s="229" t="s">
        <v>236</v>
      </c>
      <c r="E6" s="166">
        <f>'Assumptions &amp; Sensitivity'!E38</f>
        <v>0</v>
      </c>
      <c r="F6" s="166">
        <f>'Assumptions &amp; Sensitivity'!F38</f>
        <v>0</v>
      </c>
      <c r="G6" s="166">
        <f>'Assumptions &amp; Sensitivity'!G38</f>
        <v>0</v>
      </c>
      <c r="H6" s="166">
        <f>'Assumptions &amp; Sensitivity'!H38</f>
        <v>0</v>
      </c>
      <c r="I6" s="171">
        <f t="shared" si="2"/>
        <v>0</v>
      </c>
      <c r="J6" s="166">
        <f>'Assumptions &amp; Sensitivity'!I38</f>
        <v>0</v>
      </c>
      <c r="K6" s="166">
        <f>'Assumptions &amp; Sensitivity'!J38</f>
        <v>0</v>
      </c>
      <c r="L6" s="166">
        <f>'Assumptions &amp; Sensitivity'!K38</f>
        <v>0</v>
      </c>
      <c r="M6" s="166">
        <f>'Assumptions &amp; Sensitivity'!L38</f>
        <v>0</v>
      </c>
      <c r="N6" s="398">
        <f t="shared" si="4"/>
        <v>0</v>
      </c>
      <c r="O6" s="166">
        <f>'Assumptions &amp; Sensitivity'!M38</f>
        <v>17692.8</v>
      </c>
      <c r="P6" s="166">
        <f>'Assumptions &amp; Sensitivity'!N38</f>
        <v>32170.050000000003</v>
      </c>
      <c r="Q6" s="166">
        <f>'Assumptions &amp; Sensitivity'!O38</f>
        <v>50367.25</v>
      </c>
      <c r="R6" s="166">
        <f>'Assumptions &amp; Sensitivity'!P38</f>
        <v>73506.600000000006</v>
      </c>
      <c r="S6" s="398">
        <f t="shared" si="5"/>
        <v>173736.7</v>
      </c>
      <c r="T6" s="166">
        <f>'Assumptions &amp; Sensitivity'!Q38</f>
        <v>106995.85</v>
      </c>
      <c r="U6" s="166">
        <f>'Assumptions &amp; Sensitivity'!R38</f>
        <v>157814.15000000002</v>
      </c>
      <c r="V6" s="166">
        <f>'Assumptions &amp; Sensitivity'!S38</f>
        <v>236461.75</v>
      </c>
      <c r="W6" s="166">
        <f>'Assumptions &amp; Sensitivity'!T38</f>
        <v>328320.75</v>
      </c>
      <c r="X6" s="398">
        <f t="shared" si="6"/>
        <v>829592.5</v>
      </c>
      <c r="Y6" s="166">
        <f>'Assumptions &amp; Sensitivity'!U38</f>
        <v>500578.2</v>
      </c>
      <c r="Z6" s="166">
        <f>'Assumptions &amp; Sensitivity'!V38</f>
        <v>650748.75</v>
      </c>
      <c r="AA6" s="166">
        <f>'Assumptions &amp; Sensitivity'!W38</f>
        <v>845975.8</v>
      </c>
      <c r="AB6" s="166">
        <f>'Assumptions &amp; Sensitivity'!X38</f>
        <v>1099766.6000000001</v>
      </c>
      <c r="AC6" s="398">
        <f t="shared" si="7"/>
        <v>3097069.35</v>
      </c>
      <c r="AD6" s="166">
        <f>'Assumptions &amp; Sensitivity'!Y38</f>
        <v>1444436.7000000002</v>
      </c>
      <c r="AE6" s="166">
        <f>'Assumptions &amp; Sensitivity'!Z38</f>
        <v>1751013</v>
      </c>
      <c r="AF6" s="166">
        <f>'Assumptions &amp; Sensitivity'!AA38</f>
        <v>2122440</v>
      </c>
      <c r="AG6" s="166">
        <f>'Assumptions &amp; Sensitivity'!AB38</f>
        <v>2572399.3000000003</v>
      </c>
      <c r="AH6" s="399">
        <f t="shared" si="9"/>
        <v>7890289</v>
      </c>
    </row>
    <row r="7" spans="2:34" s="234" customFormat="1" ht="24" customHeight="1">
      <c r="B7" s="336" t="s">
        <v>237</v>
      </c>
      <c r="C7" s="293"/>
      <c r="E7" s="401">
        <f>E3</f>
        <v>0</v>
      </c>
      <c r="F7" s="401">
        <f>F3</f>
        <v>0</v>
      </c>
      <c r="G7" s="401">
        <f>G3</f>
        <v>0</v>
      </c>
      <c r="H7" s="401">
        <f>H3</f>
        <v>0</v>
      </c>
      <c r="I7" s="171">
        <f t="shared" si="2"/>
        <v>0</v>
      </c>
      <c r="J7" s="401">
        <f>J3</f>
        <v>0</v>
      </c>
      <c r="K7" s="401">
        <f t="shared" ref="K7:M7" si="10">K3</f>
        <v>0</v>
      </c>
      <c r="L7" s="401">
        <f t="shared" si="10"/>
        <v>0</v>
      </c>
      <c r="M7" s="401">
        <f t="shared" si="10"/>
        <v>0</v>
      </c>
      <c r="N7" s="398">
        <f t="shared" si="4"/>
        <v>0</v>
      </c>
      <c r="O7" s="401">
        <f>O3</f>
        <v>128907.18</v>
      </c>
      <c r="P7" s="401">
        <f>P3</f>
        <v>234368.49</v>
      </c>
      <c r="Q7" s="401">
        <f>Q3</f>
        <v>366934.51</v>
      </c>
      <c r="R7" s="401">
        <f>R3</f>
        <v>535504.02</v>
      </c>
      <c r="S7" s="398">
        <f t="shared" si="5"/>
        <v>1265714.2</v>
      </c>
      <c r="T7" s="401">
        <f>T3</f>
        <v>779491.02999999991</v>
      </c>
      <c r="U7" s="401">
        <f>U3</f>
        <v>1149722.5699999998</v>
      </c>
      <c r="V7" s="401">
        <f>V3</f>
        <v>1722697.69</v>
      </c>
      <c r="W7" s="401">
        <f>W3</f>
        <v>2391918.15</v>
      </c>
      <c r="X7" s="398">
        <f t="shared" si="6"/>
        <v>6043829.4399999995</v>
      </c>
      <c r="Y7" s="401">
        <f>Y3</f>
        <v>3646864.38</v>
      </c>
      <c r="Z7" s="401">
        <f>Z3</f>
        <v>4740916.71</v>
      </c>
      <c r="AA7" s="401">
        <f>AA3</f>
        <v>6163197.6399999997</v>
      </c>
      <c r="AB7" s="401">
        <f>AB3</f>
        <v>8012157.3200000003</v>
      </c>
      <c r="AC7" s="398">
        <f t="shared" si="7"/>
        <v>22563136.050000001</v>
      </c>
      <c r="AD7" s="401">
        <f t="shared" ref="AD7:AG7" si="11">AD3</f>
        <v>10523180.219999999</v>
      </c>
      <c r="AE7" s="401">
        <f t="shared" si="11"/>
        <v>12756674.699999999</v>
      </c>
      <c r="AF7" s="401">
        <f t="shared" si="11"/>
        <v>15462636</v>
      </c>
      <c r="AG7" s="401">
        <f t="shared" si="11"/>
        <v>18740721.699999999</v>
      </c>
      <c r="AH7" s="399">
        <f t="shared" si="9"/>
        <v>57483212.620000005</v>
      </c>
    </row>
    <row r="8" spans="2:34" ht="24" customHeight="1">
      <c r="B8" s="400"/>
      <c r="C8" s="229" t="s">
        <v>238</v>
      </c>
      <c r="E8" s="166">
        <f>'Assumptions &amp; Sensitivity'!E77</f>
        <v>30169.56</v>
      </c>
      <c r="F8" s="166">
        <f>'Assumptions &amp; Sensitivity'!F77</f>
        <v>54637.700000000004</v>
      </c>
      <c r="G8" s="166">
        <f>'Assumptions &amp; Sensitivity'!G77</f>
        <v>48699.100000000006</v>
      </c>
      <c r="H8" s="166">
        <f>'Assumptions &amp; Sensitivity'!H77</f>
        <v>60067.14</v>
      </c>
      <c r="I8" s="171">
        <f t="shared" si="2"/>
        <v>193573.5</v>
      </c>
      <c r="J8" s="166">
        <f>'Assumptions &amp; Sensitivity'!I77</f>
        <v>69000</v>
      </c>
      <c r="K8" s="166">
        <f>'Assumptions &amp; Sensitivity'!J77</f>
        <v>69000</v>
      </c>
      <c r="L8" s="166">
        <f>'Assumptions &amp; Sensitivity'!K77</f>
        <v>454266.5625</v>
      </c>
      <c r="M8" s="166">
        <f>'Assumptions &amp; Sensitivity'!L77</f>
        <v>502766.5625</v>
      </c>
      <c r="N8" s="398">
        <f t="shared" si="4"/>
        <v>1095033.125</v>
      </c>
      <c r="O8" s="166">
        <f>'Assumptions &amp; Sensitivity'!M77</f>
        <v>519485.99367499998</v>
      </c>
      <c r="P8" s="166">
        <f>'Assumptions &amp; Sensitivity'!N77</f>
        <v>517350.05418297776</v>
      </c>
      <c r="Q8" s="166">
        <f>'Assumptions &amp; Sensitivity'!O77</f>
        <v>566066.62477338652</v>
      </c>
      <c r="R8" s="166">
        <f>'Assumptions &amp; Sensitivity'!P77</f>
        <v>589179.56813453417</v>
      </c>
      <c r="S8" s="398">
        <f t="shared" si="5"/>
        <v>2192082.2407658985</v>
      </c>
      <c r="T8" s="166">
        <f>'Assumptions &amp; Sensitivity'!Q77</f>
        <v>803425.06252064602</v>
      </c>
      <c r="U8" s="166">
        <f>'Assumptions &amp; Sensitivity'!R77</f>
        <v>1060751.9133979518</v>
      </c>
      <c r="V8" s="166">
        <f>'Assumptions &amp; Sensitivity'!S77</f>
        <v>1413074.6394019071</v>
      </c>
      <c r="W8" s="166">
        <f>'Assumptions &amp; Sensitivity'!T77</f>
        <v>1749229.8782718692</v>
      </c>
      <c r="X8" s="398">
        <f t="shared" si="6"/>
        <v>5026481.493592374</v>
      </c>
      <c r="Y8" s="166">
        <f>'Assumptions &amp; Sensitivity'!U77</f>
        <v>2354164.4188059294</v>
      </c>
      <c r="Z8" s="166">
        <f>'Assumptions &amp; Sensitivity'!V77</f>
        <v>2796618.3411764577</v>
      </c>
      <c r="AA8" s="166">
        <f>'Assumptions &amp; Sensitivity'!W77</f>
        <v>3493826.383088456</v>
      </c>
      <c r="AB8" s="166">
        <f>'Assumptions &amp; Sensitivity'!X77</f>
        <v>4238131.915859445</v>
      </c>
      <c r="AC8" s="398">
        <f t="shared" si="7"/>
        <v>12882741.058930289</v>
      </c>
      <c r="AD8" s="166">
        <f>'Assumptions &amp; Sensitivity'!Y77</f>
        <v>5303087.9912301442</v>
      </c>
      <c r="AE8" s="166">
        <f>'Assumptions &amp; Sensitivity'!Z77</f>
        <v>6087661.7698489362</v>
      </c>
      <c r="AF8" s="166">
        <f>'Assumptions &amp; Sensitivity'!AA77</f>
        <v>7181033.271986926</v>
      </c>
      <c r="AG8" s="166">
        <f>'Assumptions &amp; Sensitivity'!AB77</f>
        <v>8341588.3630731963</v>
      </c>
      <c r="AH8" s="399">
        <f t="shared" si="9"/>
        <v>26913371.396139201</v>
      </c>
    </row>
    <row r="9" spans="2:34" s="234" customFormat="1" ht="24" customHeight="1">
      <c r="B9" s="336" t="s">
        <v>239</v>
      </c>
      <c r="C9" s="254"/>
      <c r="E9" s="171">
        <f>E7-E8</f>
        <v>-30169.56</v>
      </c>
      <c r="F9" s="171">
        <f t="shared" ref="F9:AB9" si="12">F7-F8</f>
        <v>-54637.700000000004</v>
      </c>
      <c r="G9" s="171">
        <f t="shared" si="12"/>
        <v>-48699.100000000006</v>
      </c>
      <c r="H9" s="171">
        <f t="shared" si="12"/>
        <v>-60067.14</v>
      </c>
      <c r="I9" s="171">
        <f t="shared" si="2"/>
        <v>-193573.5</v>
      </c>
      <c r="J9" s="171">
        <f t="shared" si="12"/>
        <v>-69000</v>
      </c>
      <c r="K9" s="171">
        <f t="shared" ref="K9:M9" si="13">K7-K8</f>
        <v>-69000</v>
      </c>
      <c r="L9" s="171">
        <f t="shared" si="13"/>
        <v>-454266.5625</v>
      </c>
      <c r="M9" s="171">
        <f t="shared" si="13"/>
        <v>-502766.5625</v>
      </c>
      <c r="N9" s="398">
        <f t="shared" si="4"/>
        <v>-1095033.125</v>
      </c>
      <c r="O9" s="171">
        <f t="shared" si="12"/>
        <v>-390578.81367499998</v>
      </c>
      <c r="P9" s="171">
        <f t="shared" si="12"/>
        <v>-282981.56418297777</v>
      </c>
      <c r="Q9" s="171">
        <f t="shared" si="12"/>
        <v>-199132.11477338651</v>
      </c>
      <c r="R9" s="171">
        <f t="shared" si="12"/>
        <v>-53675.548134534154</v>
      </c>
      <c r="S9" s="398">
        <f>SUM(O9:R9)</f>
        <v>-926368.04076589842</v>
      </c>
      <c r="T9" s="171">
        <f t="shared" si="12"/>
        <v>-23934.032520646113</v>
      </c>
      <c r="U9" s="171">
        <f t="shared" si="12"/>
        <v>88970.656602048082</v>
      </c>
      <c r="V9" s="171">
        <f t="shared" si="12"/>
        <v>309623.05059809284</v>
      </c>
      <c r="W9" s="171">
        <f t="shared" si="12"/>
        <v>642688.27172813076</v>
      </c>
      <c r="X9" s="398">
        <f t="shared" si="6"/>
        <v>1017347.9464076256</v>
      </c>
      <c r="Y9" s="171">
        <f t="shared" si="12"/>
        <v>1292699.9611940705</v>
      </c>
      <c r="Z9" s="171">
        <f t="shared" si="12"/>
        <v>1944298.3688235423</v>
      </c>
      <c r="AA9" s="171">
        <f t="shared" si="12"/>
        <v>2669371.2569115437</v>
      </c>
      <c r="AB9" s="171">
        <f t="shared" si="12"/>
        <v>3774025.4041405553</v>
      </c>
      <c r="AC9" s="398">
        <f t="shared" si="7"/>
        <v>9680394.9910697117</v>
      </c>
      <c r="AD9" s="171">
        <f t="shared" ref="AD9:AG9" si="14">AD7-AD8</f>
        <v>5220092.2287698546</v>
      </c>
      <c r="AE9" s="171">
        <f t="shared" si="14"/>
        <v>6669012.930151063</v>
      </c>
      <c r="AF9" s="171">
        <f t="shared" si="14"/>
        <v>8281602.728013074</v>
      </c>
      <c r="AG9" s="171">
        <f t="shared" si="14"/>
        <v>10399133.336926803</v>
      </c>
      <c r="AH9" s="399">
        <f t="shared" si="9"/>
        <v>30569841.223860793</v>
      </c>
    </row>
    <row r="10" spans="2:34" s="234" customFormat="1" ht="24" customHeight="1">
      <c r="B10" s="336"/>
      <c r="C10" s="229" t="s">
        <v>240</v>
      </c>
      <c r="D10" s="229"/>
      <c r="E10" s="166">
        <f>SUM($E$9:E9)</f>
        <v>-30169.56</v>
      </c>
      <c r="F10" s="166">
        <f>SUM($E$9:F9)</f>
        <v>-84807.260000000009</v>
      </c>
      <c r="G10" s="166">
        <f>SUM($E$9:G9)</f>
        <v>-133506.36000000002</v>
      </c>
      <c r="H10" s="166">
        <f>SUM($E$9:H9)</f>
        <v>-193573.5</v>
      </c>
      <c r="I10" s="171">
        <f>H10</f>
        <v>-193573.5</v>
      </c>
      <c r="J10" s="166">
        <f>I10+J9</f>
        <v>-262573.5</v>
      </c>
      <c r="K10" s="166">
        <f>J10+K9</f>
        <v>-331573.5</v>
      </c>
      <c r="L10" s="166">
        <f>K10+L9</f>
        <v>-785840.0625</v>
      </c>
      <c r="M10" s="166">
        <f>L10+M9</f>
        <v>-1288606.625</v>
      </c>
      <c r="N10" s="398">
        <f>M10</f>
        <v>-1288606.625</v>
      </c>
      <c r="O10" s="166">
        <f>N10+O9</f>
        <v>-1679185.4386749999</v>
      </c>
      <c r="P10" s="166">
        <f t="shared" ref="P10:R10" si="15">O10+P9</f>
        <v>-1962167.0028579775</v>
      </c>
      <c r="Q10" s="166">
        <f t="shared" si="15"/>
        <v>-2161299.1176313641</v>
      </c>
      <c r="R10" s="166">
        <f t="shared" si="15"/>
        <v>-2214974.6657658983</v>
      </c>
      <c r="S10" s="398">
        <f>R10</f>
        <v>-2214974.6657658983</v>
      </c>
      <c r="T10" s="166">
        <f>S10+T9</f>
        <v>-2238908.6982865445</v>
      </c>
      <c r="U10" s="166">
        <f t="shared" ref="U10" si="16">T10+U9</f>
        <v>-2149938.0416844962</v>
      </c>
      <c r="V10" s="166">
        <f t="shared" ref="V10" si="17">U10+V9</f>
        <v>-1840314.9910864034</v>
      </c>
      <c r="W10" s="166">
        <f t="shared" ref="W10" si="18">V10+W9</f>
        <v>-1197626.7193582726</v>
      </c>
      <c r="X10" s="398">
        <f>W10</f>
        <v>-1197626.7193582726</v>
      </c>
      <c r="Y10" s="166">
        <f>X10+Y9</f>
        <v>95073.241835797904</v>
      </c>
      <c r="Z10" s="166">
        <f t="shared" ref="Z10" si="19">Y10+Z9</f>
        <v>2039371.6106593402</v>
      </c>
      <c r="AA10" s="166">
        <f t="shared" ref="AA10" si="20">Z10+AA9</f>
        <v>4708742.8675708836</v>
      </c>
      <c r="AB10" s="166">
        <f t="shared" ref="AB10" si="21">AA10+AB9</f>
        <v>8482768.2717114389</v>
      </c>
      <c r="AC10" s="398">
        <f>AB10</f>
        <v>8482768.2717114389</v>
      </c>
      <c r="AD10" s="166">
        <f t="shared" ref="AD10" si="22">AB10+AD9</f>
        <v>13702860.500481293</v>
      </c>
      <c r="AE10" s="166">
        <f t="shared" ref="AE10" si="23">AD10+AE9</f>
        <v>20371873.430632357</v>
      </c>
      <c r="AF10" s="166">
        <f t="shared" ref="AF10" si="24">AE10+AF9</f>
        <v>28653476.158645429</v>
      </c>
      <c r="AG10" s="166">
        <f t="shared" ref="AG10" si="25">AF10+AG9</f>
        <v>39052609.495572232</v>
      </c>
      <c r="AH10" s="399">
        <f>AG10</f>
        <v>39052609.495572232</v>
      </c>
    </row>
    <row r="11" spans="2:34" ht="24" customHeight="1">
      <c r="B11" s="400"/>
      <c r="C11" s="229" t="s">
        <v>241</v>
      </c>
      <c r="E11" s="235">
        <f>IF(E9&lt;=0,0,IF(E10&lt;=0,0,(MIN(E9,E10)*'Assumptions &amp; Sensitivity'!$D$94)))</f>
        <v>0</v>
      </c>
      <c r="F11" s="235">
        <f>IF(F9&lt;=0,0,IF(F10&lt;=0,0,(MIN(F9,F10)*'Assumptions &amp; Sensitivity'!$D$94)))</f>
        <v>0</v>
      </c>
      <c r="G11" s="235">
        <f>IF(G9&lt;=0,0,IF(G10&lt;=0,0,(MIN(G9,G10)*'Assumptions &amp; Sensitivity'!$D$94)))</f>
        <v>0</v>
      </c>
      <c r="H11" s="235">
        <f>IF(H9&lt;=0,0,IF(H10&lt;=0,0,(MIN(H9,H10)*'Assumptions &amp; Sensitivity'!$D$94)))</f>
        <v>0</v>
      </c>
      <c r="I11" s="171">
        <f t="shared" si="2"/>
        <v>0</v>
      </c>
      <c r="J11" s="235">
        <f>IF(J9&lt;=0,0,IF(J10&lt;=0,0,(MIN(J9,J10)*'Assumptions &amp; Sensitivity'!$D$94)))</f>
        <v>0</v>
      </c>
      <c r="K11" s="235">
        <f>IF(K9&lt;=0,0,IF(K10&lt;=0,0,(MIN(K9,K10)*'Assumptions &amp; Sensitivity'!$D$94)))</f>
        <v>0</v>
      </c>
      <c r="L11" s="235">
        <f>IF(L9&lt;=0,0,IF(L10&lt;=0,0,(MIN(L9,L10)*'Assumptions &amp; Sensitivity'!$D$94)))</f>
        <v>0</v>
      </c>
      <c r="M11" s="235">
        <f>IF(M9&lt;=0,0,IF(M10&lt;=0,0,(MIN(M9,M10)*'Assumptions &amp; Sensitivity'!$D$94)))</f>
        <v>0</v>
      </c>
      <c r="N11" s="398">
        <f t="shared" si="4"/>
        <v>0</v>
      </c>
      <c r="O11" s="235">
        <f>IF(O9&lt;=0,0,IF(O10&lt;=0,0,(MIN(O9,O10)*'Assumptions &amp; Sensitivity'!$D$94)))</f>
        <v>0</v>
      </c>
      <c r="P11" s="235">
        <f>IF(P9&lt;=0,0,IF(P10&lt;=0,0,(MIN(P9,P10)*'Assumptions &amp; Sensitivity'!$D$94)))</f>
        <v>0</v>
      </c>
      <c r="Q11" s="235">
        <f>IF(Q9&lt;=0,0,IF(Q10&lt;=0,0,(MIN(Q9,Q10)*'Assumptions &amp; Sensitivity'!$D$94)))</f>
        <v>0</v>
      </c>
      <c r="R11" s="235">
        <f>IF(R9&lt;=0,0,IF(R10&lt;=0,0,(MIN(R9,R10)*'Assumptions &amp; Sensitivity'!$D$94)))</f>
        <v>0</v>
      </c>
      <c r="S11" s="398">
        <f t="shared" si="5"/>
        <v>0</v>
      </c>
      <c r="T11" s="235">
        <f>IF(T9&lt;=0,0,IF(T10&lt;=0,0,(MIN(T9,T10)*'Assumptions &amp; Sensitivity'!$D$94)))</f>
        <v>0</v>
      </c>
      <c r="U11" s="235">
        <f>IF(U9&lt;=0,0,IF(U10&lt;=0,0,(MIN(U9,U10)*'Assumptions &amp; Sensitivity'!$D$94)))</f>
        <v>0</v>
      </c>
      <c r="V11" s="235">
        <f>IF(V9&lt;=0,0,IF(V10&lt;=0,0,(MIN(V9,V10)*'Assumptions &amp; Sensitivity'!$D$94)))</f>
        <v>0</v>
      </c>
      <c r="W11" s="235">
        <f>IF(W9&lt;=0,0,IF(W10&lt;=0,0,(MIN(W9,W10)*'Assumptions &amp; Sensitivity'!$D$94)))</f>
        <v>0</v>
      </c>
      <c r="X11" s="398">
        <f t="shared" si="6"/>
        <v>0</v>
      </c>
      <c r="Y11" s="235">
        <f>IF(Y9&lt;=0,0,IF(Y10&lt;=0,0,(MIN(Y9,Y10)*'Assumptions &amp; Sensitivity'!$D$94)))</f>
        <v>19965.380785517558</v>
      </c>
      <c r="Z11" s="235">
        <f>IF(Z9&lt;=0,0,IF(Z10&lt;=0,0,(MIN(Z9,Z10)*'Assumptions &amp; Sensitivity'!$D$94)))</f>
        <v>408302.65745294385</v>
      </c>
      <c r="AA11" s="235">
        <f>IF(AA9&lt;=0,0,IF(AA10&lt;=0,0,(MIN(AA9,AA10)*'Assumptions &amp; Sensitivity'!$D$94)))</f>
        <v>560567.96395142411</v>
      </c>
      <c r="AB11" s="235">
        <f>IF(AB9&lt;=0,0,IF(AB10&lt;=0,0,(MIN(AB9,AB10)*'Assumptions &amp; Sensitivity'!$D$94)))</f>
        <v>792545.33486951655</v>
      </c>
      <c r="AC11" s="398">
        <f>SUM(Y11:AB11)</f>
        <v>1781381.3370594021</v>
      </c>
      <c r="AD11" s="235">
        <f>IF(AD9&lt;=0,0,IF(AD10&lt;=0,0,(MIN(AD9,AD10)*'Assumptions &amp; Sensitivity'!$D$94)))</f>
        <v>1096219.3680416695</v>
      </c>
      <c r="AE11" s="235">
        <f>IF(AE9&lt;=0,0,IF(AE10&lt;=0,0,(MIN(AE9,AE10)*'Assumptions &amp; Sensitivity'!$D$94)))</f>
        <v>1400492.7153317232</v>
      </c>
      <c r="AF11" s="235">
        <f>IF(AF9&lt;=0,0,IF(AF10&lt;=0,0,(MIN(AF9,AF10)*'Assumptions &amp; Sensitivity'!$D$94)))</f>
        <v>1739136.5728827454</v>
      </c>
      <c r="AG11" s="235">
        <f>IF(AG9&lt;=0,0,IF(AG10&lt;=0,0,(MIN(AG9,AG10)*'Assumptions &amp; Sensitivity'!$D$94)))</f>
        <v>2183818.0007546283</v>
      </c>
      <c r="AH11" s="399">
        <f>SUM(AD11:AG11)</f>
        <v>6419666.6570107667</v>
      </c>
    </row>
    <row r="12" spans="2:34" ht="24" customHeight="1">
      <c r="B12" s="402" t="s">
        <v>242</v>
      </c>
      <c r="C12" s="403"/>
      <c r="D12" s="403"/>
      <c r="E12" s="404">
        <f>E9-E11</f>
        <v>-30169.56</v>
      </c>
      <c r="F12" s="404">
        <f t="shared" ref="F12:AB12" si="26">F9-F11</f>
        <v>-54637.700000000004</v>
      </c>
      <c r="G12" s="404">
        <f t="shared" si="26"/>
        <v>-48699.100000000006</v>
      </c>
      <c r="H12" s="404">
        <f t="shared" si="26"/>
        <v>-60067.14</v>
      </c>
      <c r="I12" s="404">
        <f t="shared" si="26"/>
        <v>-193573.5</v>
      </c>
      <c r="J12" s="404">
        <f t="shared" si="26"/>
        <v>-69000</v>
      </c>
      <c r="K12" s="404">
        <f t="shared" ref="K12:M12" si="27">K9-K11</f>
        <v>-69000</v>
      </c>
      <c r="L12" s="404">
        <f t="shared" si="27"/>
        <v>-454266.5625</v>
      </c>
      <c r="M12" s="404">
        <f t="shared" si="27"/>
        <v>-502766.5625</v>
      </c>
      <c r="N12" s="404">
        <f t="shared" ref="N12" si="28">N9-N11</f>
        <v>-1095033.125</v>
      </c>
      <c r="O12" s="404">
        <f t="shared" si="26"/>
        <v>-390578.81367499998</v>
      </c>
      <c r="P12" s="404">
        <f t="shared" si="26"/>
        <v>-282981.56418297777</v>
      </c>
      <c r="Q12" s="404">
        <f t="shared" si="26"/>
        <v>-199132.11477338651</v>
      </c>
      <c r="R12" s="404">
        <f t="shared" si="26"/>
        <v>-53675.548134534154</v>
      </c>
      <c r="S12" s="404">
        <f t="shared" si="26"/>
        <v>-926368.04076589842</v>
      </c>
      <c r="T12" s="404">
        <f t="shared" si="26"/>
        <v>-23934.032520646113</v>
      </c>
      <c r="U12" s="404">
        <f t="shared" si="26"/>
        <v>88970.656602048082</v>
      </c>
      <c r="V12" s="404">
        <f t="shared" si="26"/>
        <v>309623.05059809284</v>
      </c>
      <c r="W12" s="404">
        <f t="shared" si="26"/>
        <v>642688.27172813076</v>
      </c>
      <c r="X12" s="404">
        <f>X9-X11</f>
        <v>1017347.9464076256</v>
      </c>
      <c r="Y12" s="404">
        <f t="shared" si="26"/>
        <v>1272734.5804085529</v>
      </c>
      <c r="Z12" s="404">
        <f t="shared" si="26"/>
        <v>1535995.7113705985</v>
      </c>
      <c r="AA12" s="404">
        <f t="shared" si="26"/>
        <v>2108803.2929601194</v>
      </c>
      <c r="AB12" s="404">
        <f t="shared" si="26"/>
        <v>2981480.0692710388</v>
      </c>
      <c r="AC12" s="404">
        <f>AC9-AC11</f>
        <v>7899013.6540103098</v>
      </c>
      <c r="AD12" s="404">
        <f t="shared" ref="AD12:AG12" si="29">AD9-AD11</f>
        <v>4123872.8607281852</v>
      </c>
      <c r="AE12" s="404">
        <f t="shared" si="29"/>
        <v>5268520.21481934</v>
      </c>
      <c r="AF12" s="404">
        <f t="shared" si="29"/>
        <v>6542466.1551303286</v>
      </c>
      <c r="AG12" s="404">
        <f t="shared" si="29"/>
        <v>8215315.3361721747</v>
      </c>
      <c r="AH12" s="405">
        <f>AH9-AH11</f>
        <v>24150174.566850025</v>
      </c>
    </row>
    <row r="13" spans="2:34" ht="24" customHeight="1">
      <c r="Q13" s="338"/>
      <c r="R13" s="338"/>
      <c r="S13" s="338"/>
      <c r="T13" s="338"/>
      <c r="U13" s="338"/>
    </row>
    <row r="14" spans="2:34" ht="24" customHeight="1">
      <c r="Q14" s="229"/>
      <c r="R14" s="229"/>
      <c r="S14" s="229"/>
    </row>
  </sheetData>
  <sheetProtection algorithmName="SHA-512" hashValue="4bNPHbJ94Ww2sl2lvp91JSBONJcOIPBDz9le2YhIMDj14k/BsyYRyHVrBekGwrAI+04j8F3TN1HWVjf8PrJWng==" saltValue="EdGWaeSnQKW6Ae7LAgzlcQ==" spinCount="100000" sheet="1" objects="1" scenarios="1"/>
  <mergeCells count="1">
    <mergeCell ref="B2:D2"/>
  </mergeCells>
  <pageMargins left="0.7" right="0.7" top="0.75" bottom="0.75" header="0.3" footer="0.3"/>
  <pageSetup paperSize="9" orientation="portrait" horizontalDpi="1200" verticalDpi="1200"/>
  <ignoredErrors>
    <ignoredError sqref="O5:O6 E5:H6 J5:J6" emptyCellReference="1"/>
    <ignoredError sqref="X4:X6 S4:S6 N4:N6 I4:I6 X7:X9 S7:S8 N7:N9 I7:I10 S11:S12 N11:N12 X11 O10:AB10 I11:I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AI16"/>
  <sheetViews>
    <sheetView showGridLines="0" zoomScale="91" workbookViewId="0"/>
  </sheetViews>
  <sheetFormatPr defaultColWidth="8.85546875" defaultRowHeight="24.95" customHeight="1" outlineLevelCol="1"/>
  <cols>
    <col min="1" max="1" width="1.85546875" style="229" customWidth="1"/>
    <col min="2" max="2" width="3" style="229" customWidth="1"/>
    <col min="3" max="3" width="5.85546875" style="229" customWidth="1"/>
    <col min="4" max="4" width="26.7109375" style="229" customWidth="1"/>
    <col min="5" max="5" width="12.85546875" style="229" customWidth="1"/>
    <col min="6" max="9" width="12.85546875" style="229" hidden="1" customWidth="1" outlineLevel="1"/>
    <col min="10" max="10" width="12.85546875" style="229" customWidth="1" collapsed="1"/>
    <col min="11" max="14" width="12.85546875" style="229" hidden="1" customWidth="1" outlineLevel="1"/>
    <col min="15" max="15" width="12.85546875" style="229" customWidth="1" collapsed="1"/>
    <col min="16" max="19" width="12.85546875" style="229" hidden="1" customWidth="1" outlineLevel="1"/>
    <col min="20" max="20" width="12.85546875" style="229" customWidth="1" collapsed="1"/>
    <col min="21" max="24" width="12.85546875" style="229" hidden="1" customWidth="1" outlineLevel="1"/>
    <col min="25" max="25" width="12.85546875" style="229" customWidth="1" collapsed="1"/>
    <col min="26" max="29" width="12.85546875" style="229" hidden="1" customWidth="1" outlineLevel="1"/>
    <col min="30" max="30" width="12.85546875" style="229" customWidth="1" collapsed="1"/>
    <col min="31" max="31" width="12.85546875" style="229" hidden="1" customWidth="1" outlineLevel="1"/>
    <col min="32" max="34" width="11.85546875" style="229" hidden="1" customWidth="1" outlineLevel="1"/>
    <col min="35" max="35" width="12.85546875" style="229" customWidth="1" collapsed="1"/>
    <col min="36" max="16384" width="8.85546875" style="229"/>
  </cols>
  <sheetData>
    <row r="2" spans="2:35" ht="24.95" customHeight="1">
      <c r="B2" s="528" t="s">
        <v>243</v>
      </c>
      <c r="C2" s="529"/>
      <c r="D2" s="529"/>
      <c r="E2" s="395">
        <v>2016</v>
      </c>
      <c r="F2" s="394" t="s">
        <v>53</v>
      </c>
      <c r="G2" s="394" t="s">
        <v>54</v>
      </c>
      <c r="H2" s="394" t="s">
        <v>55</v>
      </c>
      <c r="I2" s="394" t="s">
        <v>56</v>
      </c>
      <c r="J2" s="395">
        <v>2017</v>
      </c>
      <c r="K2" s="394" t="s">
        <v>57</v>
      </c>
      <c r="L2" s="394" t="s">
        <v>58</v>
      </c>
      <c r="M2" s="394" t="s">
        <v>59</v>
      </c>
      <c r="N2" s="394" t="s">
        <v>60</v>
      </c>
      <c r="O2" s="395">
        <v>2018</v>
      </c>
      <c r="P2" s="394" t="s">
        <v>61</v>
      </c>
      <c r="Q2" s="394" t="s">
        <v>62</v>
      </c>
      <c r="R2" s="394" t="s">
        <v>63</v>
      </c>
      <c r="S2" s="394" t="s">
        <v>64</v>
      </c>
      <c r="T2" s="395">
        <v>2019</v>
      </c>
      <c r="U2" s="394" t="s">
        <v>65</v>
      </c>
      <c r="V2" s="394" t="s">
        <v>66</v>
      </c>
      <c r="W2" s="394" t="s">
        <v>67</v>
      </c>
      <c r="X2" s="394" t="s">
        <v>68</v>
      </c>
      <c r="Y2" s="395">
        <v>2020</v>
      </c>
      <c r="Z2" s="396" t="s">
        <v>69</v>
      </c>
      <c r="AA2" s="394" t="s">
        <v>70</v>
      </c>
      <c r="AB2" s="394" t="s">
        <v>71</v>
      </c>
      <c r="AC2" s="394" t="s">
        <v>72</v>
      </c>
      <c r="AD2" s="395">
        <v>2021</v>
      </c>
      <c r="AE2" s="198" t="s">
        <v>73</v>
      </c>
      <c r="AF2" s="198" t="s">
        <v>74</v>
      </c>
      <c r="AG2" s="198" t="s">
        <v>75</v>
      </c>
      <c r="AH2" s="198" t="s">
        <v>76</v>
      </c>
      <c r="AI2" s="397">
        <v>2022</v>
      </c>
    </row>
    <row r="3" spans="2:35" ht="24.95" customHeight="1">
      <c r="B3" s="406" t="s">
        <v>244</v>
      </c>
      <c r="C3" s="407"/>
      <c r="D3" s="309"/>
      <c r="E3" s="408">
        <f t="shared" ref="E3:AH3" si="0">SUM(E4:E4)</f>
        <v>0</v>
      </c>
      <c r="F3" s="261">
        <f t="shared" si="0"/>
        <v>0</v>
      </c>
      <c r="G3" s="261">
        <f t="shared" si="0"/>
        <v>0</v>
      </c>
      <c r="H3" s="261">
        <f t="shared" si="0"/>
        <v>0</v>
      </c>
      <c r="I3" s="261">
        <f t="shared" si="0"/>
        <v>0</v>
      </c>
      <c r="J3" s="408">
        <f>I3</f>
        <v>0</v>
      </c>
      <c r="K3" s="261">
        <f t="shared" si="0"/>
        <v>15923.076923076924</v>
      </c>
      <c r="L3" s="261">
        <f t="shared" si="0"/>
        <v>15923.076923076924</v>
      </c>
      <c r="M3" s="261">
        <f t="shared" si="0"/>
        <v>104830.7451923077</v>
      </c>
      <c r="N3" s="261">
        <f t="shared" si="0"/>
        <v>116023.05288461539</v>
      </c>
      <c r="O3" s="408">
        <f>N3</f>
        <v>116023.05288461539</v>
      </c>
      <c r="P3" s="261">
        <f t="shared" si="0"/>
        <v>119881.38315576923</v>
      </c>
      <c r="Q3" s="261">
        <f t="shared" si="0"/>
        <v>119388.47404222564</v>
      </c>
      <c r="R3" s="261">
        <f t="shared" si="0"/>
        <v>130630.7595630892</v>
      </c>
      <c r="S3" s="261">
        <f t="shared" si="0"/>
        <v>135964.51572335404</v>
      </c>
      <c r="T3" s="408">
        <f>S3</f>
        <v>135964.51572335404</v>
      </c>
      <c r="U3" s="261">
        <f t="shared" si="0"/>
        <v>185405.78365861063</v>
      </c>
      <c r="V3" s="261">
        <f t="shared" si="0"/>
        <v>244788.90309183503</v>
      </c>
      <c r="W3" s="261">
        <f t="shared" si="0"/>
        <v>326094.14755428629</v>
      </c>
      <c r="X3" s="261">
        <f t="shared" si="0"/>
        <v>403668.43344735441</v>
      </c>
      <c r="Y3" s="408">
        <f>X3</f>
        <v>403668.43344735441</v>
      </c>
      <c r="Z3" s="261">
        <f t="shared" si="0"/>
        <v>543268.71203213756</v>
      </c>
      <c r="AA3" s="261">
        <f t="shared" si="0"/>
        <v>645373.46334841335</v>
      </c>
      <c r="AB3" s="261">
        <f t="shared" si="0"/>
        <v>806267.62686656683</v>
      </c>
      <c r="AC3" s="261">
        <f t="shared" si="0"/>
        <v>978030.44212141039</v>
      </c>
      <c r="AD3" s="408">
        <f t="shared" ref="AD3:AD12" si="1">AC3</f>
        <v>978030.44212141039</v>
      </c>
      <c r="AE3" s="261">
        <f t="shared" si="0"/>
        <v>2972940.2443685285</v>
      </c>
      <c r="AF3" s="261">
        <f t="shared" si="0"/>
        <v>1223789.5364377256</v>
      </c>
      <c r="AG3" s="261">
        <f t="shared" si="0"/>
        <v>1404845.0238112931</v>
      </c>
      <c r="AH3" s="261">
        <f t="shared" si="0"/>
        <v>1657161.5243046754</v>
      </c>
      <c r="AI3" s="409">
        <f t="shared" ref="AI3:AI12" si="2">AH3</f>
        <v>1657161.5243046754</v>
      </c>
    </row>
    <row r="4" spans="2:35" ht="24.95" customHeight="1">
      <c r="B4" s="410"/>
      <c r="C4" s="411" t="s">
        <v>245</v>
      </c>
      <c r="D4" s="309"/>
      <c r="E4" s="408"/>
      <c r="F4" s="261">
        <v>0</v>
      </c>
      <c r="G4" s="261">
        <v>0</v>
      </c>
      <c r="H4" s="261">
        <v>0</v>
      </c>
      <c r="I4" s="261">
        <v>0</v>
      </c>
      <c r="J4" s="408">
        <f t="shared" ref="J4:J11" si="3">I4</f>
        <v>0</v>
      </c>
      <c r="K4" s="412">
        <f>('Assumptions &amp; Sensitivity'!$D$84/91)*'P&amp;L'!J8</f>
        <v>15923.076923076924</v>
      </c>
      <c r="L4" s="412">
        <f>('Assumptions &amp; Sensitivity'!$D$84/91)*'P&amp;L'!K8</f>
        <v>15923.076923076924</v>
      </c>
      <c r="M4" s="412">
        <f>('Assumptions &amp; Sensitivity'!$D$84/91)*'P&amp;L'!L8</f>
        <v>104830.7451923077</v>
      </c>
      <c r="N4" s="412">
        <f>('Assumptions &amp; Sensitivity'!$D$84/91)*'P&amp;L'!M8</f>
        <v>116023.05288461539</v>
      </c>
      <c r="O4" s="408">
        <f t="shared" ref="O4:O11" si="4">N4</f>
        <v>116023.05288461539</v>
      </c>
      <c r="P4" s="412">
        <f>('Assumptions &amp; Sensitivity'!$D$84/91)*'P&amp;L'!O8</f>
        <v>119881.38315576923</v>
      </c>
      <c r="Q4" s="412">
        <f>('Assumptions &amp; Sensitivity'!$D$84/91)*'P&amp;L'!P8</f>
        <v>119388.47404222564</v>
      </c>
      <c r="R4" s="412">
        <f>('Assumptions &amp; Sensitivity'!$D$84/91)*'P&amp;L'!Q8</f>
        <v>130630.7595630892</v>
      </c>
      <c r="S4" s="412">
        <f>('Assumptions &amp; Sensitivity'!$D$84/91)*'P&amp;L'!R8</f>
        <v>135964.51572335404</v>
      </c>
      <c r="T4" s="408">
        <f t="shared" ref="T4:T11" si="5">S4</f>
        <v>135964.51572335404</v>
      </c>
      <c r="U4" s="412">
        <f>('Assumptions &amp; Sensitivity'!$D$84/91)*'P&amp;L'!T8</f>
        <v>185405.78365861063</v>
      </c>
      <c r="V4" s="412">
        <f>('Assumptions &amp; Sensitivity'!$D$84/91)*'P&amp;L'!U8</f>
        <v>244788.90309183503</v>
      </c>
      <c r="W4" s="412">
        <f>('Assumptions &amp; Sensitivity'!$D$84/91)*'P&amp;L'!V8</f>
        <v>326094.14755428629</v>
      </c>
      <c r="X4" s="412">
        <f>('Assumptions &amp; Sensitivity'!$D$84/91)*'P&amp;L'!W8</f>
        <v>403668.43344735441</v>
      </c>
      <c r="Y4" s="408">
        <f t="shared" ref="Y4:Y11" si="6">X4</f>
        <v>403668.43344735441</v>
      </c>
      <c r="Z4" s="412">
        <f>('Assumptions &amp; Sensitivity'!$D$84/91)*'P&amp;L'!Y8</f>
        <v>543268.71203213756</v>
      </c>
      <c r="AA4" s="412">
        <f>('Assumptions &amp; Sensitivity'!$D$84/91)*'P&amp;L'!Z8</f>
        <v>645373.46334841335</v>
      </c>
      <c r="AB4" s="412">
        <f>('Assumptions &amp; Sensitivity'!$D$84/91)*'P&amp;L'!AA8</f>
        <v>806267.62686656683</v>
      </c>
      <c r="AC4" s="412">
        <f>('Assumptions &amp; Sensitivity'!$D$84/91)*'P&amp;L'!AB8</f>
        <v>978030.44212141039</v>
      </c>
      <c r="AD4" s="408">
        <f t="shared" si="1"/>
        <v>978030.44212141039</v>
      </c>
      <c r="AE4" s="412">
        <f>('Assumptions &amp; Sensitivity'!$D$84/91)*'P&amp;L'!AC8</f>
        <v>2972940.2443685285</v>
      </c>
      <c r="AF4" s="412">
        <f>('Assumptions &amp; Sensitivity'!$D$84/91)*'P&amp;L'!AD8</f>
        <v>1223789.5364377256</v>
      </c>
      <c r="AG4" s="412">
        <f>('Assumptions &amp; Sensitivity'!$D$84/91)*'P&amp;L'!AE8</f>
        <v>1404845.0238112931</v>
      </c>
      <c r="AH4" s="412">
        <f>('Assumptions &amp; Sensitivity'!$D$84/91)*'P&amp;L'!AF8</f>
        <v>1657161.5243046754</v>
      </c>
      <c r="AI4" s="409">
        <f t="shared" si="2"/>
        <v>1657161.5243046754</v>
      </c>
    </row>
    <row r="5" spans="2:35" ht="24.95" customHeight="1">
      <c r="B5" s="406" t="s">
        <v>246</v>
      </c>
      <c r="C5" s="413"/>
      <c r="D5" s="413"/>
      <c r="E5" s="408">
        <f>SUM(E6:E7)</f>
        <v>250000</v>
      </c>
      <c r="F5" s="414">
        <f>SUM(F6:F7)</f>
        <v>219830.44</v>
      </c>
      <c r="G5" s="414">
        <f t="shared" ref="G5:X5" si="7">SUM(G6:G7)</f>
        <v>1165192.74</v>
      </c>
      <c r="H5" s="414">
        <f t="shared" si="7"/>
        <v>1116493.6399999999</v>
      </c>
      <c r="I5" s="414">
        <f t="shared" si="7"/>
        <v>1056426.5</v>
      </c>
      <c r="J5" s="408">
        <f t="shared" si="3"/>
        <v>1056426.5</v>
      </c>
      <c r="K5" s="414">
        <f t="shared" si="7"/>
        <v>987426.5</v>
      </c>
      <c r="L5" s="414">
        <f t="shared" si="7"/>
        <v>4918426.5</v>
      </c>
      <c r="M5" s="414">
        <f t="shared" si="7"/>
        <v>4464159.9375</v>
      </c>
      <c r="N5" s="414">
        <f t="shared" si="7"/>
        <v>3961393.375</v>
      </c>
      <c r="O5" s="408">
        <f t="shared" si="4"/>
        <v>3961393.375</v>
      </c>
      <c r="P5" s="414">
        <f>SUM(P6:P7)</f>
        <v>3570814.5613250001</v>
      </c>
      <c r="Q5" s="414">
        <f t="shared" si="7"/>
        <v>3287832.9971420225</v>
      </c>
      <c r="R5" s="414">
        <f t="shared" si="7"/>
        <v>3088700.8823686359</v>
      </c>
      <c r="S5" s="414">
        <f t="shared" si="7"/>
        <v>3035025.3342341017</v>
      </c>
      <c r="T5" s="408">
        <f t="shared" si="5"/>
        <v>3035025.3342341017</v>
      </c>
      <c r="U5" s="414">
        <f t="shared" si="7"/>
        <v>3011091.3017134555</v>
      </c>
      <c r="V5" s="414">
        <f t="shared" si="7"/>
        <v>3100061.9583155038</v>
      </c>
      <c r="W5" s="414">
        <f t="shared" si="7"/>
        <v>3409685.0089135966</v>
      </c>
      <c r="X5" s="414">
        <f t="shared" si="7"/>
        <v>4052373.2806417271</v>
      </c>
      <c r="Y5" s="408">
        <f t="shared" si="6"/>
        <v>4052373.2806417271</v>
      </c>
      <c r="Z5" s="414">
        <f t="shared" ref="Z5:AC5" si="8">SUM(Z6:Z7)</f>
        <v>5325107.8610502798</v>
      </c>
      <c r="AA5" s="414">
        <f t="shared" si="8"/>
        <v>6861103.5724208783</v>
      </c>
      <c r="AB5" s="414">
        <f t="shared" si="8"/>
        <v>8969906.8653809987</v>
      </c>
      <c r="AC5" s="414">
        <f t="shared" si="8"/>
        <v>11951386.934652038</v>
      </c>
      <c r="AD5" s="408">
        <f t="shared" si="1"/>
        <v>11951386.934652038</v>
      </c>
      <c r="AE5" s="414">
        <f t="shared" ref="AE5:AH5" si="9">SUM(AE6:AE7)</f>
        <v>11951386.934652038</v>
      </c>
      <c r="AF5" s="414">
        <f t="shared" si="9"/>
        <v>0</v>
      </c>
      <c r="AG5" s="414">
        <f t="shared" si="9"/>
        <v>0</v>
      </c>
      <c r="AH5" s="414">
        <f t="shared" si="9"/>
        <v>0</v>
      </c>
      <c r="AI5" s="409">
        <f t="shared" si="2"/>
        <v>0</v>
      </c>
    </row>
    <row r="6" spans="2:35" ht="24.95" customHeight="1">
      <c r="B6" s="415"/>
      <c r="C6" s="309" t="s">
        <v>148</v>
      </c>
      <c r="D6" s="309"/>
      <c r="E6" s="408">
        <f>'Assumptions &amp; Sensitivity'!D86</f>
        <v>250000</v>
      </c>
      <c r="F6" s="416">
        <f>'Equity Schedule'!F12</f>
        <v>250000</v>
      </c>
      <c r="G6" s="416">
        <f>'Equity Schedule'!G12</f>
        <v>1250000</v>
      </c>
      <c r="H6" s="416">
        <f>'Equity Schedule'!H12</f>
        <v>1250000</v>
      </c>
      <c r="I6" s="416">
        <f>'Equity Schedule'!I12</f>
        <v>1250000</v>
      </c>
      <c r="J6" s="408">
        <f t="shared" si="3"/>
        <v>1250000</v>
      </c>
      <c r="K6" s="416">
        <f>'Equity Schedule'!K12</f>
        <v>1250000</v>
      </c>
      <c r="L6" s="416">
        <f>'Equity Schedule'!L12</f>
        <v>5250000</v>
      </c>
      <c r="M6" s="416">
        <f>'Equity Schedule'!M12</f>
        <v>5250000</v>
      </c>
      <c r="N6" s="416">
        <f>'Equity Schedule'!N12</f>
        <v>5250000</v>
      </c>
      <c r="O6" s="408">
        <f t="shared" si="4"/>
        <v>5250000</v>
      </c>
      <c r="P6" s="416">
        <f>'Equity Schedule'!P12</f>
        <v>5250000</v>
      </c>
      <c r="Q6" s="416">
        <f>'Equity Schedule'!Q12</f>
        <v>5250000</v>
      </c>
      <c r="R6" s="416">
        <f>'Equity Schedule'!R12</f>
        <v>5250000</v>
      </c>
      <c r="S6" s="416">
        <f>'Equity Schedule'!S12</f>
        <v>5250000</v>
      </c>
      <c r="T6" s="408">
        <f t="shared" si="5"/>
        <v>5250000</v>
      </c>
      <c r="U6" s="416">
        <f>'Equity Schedule'!U12</f>
        <v>5250000</v>
      </c>
      <c r="V6" s="416">
        <f>'Equity Schedule'!V12</f>
        <v>5250000</v>
      </c>
      <c r="W6" s="416">
        <f>'Equity Schedule'!W12</f>
        <v>5250000</v>
      </c>
      <c r="X6" s="416">
        <f>'Equity Schedule'!X12</f>
        <v>5250000</v>
      </c>
      <c r="Y6" s="408">
        <f t="shared" si="6"/>
        <v>5250000</v>
      </c>
      <c r="Z6" s="416">
        <f>'Equity Schedule'!Z12</f>
        <v>5250000</v>
      </c>
      <c r="AA6" s="416">
        <f>'Equity Schedule'!AA12</f>
        <v>5250000</v>
      </c>
      <c r="AB6" s="416">
        <f>'Equity Schedule'!AB12</f>
        <v>5250000</v>
      </c>
      <c r="AC6" s="416">
        <f>'Equity Schedule'!AC12</f>
        <v>5250000</v>
      </c>
      <c r="AD6" s="408">
        <f t="shared" si="1"/>
        <v>5250000</v>
      </c>
      <c r="AE6" s="416">
        <f>'Equity Schedule'!AD12</f>
        <v>5250000</v>
      </c>
      <c r="AF6" s="416">
        <f>'Equity Schedule'!AE12</f>
        <v>0</v>
      </c>
      <c r="AG6" s="416">
        <f>'Equity Schedule'!AF12</f>
        <v>0</v>
      </c>
      <c r="AH6" s="416">
        <f>'Equity Schedule'!AG12</f>
        <v>0</v>
      </c>
      <c r="AI6" s="409">
        <f t="shared" si="2"/>
        <v>0</v>
      </c>
    </row>
    <row r="7" spans="2:35" ht="24.95" customHeight="1">
      <c r="B7" s="415"/>
      <c r="C7" s="309" t="s">
        <v>247</v>
      </c>
      <c r="D7" s="309"/>
      <c r="E7" s="408">
        <f>'Equity Schedule'!E17</f>
        <v>0</v>
      </c>
      <c r="F7" s="261">
        <f>'Equity Schedule'!F17</f>
        <v>-30169.56</v>
      </c>
      <c r="G7" s="261">
        <f>'Equity Schedule'!G17</f>
        <v>-84807.260000000009</v>
      </c>
      <c r="H7" s="261">
        <f>'Equity Schedule'!H17</f>
        <v>-133506.36000000002</v>
      </c>
      <c r="I7" s="412">
        <f>'Equity Schedule'!I17</f>
        <v>-193573.5</v>
      </c>
      <c r="J7" s="408">
        <f t="shared" si="3"/>
        <v>-193573.5</v>
      </c>
      <c r="K7" s="412">
        <f>'Equity Schedule'!K17</f>
        <v>-262573.5</v>
      </c>
      <c r="L7" s="412">
        <f>'Equity Schedule'!L17</f>
        <v>-331573.5</v>
      </c>
      <c r="M7" s="412">
        <f>'Equity Schedule'!M17</f>
        <v>-785840.0625</v>
      </c>
      <c r="N7" s="412">
        <f>'Equity Schedule'!N17</f>
        <v>-1288606.625</v>
      </c>
      <c r="O7" s="408">
        <f t="shared" si="4"/>
        <v>-1288606.625</v>
      </c>
      <c r="P7" s="412">
        <f>'Equity Schedule'!P17</f>
        <v>-1679185.4386749999</v>
      </c>
      <c r="Q7" s="412">
        <f>'Equity Schedule'!Q17</f>
        <v>-1962167.0028579775</v>
      </c>
      <c r="R7" s="412">
        <f>'Equity Schedule'!R17</f>
        <v>-2161299.1176313641</v>
      </c>
      <c r="S7" s="412">
        <f>'Equity Schedule'!S17</f>
        <v>-2214974.6657658983</v>
      </c>
      <c r="T7" s="408">
        <f t="shared" si="5"/>
        <v>-2214974.6657658983</v>
      </c>
      <c r="U7" s="412">
        <f>'Equity Schedule'!U17</f>
        <v>-2238908.6982865445</v>
      </c>
      <c r="V7" s="412">
        <f>'Equity Schedule'!V17</f>
        <v>-2149938.0416844962</v>
      </c>
      <c r="W7" s="412">
        <f>'Equity Schedule'!W17</f>
        <v>-1840314.9910864034</v>
      </c>
      <c r="X7" s="412">
        <f>'Equity Schedule'!X17</f>
        <v>-1197626.7193582726</v>
      </c>
      <c r="Y7" s="408">
        <f t="shared" si="6"/>
        <v>-1197626.7193582726</v>
      </c>
      <c r="Z7" s="412">
        <f>'Equity Schedule'!Z17</f>
        <v>75107.861050280277</v>
      </c>
      <c r="AA7" s="412">
        <f>'Equity Schedule'!AA17</f>
        <v>1611103.5724208788</v>
      </c>
      <c r="AB7" s="412">
        <f>'Equity Schedule'!AB17</f>
        <v>3719906.8653809982</v>
      </c>
      <c r="AC7" s="412">
        <f>'Equity Schedule'!AC17</f>
        <v>6701386.934652037</v>
      </c>
      <c r="AD7" s="408">
        <f t="shared" si="1"/>
        <v>6701386.934652037</v>
      </c>
      <c r="AE7" s="412">
        <f>'Equity Schedule'!AD17</f>
        <v>6701386.934652037</v>
      </c>
      <c r="AF7" s="412">
        <f>'Equity Schedule'!AE17</f>
        <v>0</v>
      </c>
      <c r="AG7" s="412">
        <f>'Equity Schedule'!AF17</f>
        <v>0</v>
      </c>
      <c r="AH7" s="412">
        <f>'Equity Schedule'!AG17</f>
        <v>0</v>
      </c>
      <c r="AI7" s="409">
        <f t="shared" si="2"/>
        <v>0</v>
      </c>
    </row>
    <row r="8" spans="2:35" ht="24.95" customHeight="1">
      <c r="B8" s="417" t="s">
        <v>248</v>
      </c>
      <c r="C8" s="418"/>
      <c r="D8" s="418"/>
      <c r="E8" s="419">
        <f t="shared" ref="E8:X8" si="10">E3+E5</f>
        <v>250000</v>
      </c>
      <c r="F8" s="419">
        <f>F3+F5</f>
        <v>219830.44</v>
      </c>
      <c r="G8" s="419">
        <f t="shared" si="10"/>
        <v>1165192.74</v>
      </c>
      <c r="H8" s="419">
        <f t="shared" si="10"/>
        <v>1116493.6399999999</v>
      </c>
      <c r="I8" s="419">
        <f t="shared" si="10"/>
        <v>1056426.5</v>
      </c>
      <c r="J8" s="419">
        <f t="shared" si="3"/>
        <v>1056426.5</v>
      </c>
      <c r="K8" s="419">
        <f t="shared" si="10"/>
        <v>1003349.5769230769</v>
      </c>
      <c r="L8" s="419">
        <f t="shared" si="10"/>
        <v>4934349.576923077</v>
      </c>
      <c r="M8" s="419">
        <f t="shared" si="10"/>
        <v>4568990.682692308</v>
      </c>
      <c r="N8" s="419">
        <f t="shared" si="10"/>
        <v>4077416.4278846155</v>
      </c>
      <c r="O8" s="419">
        <f t="shared" si="4"/>
        <v>4077416.4278846155</v>
      </c>
      <c r="P8" s="419">
        <f t="shared" si="10"/>
        <v>3690695.9444807693</v>
      </c>
      <c r="Q8" s="419">
        <f t="shared" si="10"/>
        <v>3407221.4711842481</v>
      </c>
      <c r="R8" s="419">
        <f t="shared" si="10"/>
        <v>3219331.6419317252</v>
      </c>
      <c r="S8" s="419">
        <f t="shared" si="10"/>
        <v>3170989.8499574559</v>
      </c>
      <c r="T8" s="419">
        <f t="shared" si="5"/>
        <v>3170989.8499574559</v>
      </c>
      <c r="U8" s="419">
        <f t="shared" si="10"/>
        <v>3196497.0853720661</v>
      </c>
      <c r="V8" s="419">
        <f t="shared" si="10"/>
        <v>3344850.8614073386</v>
      </c>
      <c r="W8" s="419">
        <f t="shared" si="10"/>
        <v>3735779.1564678829</v>
      </c>
      <c r="X8" s="419">
        <f t="shared" si="10"/>
        <v>4456041.7140890816</v>
      </c>
      <c r="Y8" s="419">
        <f t="shared" si="6"/>
        <v>4456041.7140890816</v>
      </c>
      <c r="Z8" s="419">
        <f t="shared" ref="Z8:AC8" si="11">Z3+Z5</f>
        <v>5868376.5730824172</v>
      </c>
      <c r="AA8" s="419">
        <f t="shared" si="11"/>
        <v>7506477.0357692912</v>
      </c>
      <c r="AB8" s="419">
        <f t="shared" si="11"/>
        <v>9776174.4922475647</v>
      </c>
      <c r="AC8" s="419">
        <f t="shared" si="11"/>
        <v>12929417.376773449</v>
      </c>
      <c r="AD8" s="419">
        <f t="shared" si="1"/>
        <v>12929417.376773449</v>
      </c>
      <c r="AE8" s="419">
        <f t="shared" ref="AE8:AH8" si="12">AE3+AE5</f>
        <v>14924327.179020567</v>
      </c>
      <c r="AF8" s="419">
        <f t="shared" si="12"/>
        <v>1223789.5364377256</v>
      </c>
      <c r="AG8" s="419">
        <f t="shared" si="12"/>
        <v>1404845.0238112931</v>
      </c>
      <c r="AH8" s="419">
        <f t="shared" si="12"/>
        <v>1657161.5243046754</v>
      </c>
      <c r="AI8" s="420">
        <f t="shared" si="2"/>
        <v>1657161.5243046754</v>
      </c>
    </row>
    <row r="9" spans="2:35" ht="24.95" customHeight="1">
      <c r="B9" s="406" t="s">
        <v>249</v>
      </c>
      <c r="C9" s="413"/>
      <c r="D9" s="413"/>
      <c r="E9" s="408">
        <f>SUM(E10:E11)</f>
        <v>250000</v>
      </c>
      <c r="F9" s="414">
        <f t="shared" ref="F9:X9" si="13">SUM(F10:F11)</f>
        <v>219830.44</v>
      </c>
      <c r="G9" s="414">
        <f t="shared" si="13"/>
        <v>1165192.74</v>
      </c>
      <c r="H9" s="414">
        <f t="shared" si="13"/>
        <v>1116493.6399999999</v>
      </c>
      <c r="I9" s="414">
        <f t="shared" si="13"/>
        <v>1056426.5</v>
      </c>
      <c r="J9" s="408">
        <f t="shared" si="3"/>
        <v>1056426.5</v>
      </c>
      <c r="K9" s="414">
        <f t="shared" si="13"/>
        <v>1003349.5769230769</v>
      </c>
      <c r="L9" s="414">
        <f t="shared" si="13"/>
        <v>4934349.576923077</v>
      </c>
      <c r="M9" s="414">
        <f t="shared" si="13"/>
        <v>4568990.682692308</v>
      </c>
      <c r="N9" s="414">
        <f t="shared" si="13"/>
        <v>4077416.4278846155</v>
      </c>
      <c r="O9" s="408">
        <f t="shared" si="4"/>
        <v>4077416.4278846155</v>
      </c>
      <c r="P9" s="414">
        <f t="shared" si="13"/>
        <v>3690695.9444807693</v>
      </c>
      <c r="Q9" s="414">
        <f t="shared" si="13"/>
        <v>3407221.4711842476</v>
      </c>
      <c r="R9" s="414">
        <f t="shared" si="13"/>
        <v>3219331.6419317247</v>
      </c>
      <c r="S9" s="414">
        <f t="shared" si="13"/>
        <v>3170989.8499574554</v>
      </c>
      <c r="T9" s="408">
        <f t="shared" si="5"/>
        <v>3170989.8499574554</v>
      </c>
      <c r="U9" s="414">
        <f t="shared" si="13"/>
        <v>3196497.0853720657</v>
      </c>
      <c r="V9" s="414">
        <f t="shared" si="13"/>
        <v>3344850.8614073386</v>
      </c>
      <c r="W9" s="414">
        <f t="shared" si="13"/>
        <v>3735779.1564678825</v>
      </c>
      <c r="X9" s="414">
        <f t="shared" si="13"/>
        <v>4456041.7140890816</v>
      </c>
      <c r="Y9" s="408">
        <f t="shared" si="6"/>
        <v>4456041.7140890816</v>
      </c>
      <c r="Z9" s="414">
        <f t="shared" ref="Z9:AC9" si="14">SUM(Z10:Z11)</f>
        <v>5868376.5730824182</v>
      </c>
      <c r="AA9" s="414">
        <f t="shared" si="14"/>
        <v>7506477.0357692922</v>
      </c>
      <c r="AB9" s="414">
        <f t="shared" si="14"/>
        <v>9776174.4922475647</v>
      </c>
      <c r="AC9" s="414">
        <f t="shared" si="14"/>
        <v>12929417.376773447</v>
      </c>
      <c r="AD9" s="408">
        <f t="shared" si="1"/>
        <v>12929417.376773447</v>
      </c>
      <c r="AE9" s="414">
        <f t="shared" ref="AE9:AH9" si="15">SUM(AE10:AE11)</f>
        <v>17726443.331718504</v>
      </c>
      <c r="AF9" s="414">
        <f t="shared" si="15"/>
        <v>21656240.778036505</v>
      </c>
      <c r="AG9" s="414">
        <f t="shared" si="15"/>
        <v>25934379.84736672</v>
      </c>
      <c r="AH9" s="414">
        <f t="shared" si="15"/>
        <v>31539713.841867317</v>
      </c>
      <c r="AI9" s="409">
        <f t="shared" si="2"/>
        <v>31539713.841867317</v>
      </c>
    </row>
    <row r="10" spans="2:35" ht="24.95" customHeight="1">
      <c r="B10" s="421" t="s">
        <v>250</v>
      </c>
      <c r="C10" s="309"/>
      <c r="D10" s="309"/>
      <c r="E10" s="408">
        <f>E8</f>
        <v>250000</v>
      </c>
      <c r="F10" s="283">
        <f>CFS!D13</f>
        <v>219830.44</v>
      </c>
      <c r="G10" s="283">
        <f>CFS!E13</f>
        <v>1165192.74</v>
      </c>
      <c r="H10" s="283">
        <f>CFS!F13</f>
        <v>1116493.6399999999</v>
      </c>
      <c r="I10" s="283">
        <f>CFS!G13</f>
        <v>1056426.5</v>
      </c>
      <c r="J10" s="408">
        <f t="shared" si="3"/>
        <v>1056426.5</v>
      </c>
      <c r="K10" s="283">
        <f>CFS!I13</f>
        <v>1003349.5769230769</v>
      </c>
      <c r="L10" s="283">
        <f>CFS!J13</f>
        <v>4934349.576923077</v>
      </c>
      <c r="M10" s="283">
        <f>CFS!K13</f>
        <v>4568990.682692308</v>
      </c>
      <c r="N10" s="283">
        <f>CFS!L13</f>
        <v>4077416.4278846155</v>
      </c>
      <c r="O10" s="408">
        <f t="shared" si="4"/>
        <v>4077416.4278846155</v>
      </c>
      <c r="P10" s="283">
        <f>CFS!N13</f>
        <v>3648199.0719532967</v>
      </c>
      <c r="Q10" s="283">
        <f>CFS!O13</f>
        <v>3329957.1338216104</v>
      </c>
      <c r="R10" s="283">
        <f>CFS!P13</f>
        <v>3098364.2210526038</v>
      </c>
      <c r="S10" s="283">
        <f>CFS!Q13</f>
        <v>2994450.0631442685</v>
      </c>
      <c r="T10" s="408">
        <f t="shared" si="5"/>
        <v>2994450.0631442685</v>
      </c>
      <c r="U10" s="283">
        <f>CFS!S13</f>
        <v>2939522.020536901</v>
      </c>
      <c r="V10" s="283">
        <f>CFS!T13</f>
        <v>2965821.4427260198</v>
      </c>
      <c r="W10" s="283">
        <f>CFS!U13</f>
        <v>3167856.8410832672</v>
      </c>
      <c r="X10" s="283">
        <f>CFS!V13</f>
        <v>3667497.2690341366</v>
      </c>
      <c r="Y10" s="408">
        <f t="shared" si="6"/>
        <v>3667497.2690341366</v>
      </c>
      <c r="Z10" s="283">
        <f>CFS!X13</f>
        <v>4666113.5906648356</v>
      </c>
      <c r="AA10" s="283">
        <f>CFS!Y13</f>
        <v>5943537.4610440172</v>
      </c>
      <c r="AB10" s="283">
        <f>CFS!Z13</f>
        <v>7744351.0944453673</v>
      </c>
      <c r="AC10" s="283">
        <f>CFS!AA13</f>
        <v>10288046.831718503</v>
      </c>
      <c r="AD10" s="408">
        <f t="shared" si="1"/>
        <v>10288046.831718503</v>
      </c>
      <c r="AE10" s="283">
        <f>CFS!AB13</f>
        <v>10288046.831718503</v>
      </c>
      <c r="AF10" s="283">
        <f>CFS!AC13</f>
        <v>18187060.485728811</v>
      </c>
      <c r="AG10" s="283">
        <f>CFS!AD13</f>
        <v>21728882.693520565</v>
      </c>
      <c r="AH10" s="283">
        <f>CFS!AE13</f>
        <v>26442141.534175009</v>
      </c>
      <c r="AI10" s="409">
        <f t="shared" si="2"/>
        <v>26442141.534175009</v>
      </c>
    </row>
    <row r="11" spans="2:35" ht="24.95" customHeight="1">
      <c r="B11" s="421" t="s">
        <v>251</v>
      </c>
      <c r="C11" s="309"/>
      <c r="D11" s="309"/>
      <c r="E11" s="408">
        <v>0</v>
      </c>
      <c r="F11" s="422">
        <f>('Assumptions &amp; Sensitivity'!$D$83/91)*'P&amp;L'!E3</f>
        <v>0</v>
      </c>
      <c r="G11" s="422">
        <f>('Assumptions &amp; Sensitivity'!$D$83/91)*'P&amp;L'!F3</f>
        <v>0</v>
      </c>
      <c r="H11" s="422">
        <f>('Assumptions &amp; Sensitivity'!$D$83/91)*'P&amp;L'!G3</f>
        <v>0</v>
      </c>
      <c r="I11" s="422">
        <f>('Assumptions &amp; Sensitivity'!$D$83/91)*'P&amp;L'!H3</f>
        <v>0</v>
      </c>
      <c r="J11" s="408">
        <f t="shared" si="3"/>
        <v>0</v>
      </c>
      <c r="K11" s="422">
        <f>('Assumptions &amp; Sensitivity'!$D$83/91)*'P&amp;L'!J3</f>
        <v>0</v>
      </c>
      <c r="L11" s="422">
        <f>('Assumptions &amp; Sensitivity'!$D$83/91)*'P&amp;L'!K3</f>
        <v>0</v>
      </c>
      <c r="M11" s="422">
        <f>('Assumptions &amp; Sensitivity'!$D$83/91)*'P&amp;L'!L3</f>
        <v>0</v>
      </c>
      <c r="N11" s="422">
        <f>('Assumptions &amp; Sensitivity'!$D$83/91)*'P&amp;L'!M3</f>
        <v>0</v>
      </c>
      <c r="O11" s="408">
        <f t="shared" si="4"/>
        <v>0</v>
      </c>
      <c r="P11" s="422">
        <f>('Assumptions &amp; Sensitivity'!$D$83/91)*'P&amp;L'!O3</f>
        <v>42496.872527472522</v>
      </c>
      <c r="Q11" s="422">
        <f>('Assumptions &amp; Sensitivity'!$D$83/91)*'P&amp;L'!P3</f>
        <v>77264.337362637365</v>
      </c>
      <c r="R11" s="422">
        <f>('Assumptions &amp; Sensitivity'!$D$83/91)*'P&amp;L'!Q3</f>
        <v>120967.42087912088</v>
      </c>
      <c r="S11" s="422">
        <f>('Assumptions &amp; Sensitivity'!$D$83/91)*'P&amp;L'!R3</f>
        <v>176539.78681318683</v>
      </c>
      <c r="T11" s="408">
        <f t="shared" si="5"/>
        <v>176539.78681318683</v>
      </c>
      <c r="U11" s="422">
        <f>('Assumptions &amp; Sensitivity'!$D$83/91)*'P&amp;L'!T3</f>
        <v>256975.06483516481</v>
      </c>
      <c r="V11" s="422">
        <f>('Assumptions &amp; Sensitivity'!$D$83/91)*'P&amp;L'!U3</f>
        <v>379029.41868131864</v>
      </c>
      <c r="W11" s="422">
        <f>('Assumptions &amp; Sensitivity'!$D$83/91)*'P&amp;L'!V3</f>
        <v>567922.31538461533</v>
      </c>
      <c r="X11" s="422">
        <f>('Assumptions &amp; Sensitivity'!$D$83/91)*'P&amp;L'!W3</f>
        <v>788544.44505494495</v>
      </c>
      <c r="Y11" s="408">
        <f t="shared" si="6"/>
        <v>788544.44505494495</v>
      </c>
      <c r="Z11" s="422">
        <f>('Assumptions &amp; Sensitivity'!$D$83/91)*'P&amp;L'!Y3</f>
        <v>1202262.9824175823</v>
      </c>
      <c r="AA11" s="422">
        <f>('Assumptions &amp; Sensitivity'!$D$83/91)*'P&amp;L'!Z3</f>
        <v>1562939.5747252747</v>
      </c>
      <c r="AB11" s="422">
        <f>('Assumptions &amp; Sensitivity'!$D$83/91)*'P&amp;L'!AA3</f>
        <v>2031823.3978021976</v>
      </c>
      <c r="AC11" s="422">
        <f>('Assumptions &amp; Sensitivity'!$D$83/91)*'P&amp;L'!AB3</f>
        <v>2641370.5450549452</v>
      </c>
      <c r="AD11" s="408">
        <f t="shared" si="1"/>
        <v>2641370.5450549452</v>
      </c>
      <c r="AE11" s="422">
        <f>('Assumptions &amp; Sensitivity'!$D$83/91)*'P&amp;L'!AC3</f>
        <v>7438396.5</v>
      </c>
      <c r="AF11" s="422">
        <f>('Assumptions &amp; Sensitivity'!$D$83/91)*'P&amp;L'!AD3</f>
        <v>3469180.2923076916</v>
      </c>
      <c r="AG11" s="422">
        <f>('Assumptions &amp; Sensitivity'!$D$83/91)*'P&amp;L'!AE3</f>
        <v>4205497.153846154</v>
      </c>
      <c r="AH11" s="422">
        <f>('Assumptions &amp; Sensitivity'!$D$83/91)*'P&amp;L'!AF3</f>
        <v>5097572.307692308</v>
      </c>
      <c r="AI11" s="409">
        <f t="shared" si="2"/>
        <v>5097572.307692308</v>
      </c>
    </row>
    <row r="12" spans="2:35" ht="24.95" customHeight="1">
      <c r="B12" s="423" t="s">
        <v>252</v>
      </c>
      <c r="C12" s="424"/>
      <c r="D12" s="424"/>
      <c r="E12" s="425">
        <f>E9</f>
        <v>250000</v>
      </c>
      <c r="F12" s="425">
        <f t="shared" ref="F12:X12" si="16">F9</f>
        <v>219830.44</v>
      </c>
      <c r="G12" s="425">
        <f t="shared" si="16"/>
        <v>1165192.74</v>
      </c>
      <c r="H12" s="425">
        <f t="shared" si="16"/>
        <v>1116493.6399999999</v>
      </c>
      <c r="I12" s="425">
        <f t="shared" si="16"/>
        <v>1056426.5</v>
      </c>
      <c r="J12" s="425">
        <f>I12</f>
        <v>1056426.5</v>
      </c>
      <c r="K12" s="425">
        <f t="shared" si="16"/>
        <v>1003349.5769230769</v>
      </c>
      <c r="L12" s="425">
        <f t="shared" si="16"/>
        <v>4934349.576923077</v>
      </c>
      <c r="M12" s="425">
        <f t="shared" si="16"/>
        <v>4568990.682692308</v>
      </c>
      <c r="N12" s="425">
        <f t="shared" si="16"/>
        <v>4077416.4278846155</v>
      </c>
      <c r="O12" s="425">
        <f>N12</f>
        <v>4077416.4278846155</v>
      </c>
      <c r="P12" s="425">
        <f t="shared" si="16"/>
        <v>3690695.9444807693</v>
      </c>
      <c r="Q12" s="425">
        <f t="shared" si="16"/>
        <v>3407221.4711842476</v>
      </c>
      <c r="R12" s="425">
        <f t="shared" si="16"/>
        <v>3219331.6419317247</v>
      </c>
      <c r="S12" s="425">
        <f t="shared" si="16"/>
        <v>3170989.8499574554</v>
      </c>
      <c r="T12" s="425">
        <f>S12</f>
        <v>3170989.8499574554</v>
      </c>
      <c r="U12" s="425">
        <f t="shared" si="16"/>
        <v>3196497.0853720657</v>
      </c>
      <c r="V12" s="425">
        <f t="shared" si="16"/>
        <v>3344850.8614073386</v>
      </c>
      <c r="W12" s="425">
        <f t="shared" si="16"/>
        <v>3735779.1564678825</v>
      </c>
      <c r="X12" s="425">
        <f t="shared" si="16"/>
        <v>4456041.7140890816</v>
      </c>
      <c r="Y12" s="425">
        <f>X12</f>
        <v>4456041.7140890816</v>
      </c>
      <c r="Z12" s="425">
        <f t="shared" ref="Z12:AC12" si="17">Z9</f>
        <v>5868376.5730824182</v>
      </c>
      <c r="AA12" s="425">
        <f t="shared" si="17"/>
        <v>7506477.0357692922</v>
      </c>
      <c r="AB12" s="425">
        <f t="shared" si="17"/>
        <v>9776174.4922475647</v>
      </c>
      <c r="AC12" s="425">
        <f t="shared" si="17"/>
        <v>12929417.376773447</v>
      </c>
      <c r="AD12" s="425">
        <f t="shared" si="1"/>
        <v>12929417.376773447</v>
      </c>
      <c r="AE12" s="425">
        <f t="shared" ref="AE12:AH12" si="18">AE9</f>
        <v>17726443.331718504</v>
      </c>
      <c r="AF12" s="425">
        <f t="shared" si="18"/>
        <v>21656240.778036505</v>
      </c>
      <c r="AG12" s="425">
        <f t="shared" si="18"/>
        <v>25934379.84736672</v>
      </c>
      <c r="AH12" s="425">
        <f t="shared" si="18"/>
        <v>31539713.841867317</v>
      </c>
      <c r="AI12" s="426">
        <f t="shared" si="2"/>
        <v>31539713.841867317</v>
      </c>
    </row>
    <row r="13" spans="2:35" ht="24.95" customHeight="1">
      <c r="B13" s="309"/>
      <c r="C13" s="309"/>
      <c r="D13" s="309"/>
      <c r="E13" s="427"/>
      <c r="F13" s="428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7"/>
      <c r="S13" s="427"/>
      <c r="T13" s="428"/>
      <c r="U13" s="427"/>
      <c r="V13" s="427"/>
      <c r="W13" s="427"/>
      <c r="X13" s="427"/>
      <c r="Y13" s="428"/>
      <c r="Z13" s="427"/>
      <c r="AA13" s="427"/>
      <c r="AB13" s="427"/>
      <c r="AC13" s="427"/>
      <c r="AE13" s="428"/>
    </row>
    <row r="14" spans="2:35" ht="24.95" customHeight="1">
      <c r="B14" s="309"/>
      <c r="C14" s="413" t="s">
        <v>253</v>
      </c>
      <c r="D14" s="309"/>
      <c r="E14" s="429" t="b">
        <f t="shared" ref="E14:Y14" si="19">ABS(E8-E12)&lt;1</f>
        <v>1</v>
      </c>
      <c r="F14" s="429" t="b">
        <f>ABS(F8-F12)&lt;1</f>
        <v>1</v>
      </c>
      <c r="G14" s="429" t="b">
        <f t="shared" si="19"/>
        <v>1</v>
      </c>
      <c r="H14" s="429" t="b">
        <f t="shared" si="19"/>
        <v>1</v>
      </c>
      <c r="I14" s="429" t="b">
        <f t="shared" si="19"/>
        <v>1</v>
      </c>
      <c r="J14" s="429" t="b">
        <f t="shared" ref="J14" si="20">ABS(J8-J12)&lt;1</f>
        <v>1</v>
      </c>
      <c r="K14" s="429" t="b">
        <f t="shared" si="19"/>
        <v>1</v>
      </c>
      <c r="L14" s="429" t="b">
        <f t="shared" si="19"/>
        <v>1</v>
      </c>
      <c r="M14" s="429" t="b">
        <f t="shared" si="19"/>
        <v>1</v>
      </c>
      <c r="N14" s="429" t="b">
        <f t="shared" si="19"/>
        <v>1</v>
      </c>
      <c r="O14" s="429" t="b">
        <f t="shared" si="19"/>
        <v>1</v>
      </c>
      <c r="P14" s="429" t="b">
        <f t="shared" si="19"/>
        <v>1</v>
      </c>
      <c r="Q14" s="429" t="b">
        <f t="shared" si="19"/>
        <v>1</v>
      </c>
      <c r="R14" s="429" t="b">
        <f t="shared" si="19"/>
        <v>1</v>
      </c>
      <c r="S14" s="429" t="b">
        <f t="shared" si="19"/>
        <v>1</v>
      </c>
      <c r="T14" s="429" t="b">
        <f t="shared" si="19"/>
        <v>1</v>
      </c>
      <c r="U14" s="429" t="b">
        <f t="shared" si="19"/>
        <v>1</v>
      </c>
      <c r="V14" s="429" t="b">
        <f t="shared" si="19"/>
        <v>1</v>
      </c>
      <c r="W14" s="429" t="b">
        <f t="shared" si="19"/>
        <v>1</v>
      </c>
      <c r="X14" s="429" t="b">
        <f t="shared" si="19"/>
        <v>1</v>
      </c>
      <c r="Y14" s="429" t="b">
        <f t="shared" si="19"/>
        <v>1</v>
      </c>
      <c r="Z14" s="429" t="b">
        <f t="shared" ref="Z14:AC14" si="21">ABS(Z8-Z12)&lt;1</f>
        <v>1</v>
      </c>
      <c r="AA14" s="429" t="b">
        <f t="shared" si="21"/>
        <v>1</v>
      </c>
      <c r="AB14" s="429" t="b">
        <f t="shared" si="21"/>
        <v>1</v>
      </c>
      <c r="AC14" s="429" t="b">
        <f t="shared" si="21"/>
        <v>1</v>
      </c>
      <c r="AD14" s="429" t="b">
        <f>ABS(AM8-AM12)&lt;1</f>
        <v>1</v>
      </c>
      <c r="AE14" s="429" t="b">
        <f>ABS(AD8-AD12)&lt;1</f>
        <v>1</v>
      </c>
      <c r="AF14" s="429" t="b">
        <f t="shared" ref="AF14:AH14" si="22">ABS(AJ8-AJ12)&lt;1</f>
        <v>1</v>
      </c>
      <c r="AG14" s="429" t="b">
        <f t="shared" si="22"/>
        <v>1</v>
      </c>
      <c r="AH14" s="429" t="b">
        <f t="shared" si="22"/>
        <v>1</v>
      </c>
      <c r="AI14" s="429" t="b">
        <f>ABS(AR8-AR12)&lt;1</f>
        <v>1</v>
      </c>
    </row>
    <row r="15" spans="2:35" ht="24.95" customHeight="1">
      <c r="E15" s="261">
        <f t="shared" ref="E15:V15" si="23">E12-E8</f>
        <v>0</v>
      </c>
      <c r="F15" s="261">
        <f t="shared" si="23"/>
        <v>0</v>
      </c>
      <c r="G15" s="261">
        <f t="shared" si="23"/>
        <v>0</v>
      </c>
      <c r="H15" s="261">
        <f t="shared" si="23"/>
        <v>0</v>
      </c>
      <c r="I15" s="261">
        <f t="shared" si="23"/>
        <v>0</v>
      </c>
      <c r="J15" s="261">
        <f t="shared" ref="J15" si="24">J12-J8</f>
        <v>0</v>
      </c>
      <c r="K15" s="261">
        <f t="shared" si="23"/>
        <v>0</v>
      </c>
      <c r="L15" s="261">
        <f t="shared" si="23"/>
        <v>0</v>
      </c>
      <c r="M15" s="261">
        <f t="shared" si="23"/>
        <v>0</v>
      </c>
      <c r="N15" s="261">
        <f t="shared" si="23"/>
        <v>0</v>
      </c>
      <c r="O15" s="261">
        <f t="shared" si="23"/>
        <v>0</v>
      </c>
      <c r="P15" s="261">
        <f t="shared" si="23"/>
        <v>0</v>
      </c>
      <c r="Q15" s="261">
        <f t="shared" si="23"/>
        <v>0</v>
      </c>
      <c r="R15" s="261">
        <f t="shared" si="23"/>
        <v>0</v>
      </c>
      <c r="S15" s="261">
        <f t="shared" si="23"/>
        <v>0</v>
      </c>
      <c r="T15" s="261">
        <f t="shared" si="23"/>
        <v>0</v>
      </c>
      <c r="U15" s="261">
        <f t="shared" si="23"/>
        <v>0</v>
      </c>
      <c r="V15" s="261">
        <f t="shared" si="23"/>
        <v>0</v>
      </c>
      <c r="W15" s="261">
        <f t="shared" ref="W15:AC15" si="25">W12-W8</f>
        <v>0</v>
      </c>
      <c r="X15" s="261">
        <f t="shared" si="25"/>
        <v>0</v>
      </c>
      <c r="Y15" s="261">
        <f t="shared" si="25"/>
        <v>0</v>
      </c>
      <c r="Z15" s="261">
        <f t="shared" si="25"/>
        <v>0</v>
      </c>
      <c r="AA15" s="261">
        <f t="shared" si="25"/>
        <v>0</v>
      </c>
      <c r="AB15" s="261">
        <f t="shared" si="25"/>
        <v>0</v>
      </c>
      <c r="AC15" s="261">
        <f t="shared" si="25"/>
        <v>0</v>
      </c>
      <c r="AD15" s="261">
        <f>AM12-AM8</f>
        <v>0</v>
      </c>
      <c r="AE15" s="261">
        <f>AD12-AD8</f>
        <v>0</v>
      </c>
      <c r="AF15" s="261">
        <f t="shared" ref="AF15:AH15" si="26">AJ12-AJ8</f>
        <v>0</v>
      </c>
      <c r="AG15" s="261">
        <f t="shared" si="26"/>
        <v>0</v>
      </c>
      <c r="AH15" s="261">
        <f t="shared" si="26"/>
        <v>0</v>
      </c>
      <c r="AI15" s="261">
        <f>AR12-AR8</f>
        <v>0</v>
      </c>
    </row>
    <row r="16" spans="2:35" ht="24.95" customHeight="1"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</row>
  </sheetData>
  <sheetProtection algorithmName="SHA-512" hashValue="ZcpSFBi7Dyi9CdkIbzM6pYFzkjxoBXyCFv+ML3RRK8v6zWM41fEv7sa1ORdjBueSsQQGr400kslAzhrZeBGdtA==" saltValue="hZbuoPPa8ojznK+PcMrN/Q==" spinCount="100000" sheet="1" objects="1" scenarios="1"/>
  <mergeCells count="1">
    <mergeCell ref="B2:D2"/>
  </mergeCells>
  <conditionalFormatting sqref="E14:I14 K14:N14 P14:S14 U14:X14 Z14:AH14">
    <cfRule type="cellIs" dxfId="11" priority="13" stopIfTrue="1" operator="equal">
      <formula>FALSE</formula>
    </cfRule>
    <cfRule type="cellIs" dxfId="10" priority="14" stopIfTrue="1" operator="equal">
      <formula>TRUE</formula>
    </cfRule>
  </conditionalFormatting>
  <conditionalFormatting sqref="J14">
    <cfRule type="cellIs" dxfId="9" priority="11" stopIfTrue="1" operator="equal">
      <formula>FALSE</formula>
    </cfRule>
    <cfRule type="cellIs" dxfId="8" priority="12" stopIfTrue="1" operator="equal">
      <formula>TRUE</formula>
    </cfRule>
  </conditionalFormatting>
  <conditionalFormatting sqref="O14">
    <cfRule type="cellIs" dxfId="7" priority="9" stopIfTrue="1" operator="equal">
      <formula>FALSE</formula>
    </cfRule>
    <cfRule type="cellIs" dxfId="6" priority="10" stopIfTrue="1" operator="equal">
      <formula>TRUE</formula>
    </cfRule>
  </conditionalFormatting>
  <conditionalFormatting sqref="T14">
    <cfRule type="cellIs" dxfId="5" priority="7" stopIfTrue="1" operator="equal">
      <formula>FALSE</formula>
    </cfRule>
    <cfRule type="cellIs" dxfId="4" priority="8" stopIfTrue="1" operator="equal">
      <formula>TRUE</formula>
    </cfRule>
  </conditionalFormatting>
  <conditionalFormatting sqref="Y14">
    <cfRule type="cellIs" dxfId="3" priority="5" stopIfTrue="1" operator="equal">
      <formula>FALSE</formula>
    </cfRule>
    <cfRule type="cellIs" dxfId="2" priority="6" stopIfTrue="1" operator="equal">
      <formula>TRUE</formula>
    </cfRule>
  </conditionalFormatting>
  <conditionalFormatting sqref="AI14">
    <cfRule type="cellIs" dxfId="1" priority="1" stopIfTrue="1" operator="equal">
      <formula>FALSE</formula>
    </cfRule>
    <cfRule type="cellIs" dxfId="0" priority="2" stopIfTrue="1" operator="equal">
      <formula>TRUE</formula>
    </cfRule>
  </conditionalFormatting>
  <pageMargins left="0.7" right="0.7" top="0.75" bottom="0.75" header="0.3" footer="0.3"/>
  <pageSetup paperSize="9" orientation="portrait" horizontalDpi="4294967292" verticalDpi="4294967292"/>
  <ignoredErrors>
    <ignoredError sqref="E3" emptyCellReference="1"/>
    <ignoredError sqref="J3:AC12 AD3:A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2:AG13"/>
  <sheetViews>
    <sheetView showGridLines="0" workbookViewId="0">
      <selection activeCell="AI8" sqref="AI8"/>
    </sheetView>
  </sheetViews>
  <sheetFormatPr defaultColWidth="8.85546875" defaultRowHeight="24.95" customHeight="1" outlineLevelCol="1"/>
  <cols>
    <col min="1" max="2" width="3.140625" style="343" customWidth="1"/>
    <col min="3" max="3" width="33.7109375" style="343" customWidth="1"/>
    <col min="4" max="4" width="8.85546875" style="343" hidden="1" customWidth="1" outlineLevel="1"/>
    <col min="5" max="5" width="10.28515625" style="343" hidden="1" customWidth="1" outlineLevel="1"/>
    <col min="6" max="6" width="11.28515625" style="343" hidden="1" customWidth="1" outlineLevel="1"/>
    <col min="7" max="7" width="9.85546875" style="343" hidden="1" customWidth="1" outlineLevel="1"/>
    <col min="8" max="8" width="12.85546875" style="343" customWidth="1" collapsed="1"/>
    <col min="9" max="9" width="10" style="343" hidden="1" customWidth="1" outlineLevel="1"/>
    <col min="10" max="10" width="10.7109375" style="343" hidden="1" customWidth="1" outlineLevel="1"/>
    <col min="11" max="11" width="10.28515625" style="343" hidden="1" customWidth="1" outlineLevel="1"/>
    <col min="12" max="12" width="10.42578125" style="343" hidden="1" customWidth="1" outlineLevel="1"/>
    <col min="13" max="13" width="12.85546875" style="343" customWidth="1" collapsed="1"/>
    <col min="14" max="14" width="11" style="343" hidden="1" customWidth="1" outlineLevel="1"/>
    <col min="15" max="15" width="10.85546875" style="343" hidden="1" customWidth="1" outlineLevel="1"/>
    <col min="16" max="16" width="11.28515625" style="343" hidden="1" customWidth="1" outlineLevel="1"/>
    <col min="17" max="17" width="10.7109375" style="343" hidden="1" customWidth="1" outlineLevel="1"/>
    <col min="18" max="18" width="12.85546875" style="343" customWidth="1" collapsed="1"/>
    <col min="19" max="22" width="10.7109375" style="343" hidden="1" customWidth="1" outlineLevel="1"/>
    <col min="23" max="23" width="12.85546875" style="343" customWidth="1" collapsed="1"/>
    <col min="24" max="24" width="11" style="343" hidden="1" customWidth="1" outlineLevel="1"/>
    <col min="25" max="27" width="11.28515625" style="343" hidden="1" customWidth="1" outlineLevel="1"/>
    <col min="28" max="28" width="12.85546875" style="343" customWidth="1" collapsed="1"/>
    <col min="29" max="29" width="12" style="343" hidden="1" customWidth="1" outlineLevel="1"/>
    <col min="30" max="32" width="11.42578125" style="343" hidden="1" customWidth="1" outlineLevel="1"/>
    <col min="33" max="33" width="12.85546875" style="343" customWidth="1" collapsed="1"/>
    <col min="34" max="16384" width="8.85546875" style="343"/>
  </cols>
  <sheetData>
    <row r="2" spans="2:33" ht="24.95" customHeight="1">
      <c r="B2" s="526" t="s">
        <v>254</v>
      </c>
      <c r="C2" s="527"/>
      <c r="D2" s="394" t="s">
        <v>53</v>
      </c>
      <c r="E2" s="394" t="s">
        <v>54</v>
      </c>
      <c r="F2" s="394" t="s">
        <v>55</v>
      </c>
      <c r="G2" s="394" t="s">
        <v>56</v>
      </c>
      <c r="H2" s="395">
        <v>2017</v>
      </c>
      <c r="I2" s="394" t="s">
        <v>57</v>
      </c>
      <c r="J2" s="394" t="s">
        <v>58</v>
      </c>
      <c r="K2" s="394" t="s">
        <v>59</v>
      </c>
      <c r="L2" s="394" t="s">
        <v>60</v>
      </c>
      <c r="M2" s="395">
        <v>2018</v>
      </c>
      <c r="N2" s="394" t="s">
        <v>61</v>
      </c>
      <c r="O2" s="394" t="s">
        <v>62</v>
      </c>
      <c r="P2" s="394" t="s">
        <v>63</v>
      </c>
      <c r="Q2" s="394" t="s">
        <v>64</v>
      </c>
      <c r="R2" s="395">
        <v>2019</v>
      </c>
      <c r="S2" s="394" t="s">
        <v>65</v>
      </c>
      <c r="T2" s="394" t="s">
        <v>66</v>
      </c>
      <c r="U2" s="394" t="s">
        <v>67</v>
      </c>
      <c r="V2" s="394" t="s">
        <v>68</v>
      </c>
      <c r="W2" s="395">
        <v>2020</v>
      </c>
      <c r="X2" s="396" t="s">
        <v>69</v>
      </c>
      <c r="Y2" s="394" t="s">
        <v>70</v>
      </c>
      <c r="Z2" s="394" t="s">
        <v>71</v>
      </c>
      <c r="AA2" s="394" t="s">
        <v>72</v>
      </c>
      <c r="AB2" s="395">
        <v>2021</v>
      </c>
      <c r="AC2" s="198" t="s">
        <v>73</v>
      </c>
      <c r="AD2" s="198" t="s">
        <v>74</v>
      </c>
      <c r="AE2" s="198" t="s">
        <v>75</v>
      </c>
      <c r="AF2" s="198" t="s">
        <v>76</v>
      </c>
      <c r="AG2" s="397">
        <v>2022</v>
      </c>
    </row>
    <row r="3" spans="2:33" ht="24.95" customHeight="1">
      <c r="B3" s="430"/>
      <c r="C3" s="262" t="s">
        <v>255</v>
      </c>
      <c r="D3" s="249">
        <f t="shared" ref="D3:AA3" si="0">SUM(D4:D5)</f>
        <v>-30169.56</v>
      </c>
      <c r="E3" s="249">
        <f t="shared" si="0"/>
        <v>-54637.700000000004</v>
      </c>
      <c r="F3" s="249">
        <f t="shared" si="0"/>
        <v>-48699.100000000006</v>
      </c>
      <c r="G3" s="249">
        <f t="shared" si="0"/>
        <v>-60067.14</v>
      </c>
      <c r="H3" s="249">
        <f>SUM(D3:G3)</f>
        <v>-193573.5</v>
      </c>
      <c r="I3" s="249">
        <f t="shared" si="0"/>
        <v>-53076.923076923078</v>
      </c>
      <c r="J3" s="249">
        <f t="shared" si="0"/>
        <v>-69000</v>
      </c>
      <c r="K3" s="249">
        <f t="shared" si="0"/>
        <v>-365358.89423076925</v>
      </c>
      <c r="L3" s="249">
        <f t="shared" si="0"/>
        <v>-491574.25480769231</v>
      </c>
      <c r="M3" s="249">
        <f>SUM(I3:L3)</f>
        <v>-979010.07211538462</v>
      </c>
      <c r="N3" s="249">
        <f t="shared" si="0"/>
        <v>-429217.35593131866</v>
      </c>
      <c r="O3" s="249">
        <f t="shared" si="0"/>
        <v>-318241.93813168618</v>
      </c>
      <c r="P3" s="249">
        <f t="shared" si="0"/>
        <v>-231592.91276900645</v>
      </c>
      <c r="Q3" s="249">
        <f t="shared" si="0"/>
        <v>-103914.15790833527</v>
      </c>
      <c r="R3" s="249">
        <f>SUM(N3:Q3)</f>
        <v>-1082966.3647403466</v>
      </c>
      <c r="S3" s="249">
        <f t="shared" si="0"/>
        <v>-54928.042607367504</v>
      </c>
      <c r="T3" s="249">
        <f t="shared" si="0"/>
        <v>26299.422189118661</v>
      </c>
      <c r="U3" s="249">
        <f t="shared" si="0"/>
        <v>202035.39835724741</v>
      </c>
      <c r="V3" s="249">
        <f t="shared" si="0"/>
        <v>499640.42795086926</v>
      </c>
      <c r="W3" s="249">
        <f>SUM(S3:V3)</f>
        <v>673047.20588986785</v>
      </c>
      <c r="X3" s="249">
        <f t="shared" si="0"/>
        <v>998616.32163069863</v>
      </c>
      <c r="Y3" s="249">
        <f t="shared" si="0"/>
        <v>1277423.870379182</v>
      </c>
      <c r="Z3" s="249">
        <f t="shared" si="0"/>
        <v>1800813.6334013499</v>
      </c>
      <c r="AA3" s="249">
        <f t="shared" si="0"/>
        <v>2543695.7372731348</v>
      </c>
      <c r="AB3" s="249">
        <f>SUM(X3:AA3)</f>
        <v>6620549.5626843646</v>
      </c>
      <c r="AC3" s="249">
        <f t="shared" ref="AC3:AF3" si="1">SUM(AC4:AC5)</f>
        <v>7899013.6540103098</v>
      </c>
      <c r="AD3" s="249">
        <f t="shared" si="1"/>
        <v>3541822.207791754</v>
      </c>
      <c r="AE3" s="249">
        <f t="shared" si="1"/>
        <v>4713258.8406544449</v>
      </c>
      <c r="AF3" s="249">
        <f t="shared" si="1"/>
        <v>5902707.5017775577</v>
      </c>
      <c r="AG3" s="431">
        <f>SUM(AC3:AF3)</f>
        <v>22056802.204234064</v>
      </c>
    </row>
    <row r="4" spans="2:33" ht="24.95" customHeight="1">
      <c r="B4" s="415"/>
      <c r="C4" s="309" t="s">
        <v>256</v>
      </c>
      <c r="D4" s="432">
        <f>'P&amp;L'!E12</f>
        <v>-30169.56</v>
      </c>
      <c r="E4" s="432">
        <f>'P&amp;L'!F12</f>
        <v>-54637.700000000004</v>
      </c>
      <c r="F4" s="432">
        <f>'P&amp;L'!G12</f>
        <v>-48699.100000000006</v>
      </c>
      <c r="G4" s="433">
        <f>'P&amp;L'!H12</f>
        <v>-60067.14</v>
      </c>
      <c r="H4" s="434">
        <f>SUM(D4:G4)</f>
        <v>-193573.5</v>
      </c>
      <c r="I4" s="433">
        <f>'P&amp;L'!J12</f>
        <v>-69000</v>
      </c>
      <c r="J4" s="433">
        <f>'P&amp;L'!K12</f>
        <v>-69000</v>
      </c>
      <c r="K4" s="433">
        <f>'P&amp;L'!L12</f>
        <v>-454266.5625</v>
      </c>
      <c r="L4" s="433">
        <f>'P&amp;L'!M12</f>
        <v>-502766.5625</v>
      </c>
      <c r="M4" s="434">
        <f>SUM(I4:L4)</f>
        <v>-1095033.125</v>
      </c>
      <c r="N4" s="433">
        <f>'P&amp;L'!O12</f>
        <v>-390578.81367499998</v>
      </c>
      <c r="O4" s="433">
        <f>'P&amp;L'!P12</f>
        <v>-282981.56418297777</v>
      </c>
      <c r="P4" s="433">
        <f>'P&amp;L'!Q12</f>
        <v>-199132.11477338651</v>
      </c>
      <c r="Q4" s="433">
        <f>'P&amp;L'!R12</f>
        <v>-53675.548134534154</v>
      </c>
      <c r="R4" s="434">
        <f>SUM(N4:Q4)</f>
        <v>-926368.04076589842</v>
      </c>
      <c r="S4" s="433">
        <f>'P&amp;L'!T12</f>
        <v>-23934.032520646113</v>
      </c>
      <c r="T4" s="433">
        <f>'P&amp;L'!U12</f>
        <v>88970.656602048082</v>
      </c>
      <c r="U4" s="433">
        <f>'P&amp;L'!V12</f>
        <v>309623.05059809284</v>
      </c>
      <c r="V4" s="433">
        <f>'P&amp;L'!W12</f>
        <v>642688.27172813076</v>
      </c>
      <c r="W4" s="434">
        <f>SUM(S4:V4)</f>
        <v>1017347.9464076256</v>
      </c>
      <c r="X4" s="433">
        <f>'P&amp;L'!Y12</f>
        <v>1272734.5804085529</v>
      </c>
      <c r="Y4" s="433">
        <f>'P&amp;L'!Z12</f>
        <v>1535995.7113705985</v>
      </c>
      <c r="Z4" s="433">
        <f>'P&amp;L'!AA12</f>
        <v>2108803.2929601194</v>
      </c>
      <c r="AA4" s="433">
        <f>'P&amp;L'!AB12</f>
        <v>2981480.0692710388</v>
      </c>
      <c r="AB4" s="434">
        <f>SUM(X4:AA4)</f>
        <v>7899013.6540103089</v>
      </c>
      <c r="AC4" s="433">
        <f>'P&amp;L'!AC12</f>
        <v>7899013.6540103098</v>
      </c>
      <c r="AD4" s="433">
        <f>'P&amp;L'!AD12</f>
        <v>4123872.8607281852</v>
      </c>
      <c r="AE4" s="433">
        <f>'P&amp;L'!AE12</f>
        <v>5268520.21481934</v>
      </c>
      <c r="AF4" s="433">
        <f>'P&amp;L'!AF12</f>
        <v>6542466.1551303286</v>
      </c>
      <c r="AG4" s="435">
        <f>SUM(AC4:AF4)</f>
        <v>23833872.884688161</v>
      </c>
    </row>
    <row r="5" spans="2:33" ht="24.95" customHeight="1">
      <c r="B5" s="415"/>
      <c r="C5" s="309" t="s">
        <v>257</v>
      </c>
      <c r="D5" s="432">
        <f>WC!E7</f>
        <v>0</v>
      </c>
      <c r="E5" s="432">
        <f>(WC!F7-WC!E7)*-1</f>
        <v>0</v>
      </c>
      <c r="F5" s="432">
        <f>(WC!G7-WC!F7)*-1</f>
        <v>0</v>
      </c>
      <c r="G5" s="433">
        <f>(WC!H7-WC!G7)*-1</f>
        <v>0</v>
      </c>
      <c r="H5" s="434">
        <f>SUM(D5:G5)</f>
        <v>0</v>
      </c>
      <c r="I5" s="433">
        <f>(WC!I7-WC!H7)*-1</f>
        <v>15923.076923076924</v>
      </c>
      <c r="J5" s="433">
        <f>(WC!J7-WC!I7)*-1</f>
        <v>0</v>
      </c>
      <c r="K5" s="433">
        <f>(WC!K7-WC!J7)*-1</f>
        <v>88907.66826923078</v>
      </c>
      <c r="L5" s="433">
        <f>(WC!L7-WC!K7)*-1</f>
        <v>11192.307692307688</v>
      </c>
      <c r="M5" s="434">
        <f>SUM(I5:L5)</f>
        <v>116023.05288461539</v>
      </c>
      <c r="N5" s="433">
        <f>(WC!M7-WC!L7)*-1</f>
        <v>-38638.542256318688</v>
      </c>
      <c r="O5" s="433">
        <f>(WC!N7-WC!M7)*-1</f>
        <v>-35260.373948708424</v>
      </c>
      <c r="P5" s="433">
        <f>(WC!O7-WC!N7)*-1</f>
        <v>-32460.797995619956</v>
      </c>
      <c r="Q5" s="433">
        <f>(WC!P7-WC!O7)*-1</f>
        <v>-50238.609773801116</v>
      </c>
      <c r="R5" s="434">
        <f>SUM(N5:Q5)</f>
        <v>-156598.3239744482</v>
      </c>
      <c r="S5" s="433">
        <f>(WC!Q7-WC!P7)*-1</f>
        <v>-30994.010086721391</v>
      </c>
      <c r="T5" s="433">
        <f>(WC!R7-WC!Q7)*-1</f>
        <v>-62671.234412929422</v>
      </c>
      <c r="U5" s="433">
        <f>(WC!S7-WC!R7)*-1</f>
        <v>-107587.65224084543</v>
      </c>
      <c r="V5" s="433">
        <f>(WC!T7-WC!S7)*-1</f>
        <v>-143047.8437772615</v>
      </c>
      <c r="W5" s="434">
        <f>SUM(S5:V5)</f>
        <v>-344300.74051775772</v>
      </c>
      <c r="X5" s="433">
        <f>(WC!U7-WC!T7)*-1</f>
        <v>-274118.25877785421</v>
      </c>
      <c r="Y5" s="433">
        <f>(WC!V7-WC!U7)*-1</f>
        <v>-258571.8409914166</v>
      </c>
      <c r="Z5" s="433">
        <f>(WC!W7-WC!V7)*-1</f>
        <v>-307989.65955876955</v>
      </c>
      <c r="AA5" s="433">
        <f>(WC!X7-WC!W7)*-1</f>
        <v>-437784.331997904</v>
      </c>
      <c r="AB5" s="434">
        <f>SUM(X5:AA5)</f>
        <v>-1278464.0913259443</v>
      </c>
      <c r="AC5" s="433">
        <f>(WC!Y7-WC!X7)*-1</f>
        <v>0</v>
      </c>
      <c r="AD5" s="433">
        <f>(WC!Z7-WC!Y7)*-1</f>
        <v>-582050.65293643111</v>
      </c>
      <c r="AE5" s="433">
        <f>(WC!AA7-WC!Z7)*-1</f>
        <v>-555261.37416489515</v>
      </c>
      <c r="AF5" s="433">
        <f>(WC!AB7-WC!AA7)*-1</f>
        <v>-639758.65335277142</v>
      </c>
      <c r="AG5" s="435">
        <f>SUM(AC5:AF5)</f>
        <v>-1777070.6804540977</v>
      </c>
    </row>
    <row r="6" spans="2:33" ht="24.95" customHeight="1">
      <c r="B6" s="430"/>
      <c r="C6" s="262" t="s">
        <v>258</v>
      </c>
      <c r="D6" s="249">
        <f>SUM(D7:D7)</f>
        <v>0</v>
      </c>
      <c r="E6" s="249">
        <f t="shared" ref="E6:P6" si="2">SUM(E7:E7)</f>
        <v>0</v>
      </c>
      <c r="F6" s="249">
        <f t="shared" si="2"/>
        <v>0</v>
      </c>
      <c r="G6" s="249">
        <f t="shared" si="2"/>
        <v>0</v>
      </c>
      <c r="H6" s="249">
        <f>SUM(D6:G6)</f>
        <v>0</v>
      </c>
      <c r="I6" s="249">
        <f t="shared" si="2"/>
        <v>0</v>
      </c>
      <c r="J6" s="249">
        <f t="shared" si="2"/>
        <v>0</v>
      </c>
      <c r="K6" s="249">
        <f t="shared" si="2"/>
        <v>0</v>
      </c>
      <c r="L6" s="249">
        <f t="shared" si="2"/>
        <v>0</v>
      </c>
      <c r="M6" s="249">
        <f>SUM(I6:L6)</f>
        <v>0</v>
      </c>
      <c r="N6" s="249">
        <f t="shared" si="2"/>
        <v>0</v>
      </c>
      <c r="O6" s="249">
        <f t="shared" si="2"/>
        <v>0</v>
      </c>
      <c r="P6" s="249">
        <f t="shared" si="2"/>
        <v>0</v>
      </c>
      <c r="Q6" s="249">
        <f>SUM(Q7:Q7)</f>
        <v>0</v>
      </c>
      <c r="R6" s="249">
        <f>SUM(N6:Q6)</f>
        <v>0</v>
      </c>
      <c r="S6" s="249">
        <f t="shared" ref="S6:AF6" si="3">SUM(S7:S7)</f>
        <v>0</v>
      </c>
      <c r="T6" s="249">
        <f t="shared" si="3"/>
        <v>0</v>
      </c>
      <c r="U6" s="249">
        <f t="shared" si="3"/>
        <v>0</v>
      </c>
      <c r="V6" s="249">
        <f t="shared" si="3"/>
        <v>0</v>
      </c>
      <c r="W6" s="249">
        <f>SUM(S6:V6)</f>
        <v>0</v>
      </c>
      <c r="X6" s="249">
        <f t="shared" si="3"/>
        <v>0</v>
      </c>
      <c r="Y6" s="249">
        <f t="shared" si="3"/>
        <v>0</v>
      </c>
      <c r="Z6" s="249">
        <f t="shared" si="3"/>
        <v>0</v>
      </c>
      <c r="AA6" s="249">
        <f t="shared" si="3"/>
        <v>0</v>
      </c>
      <c r="AB6" s="249">
        <f>SUM(X6:AA6)</f>
        <v>0</v>
      </c>
      <c r="AC6" s="249">
        <f t="shared" si="3"/>
        <v>0</v>
      </c>
      <c r="AD6" s="249">
        <f t="shared" si="3"/>
        <v>0</v>
      </c>
      <c r="AE6" s="249">
        <f t="shared" si="3"/>
        <v>0</v>
      </c>
      <c r="AF6" s="249">
        <f t="shared" si="3"/>
        <v>0</v>
      </c>
      <c r="AG6" s="431">
        <f>SUM(AC6:AF6)</f>
        <v>0</v>
      </c>
    </row>
    <row r="7" spans="2:33" ht="24.95" customHeight="1">
      <c r="B7" s="415"/>
      <c r="C7" s="309"/>
      <c r="D7" s="328"/>
      <c r="E7" s="432"/>
      <c r="F7" s="432"/>
      <c r="G7" s="432"/>
      <c r="H7" s="434"/>
      <c r="I7" s="432"/>
      <c r="J7" s="432"/>
      <c r="K7" s="432"/>
      <c r="L7" s="432"/>
      <c r="M7" s="434"/>
      <c r="N7" s="432"/>
      <c r="O7" s="432"/>
      <c r="P7" s="432"/>
      <c r="Q7" s="432"/>
      <c r="R7" s="434"/>
      <c r="S7" s="432"/>
      <c r="T7" s="432"/>
      <c r="U7" s="432"/>
      <c r="V7" s="432"/>
      <c r="W7" s="434"/>
      <c r="X7" s="432"/>
      <c r="Y7" s="432"/>
      <c r="Z7" s="432"/>
      <c r="AA7" s="432"/>
      <c r="AB7" s="434"/>
      <c r="AC7" s="432"/>
      <c r="AD7" s="432"/>
      <c r="AE7" s="432"/>
      <c r="AF7" s="432"/>
      <c r="AG7" s="435"/>
    </row>
    <row r="8" spans="2:33" ht="24.95" customHeight="1">
      <c r="B8" s="436"/>
      <c r="C8" s="262" t="s">
        <v>259</v>
      </c>
      <c r="D8" s="249">
        <f t="shared" ref="D8:AF8" si="4">SUM(D9:D9)</f>
        <v>0</v>
      </c>
      <c r="E8" s="249">
        <f t="shared" si="4"/>
        <v>1000000</v>
      </c>
      <c r="F8" s="249">
        <f t="shared" si="4"/>
        <v>0</v>
      </c>
      <c r="G8" s="249">
        <f t="shared" si="4"/>
        <v>0</v>
      </c>
      <c r="H8" s="249">
        <f>SUM(D8:G8)</f>
        <v>1000000</v>
      </c>
      <c r="I8" s="249">
        <f t="shared" si="4"/>
        <v>0</v>
      </c>
      <c r="J8" s="249">
        <f t="shared" si="4"/>
        <v>4000000</v>
      </c>
      <c r="K8" s="249">
        <f t="shared" si="4"/>
        <v>0</v>
      </c>
      <c r="L8" s="249">
        <f t="shared" si="4"/>
        <v>0</v>
      </c>
      <c r="M8" s="249">
        <f>SUM(I8:L8)</f>
        <v>4000000</v>
      </c>
      <c r="N8" s="249">
        <f t="shared" si="4"/>
        <v>0</v>
      </c>
      <c r="O8" s="249">
        <f t="shared" si="4"/>
        <v>0</v>
      </c>
      <c r="P8" s="249">
        <f t="shared" si="4"/>
        <v>0</v>
      </c>
      <c r="Q8" s="249">
        <f t="shared" si="4"/>
        <v>0</v>
      </c>
      <c r="R8" s="249">
        <f>SUM(N8:Q8)</f>
        <v>0</v>
      </c>
      <c r="S8" s="249">
        <f t="shared" si="4"/>
        <v>0</v>
      </c>
      <c r="T8" s="249">
        <f t="shared" si="4"/>
        <v>0</v>
      </c>
      <c r="U8" s="249">
        <f t="shared" si="4"/>
        <v>0</v>
      </c>
      <c r="V8" s="249">
        <f t="shared" si="4"/>
        <v>0</v>
      </c>
      <c r="W8" s="249">
        <f>SUM(S8:V8)</f>
        <v>0</v>
      </c>
      <c r="X8" s="249">
        <f t="shared" si="4"/>
        <v>0</v>
      </c>
      <c r="Y8" s="249">
        <f t="shared" si="4"/>
        <v>0</v>
      </c>
      <c r="Z8" s="249">
        <f t="shared" si="4"/>
        <v>0</v>
      </c>
      <c r="AA8" s="249">
        <f t="shared" si="4"/>
        <v>0</v>
      </c>
      <c r="AB8" s="249">
        <f>SUM(X8:AA8)</f>
        <v>0</v>
      </c>
      <c r="AC8" s="249">
        <f t="shared" si="4"/>
        <v>0</v>
      </c>
      <c r="AD8" s="249">
        <f t="shared" si="4"/>
        <v>0</v>
      </c>
      <c r="AE8" s="249">
        <f t="shared" si="4"/>
        <v>0</v>
      </c>
      <c r="AF8" s="249">
        <f t="shared" si="4"/>
        <v>0</v>
      </c>
      <c r="AG8" s="431">
        <f>SUM(AC8:AF8)</f>
        <v>0</v>
      </c>
    </row>
    <row r="9" spans="2:33" ht="24.95" customHeight="1">
      <c r="B9" s="415"/>
      <c r="C9" s="309" t="s">
        <v>260</v>
      </c>
      <c r="D9" s="432">
        <f>'Equity Schedule'!F11</f>
        <v>0</v>
      </c>
      <c r="E9" s="432">
        <f>'Equity Schedule'!G11</f>
        <v>1000000</v>
      </c>
      <c r="F9" s="432">
        <f>'Equity Schedule'!H11</f>
        <v>0</v>
      </c>
      <c r="G9" s="432">
        <f>'Equity Schedule'!I11</f>
        <v>0</v>
      </c>
      <c r="H9" s="434">
        <f>SUM(D9:G9)</f>
        <v>1000000</v>
      </c>
      <c r="I9" s="432">
        <f>'Equity Schedule'!K11</f>
        <v>0</v>
      </c>
      <c r="J9" s="432">
        <f>'Equity Schedule'!L11</f>
        <v>4000000</v>
      </c>
      <c r="K9" s="432">
        <f>'Equity Schedule'!M11</f>
        <v>0</v>
      </c>
      <c r="L9" s="432">
        <f>'Equity Schedule'!N11</f>
        <v>0</v>
      </c>
      <c r="M9" s="434">
        <f>SUM(I9:L9)</f>
        <v>4000000</v>
      </c>
      <c r="N9" s="432">
        <f>'Equity Schedule'!P11</f>
        <v>0</v>
      </c>
      <c r="O9" s="432">
        <f>'Equity Schedule'!Q11</f>
        <v>0</v>
      </c>
      <c r="P9" s="432">
        <f>'Equity Schedule'!R11</f>
        <v>0</v>
      </c>
      <c r="Q9" s="432">
        <f>'Equity Schedule'!S11</f>
        <v>0</v>
      </c>
      <c r="R9" s="434">
        <f>SUM(N9:Q9)</f>
        <v>0</v>
      </c>
      <c r="S9" s="432">
        <f>'Equity Schedule'!U11</f>
        <v>0</v>
      </c>
      <c r="T9" s="432">
        <f>'Equity Schedule'!V11</f>
        <v>0</v>
      </c>
      <c r="U9" s="432">
        <f>'Equity Schedule'!W11</f>
        <v>0</v>
      </c>
      <c r="V9" s="432">
        <f>'Equity Schedule'!X11</f>
        <v>0</v>
      </c>
      <c r="W9" s="434">
        <f>SUM(S9:V9)</f>
        <v>0</v>
      </c>
      <c r="X9" s="432">
        <f>'Equity Schedule'!Z11</f>
        <v>0</v>
      </c>
      <c r="Y9" s="432">
        <f>'Equity Schedule'!AA11</f>
        <v>0</v>
      </c>
      <c r="Z9" s="432">
        <f>'Equity Schedule'!AB11</f>
        <v>0</v>
      </c>
      <c r="AA9" s="432">
        <f>'Equity Schedule'!AC11</f>
        <v>0</v>
      </c>
      <c r="AB9" s="434">
        <f>SUM(X9:AA9)</f>
        <v>0</v>
      </c>
      <c r="AC9" s="432">
        <f>'Equity Schedule'!AD11</f>
        <v>0</v>
      </c>
      <c r="AD9" s="432">
        <f>'Equity Schedule'!AE11</f>
        <v>0</v>
      </c>
      <c r="AE9" s="432">
        <f>'Equity Schedule'!AF11</f>
        <v>0</v>
      </c>
      <c r="AF9" s="432">
        <f>'Equity Schedule'!AG11</f>
        <v>0</v>
      </c>
      <c r="AG9" s="435">
        <f>SUM(AC9:AF9)</f>
        <v>0</v>
      </c>
    </row>
    <row r="10" spans="2:33" ht="24.95" customHeight="1">
      <c r="B10" s="430"/>
      <c r="C10" s="262" t="s">
        <v>261</v>
      </c>
      <c r="D10" s="249">
        <f t="shared" ref="D10:V10" si="5">D8+D6+D3</f>
        <v>-30169.56</v>
      </c>
      <c r="E10" s="249">
        <f t="shared" si="5"/>
        <v>945362.3</v>
      </c>
      <c r="F10" s="249">
        <f t="shared" si="5"/>
        <v>-48699.100000000006</v>
      </c>
      <c r="G10" s="249">
        <f>G8+G6+G3</f>
        <v>-60067.14</v>
      </c>
      <c r="H10" s="249">
        <f>SUM(D10:G10)</f>
        <v>806426.5</v>
      </c>
      <c r="I10" s="249">
        <f t="shared" si="5"/>
        <v>-53076.923076923078</v>
      </c>
      <c r="J10" s="249">
        <f t="shared" si="5"/>
        <v>3931000</v>
      </c>
      <c r="K10" s="249">
        <f t="shared" si="5"/>
        <v>-365358.89423076925</v>
      </c>
      <c r="L10" s="249">
        <f t="shared" si="5"/>
        <v>-491574.25480769231</v>
      </c>
      <c r="M10" s="249">
        <f>SUM(I10:L10)</f>
        <v>3020989.9278846155</v>
      </c>
      <c r="N10" s="249">
        <f t="shared" si="5"/>
        <v>-429217.35593131866</v>
      </c>
      <c r="O10" s="437">
        <f t="shared" si="5"/>
        <v>-318241.93813168618</v>
      </c>
      <c r="P10" s="437">
        <f t="shared" si="5"/>
        <v>-231592.91276900645</v>
      </c>
      <c r="Q10" s="437">
        <f t="shared" si="5"/>
        <v>-103914.15790833527</v>
      </c>
      <c r="R10" s="249">
        <f>SUM(N10:Q10)</f>
        <v>-1082966.3647403466</v>
      </c>
      <c r="S10" s="437">
        <f t="shared" si="5"/>
        <v>-54928.042607367504</v>
      </c>
      <c r="T10" s="437">
        <f t="shared" si="5"/>
        <v>26299.422189118661</v>
      </c>
      <c r="U10" s="437">
        <f t="shared" si="5"/>
        <v>202035.39835724741</v>
      </c>
      <c r="V10" s="437">
        <f t="shared" si="5"/>
        <v>499640.42795086926</v>
      </c>
      <c r="W10" s="249">
        <f>SUM(S10:V10)</f>
        <v>673047.20588986785</v>
      </c>
      <c r="X10" s="437">
        <f t="shared" ref="X10:AA10" si="6">X8+X6+X3</f>
        <v>998616.32163069863</v>
      </c>
      <c r="Y10" s="437">
        <f t="shared" si="6"/>
        <v>1277423.870379182</v>
      </c>
      <c r="Z10" s="437">
        <f t="shared" si="6"/>
        <v>1800813.6334013499</v>
      </c>
      <c r="AA10" s="437">
        <f t="shared" si="6"/>
        <v>2543695.7372731348</v>
      </c>
      <c r="AB10" s="249">
        <f>SUM(X10:AA10)</f>
        <v>6620549.5626843646</v>
      </c>
      <c r="AC10" s="437">
        <f t="shared" ref="AC10:AF10" si="7">AC8+AC6+AC3</f>
        <v>7899013.6540103098</v>
      </c>
      <c r="AD10" s="437">
        <f t="shared" si="7"/>
        <v>3541822.207791754</v>
      </c>
      <c r="AE10" s="437">
        <f t="shared" si="7"/>
        <v>4713258.8406544449</v>
      </c>
      <c r="AF10" s="437">
        <f t="shared" si="7"/>
        <v>5902707.5017775577</v>
      </c>
      <c r="AG10" s="431">
        <f>SUM(AC10:AF10)</f>
        <v>22056802.204234064</v>
      </c>
    </row>
    <row r="11" spans="2:33" ht="24.95" customHeight="1">
      <c r="B11" s="415"/>
      <c r="C11" s="309" t="s">
        <v>262</v>
      </c>
      <c r="D11" s="432">
        <f>'Equity Schedule'!E12</f>
        <v>250000</v>
      </c>
      <c r="E11" s="432">
        <f>D13</f>
        <v>219830.44</v>
      </c>
      <c r="F11" s="432">
        <f t="shared" ref="F11:V11" si="8">E13</f>
        <v>1165192.74</v>
      </c>
      <c r="G11" s="433">
        <f t="shared" si="8"/>
        <v>1116493.6399999999</v>
      </c>
      <c r="H11" s="434">
        <f>D11</f>
        <v>250000</v>
      </c>
      <c r="I11" s="433">
        <f>G13</f>
        <v>1056426.5</v>
      </c>
      <c r="J11" s="433">
        <f t="shared" si="8"/>
        <v>1003349.5769230769</v>
      </c>
      <c r="K11" s="433">
        <f t="shared" si="8"/>
        <v>4934349.576923077</v>
      </c>
      <c r="L11" s="433">
        <f t="shared" si="8"/>
        <v>4568990.682692308</v>
      </c>
      <c r="M11" s="434">
        <f>I11</f>
        <v>1056426.5</v>
      </c>
      <c r="N11" s="433">
        <f>L13</f>
        <v>4077416.4278846155</v>
      </c>
      <c r="O11" s="432">
        <f t="shared" si="8"/>
        <v>3648199.0719532967</v>
      </c>
      <c r="P11" s="432">
        <f t="shared" si="8"/>
        <v>3329957.1338216104</v>
      </c>
      <c r="Q11" s="432">
        <f t="shared" si="8"/>
        <v>3098364.2210526038</v>
      </c>
      <c r="R11" s="434">
        <f>N11</f>
        <v>4077416.4278846155</v>
      </c>
      <c r="S11" s="432">
        <f>Q13</f>
        <v>2994450.0631442685</v>
      </c>
      <c r="T11" s="432">
        <f t="shared" si="8"/>
        <v>2939522.020536901</v>
      </c>
      <c r="U11" s="432">
        <f t="shared" si="8"/>
        <v>2965821.4427260198</v>
      </c>
      <c r="V11" s="432">
        <f t="shared" si="8"/>
        <v>3167856.8410832672</v>
      </c>
      <c r="W11" s="434">
        <f>S11</f>
        <v>2994450.0631442685</v>
      </c>
      <c r="X11" s="432">
        <f>V13</f>
        <v>3667497.2690341366</v>
      </c>
      <c r="Y11" s="432">
        <f t="shared" ref="Y11:AA11" si="9">X13</f>
        <v>4666113.5906648356</v>
      </c>
      <c r="Z11" s="432">
        <f t="shared" si="9"/>
        <v>5943537.4610440172</v>
      </c>
      <c r="AA11" s="432">
        <f t="shared" si="9"/>
        <v>7744351.0944453673</v>
      </c>
      <c r="AB11" s="434">
        <f>X11</f>
        <v>3667497.2690341366</v>
      </c>
      <c r="AC11" s="432">
        <f t="shared" ref="AC11" si="10">AA13</f>
        <v>10288046.831718503</v>
      </c>
      <c r="AD11" s="432">
        <f t="shared" ref="AD11" si="11">AC13</f>
        <v>18187060.485728811</v>
      </c>
      <c r="AE11" s="432">
        <f t="shared" ref="AE11" si="12">AD13</f>
        <v>21728882.693520565</v>
      </c>
      <c r="AF11" s="432">
        <f t="shared" ref="AF11" si="13">AE13</f>
        <v>26442141.534175009</v>
      </c>
      <c r="AG11" s="435">
        <f>AC11</f>
        <v>10288046.831718503</v>
      </c>
    </row>
    <row r="12" spans="2:33" ht="24.95" customHeight="1">
      <c r="B12" s="415"/>
      <c r="C12" s="309" t="s">
        <v>261</v>
      </c>
      <c r="D12" s="432">
        <f>D10</f>
        <v>-30169.56</v>
      </c>
      <c r="E12" s="432">
        <f>E10</f>
        <v>945362.3</v>
      </c>
      <c r="F12" s="432">
        <f t="shared" ref="F12:V12" si="14">F10</f>
        <v>-48699.100000000006</v>
      </c>
      <c r="G12" s="433">
        <f t="shared" si="14"/>
        <v>-60067.14</v>
      </c>
      <c r="H12" s="434">
        <f t="shared" ref="H12" si="15">SUM(D12:G12)</f>
        <v>806426.5</v>
      </c>
      <c r="I12" s="433">
        <f t="shared" si="14"/>
        <v>-53076.923076923078</v>
      </c>
      <c r="J12" s="433">
        <f t="shared" si="14"/>
        <v>3931000</v>
      </c>
      <c r="K12" s="433">
        <f t="shared" si="14"/>
        <v>-365358.89423076925</v>
      </c>
      <c r="L12" s="433">
        <f t="shared" si="14"/>
        <v>-491574.25480769231</v>
      </c>
      <c r="M12" s="434">
        <f t="shared" ref="M12" si="16">SUM(I12:L12)</f>
        <v>3020989.9278846155</v>
      </c>
      <c r="N12" s="433">
        <f t="shared" si="14"/>
        <v>-429217.35593131866</v>
      </c>
      <c r="O12" s="328">
        <f t="shared" si="14"/>
        <v>-318241.93813168618</v>
      </c>
      <c r="P12" s="328">
        <f t="shared" si="14"/>
        <v>-231592.91276900645</v>
      </c>
      <c r="Q12" s="328">
        <f t="shared" si="14"/>
        <v>-103914.15790833527</v>
      </c>
      <c r="R12" s="434">
        <f t="shared" ref="R12" si="17">SUM(N12:Q12)</f>
        <v>-1082966.3647403466</v>
      </c>
      <c r="S12" s="328">
        <f t="shared" si="14"/>
        <v>-54928.042607367504</v>
      </c>
      <c r="T12" s="328">
        <f t="shared" si="14"/>
        <v>26299.422189118661</v>
      </c>
      <c r="U12" s="328">
        <f t="shared" si="14"/>
        <v>202035.39835724741</v>
      </c>
      <c r="V12" s="328">
        <f t="shared" si="14"/>
        <v>499640.42795086926</v>
      </c>
      <c r="W12" s="434">
        <f t="shared" ref="W12" si="18">SUM(S12:V12)</f>
        <v>673047.20588986785</v>
      </c>
      <c r="X12" s="328">
        <f t="shared" ref="X12:AA12" si="19">X10</f>
        <v>998616.32163069863</v>
      </c>
      <c r="Y12" s="328">
        <f t="shared" si="19"/>
        <v>1277423.870379182</v>
      </c>
      <c r="Z12" s="328">
        <f t="shared" si="19"/>
        <v>1800813.6334013499</v>
      </c>
      <c r="AA12" s="328">
        <f t="shared" si="19"/>
        <v>2543695.7372731348</v>
      </c>
      <c r="AB12" s="434">
        <f>SUM(X12:AA12)</f>
        <v>6620549.5626843646</v>
      </c>
      <c r="AC12" s="328">
        <f t="shared" ref="AC12:AF12" si="20">AC10</f>
        <v>7899013.6540103098</v>
      </c>
      <c r="AD12" s="328">
        <f t="shared" si="20"/>
        <v>3541822.207791754</v>
      </c>
      <c r="AE12" s="328">
        <f t="shared" si="20"/>
        <v>4713258.8406544449</v>
      </c>
      <c r="AF12" s="328">
        <f t="shared" si="20"/>
        <v>5902707.5017775577</v>
      </c>
      <c r="AG12" s="435">
        <f>SUM(AC12:AF12)</f>
        <v>22056802.204234064</v>
      </c>
    </row>
    <row r="13" spans="2:33" ht="24.95" customHeight="1">
      <c r="B13" s="438"/>
      <c r="C13" s="439" t="s">
        <v>263</v>
      </c>
      <c r="D13" s="440">
        <f>D11+D12</f>
        <v>219830.44</v>
      </c>
      <c r="E13" s="440">
        <f>E11+E12</f>
        <v>1165192.74</v>
      </c>
      <c r="F13" s="440">
        <f t="shared" ref="F13:V13" si="21">F11+F12</f>
        <v>1116493.6399999999</v>
      </c>
      <c r="G13" s="440">
        <f t="shared" si="21"/>
        <v>1056426.5</v>
      </c>
      <c r="H13" s="440">
        <f>G13</f>
        <v>1056426.5</v>
      </c>
      <c r="I13" s="440">
        <f t="shared" si="21"/>
        <v>1003349.5769230769</v>
      </c>
      <c r="J13" s="440">
        <f t="shared" si="21"/>
        <v>4934349.576923077</v>
      </c>
      <c r="K13" s="440">
        <f t="shared" si="21"/>
        <v>4568990.682692308</v>
      </c>
      <c r="L13" s="440">
        <f t="shared" si="21"/>
        <v>4077416.4278846155</v>
      </c>
      <c r="M13" s="440">
        <f>L13</f>
        <v>4077416.4278846155</v>
      </c>
      <c r="N13" s="440">
        <f t="shared" si="21"/>
        <v>3648199.0719532967</v>
      </c>
      <c r="O13" s="440">
        <f t="shared" si="21"/>
        <v>3329957.1338216104</v>
      </c>
      <c r="P13" s="440">
        <f t="shared" si="21"/>
        <v>3098364.2210526038</v>
      </c>
      <c r="Q13" s="440">
        <f t="shared" si="21"/>
        <v>2994450.0631442685</v>
      </c>
      <c r="R13" s="440">
        <f>Q13</f>
        <v>2994450.0631442685</v>
      </c>
      <c r="S13" s="440">
        <f t="shared" si="21"/>
        <v>2939522.020536901</v>
      </c>
      <c r="T13" s="440">
        <f t="shared" si="21"/>
        <v>2965821.4427260198</v>
      </c>
      <c r="U13" s="440">
        <f t="shared" si="21"/>
        <v>3167856.8410832672</v>
      </c>
      <c r="V13" s="440">
        <f t="shared" si="21"/>
        <v>3667497.2690341366</v>
      </c>
      <c r="W13" s="440">
        <f>V13</f>
        <v>3667497.2690341366</v>
      </c>
      <c r="X13" s="440">
        <f t="shared" ref="X13:AA13" si="22">X11+X12</f>
        <v>4666113.5906648356</v>
      </c>
      <c r="Y13" s="440">
        <f t="shared" si="22"/>
        <v>5943537.4610440172</v>
      </c>
      <c r="Z13" s="440">
        <f t="shared" si="22"/>
        <v>7744351.0944453673</v>
      </c>
      <c r="AA13" s="440">
        <f t="shared" si="22"/>
        <v>10288046.831718503</v>
      </c>
      <c r="AB13" s="440">
        <f>AA13</f>
        <v>10288046.831718503</v>
      </c>
      <c r="AC13" s="440">
        <f t="shared" ref="AC13:AF13" si="23">AC11+AC12</f>
        <v>18187060.485728811</v>
      </c>
      <c r="AD13" s="440">
        <f t="shared" si="23"/>
        <v>21728882.693520565</v>
      </c>
      <c r="AE13" s="440">
        <f t="shared" si="23"/>
        <v>26442141.534175009</v>
      </c>
      <c r="AF13" s="440">
        <f t="shared" si="23"/>
        <v>32344849.035952568</v>
      </c>
      <c r="AG13" s="441">
        <f>AF13</f>
        <v>32344849.035952568</v>
      </c>
    </row>
  </sheetData>
  <sheetProtection algorithmName="SHA-512" hashValue="x0Zn4KFz0dg3qFVhRSrK5dbIidfo/StFfwD0ghDd1LW4tRdvgmsVqRoS0/LuyUNes07qL/xnDOs4a1z9nJD2Rg==" saltValue="SQ8FP+9RKSHlWMTHJzlnNA==" spinCount="100000" sheet="1" objects="1" scenarios="1"/>
  <mergeCells count="1">
    <mergeCell ref="B2:C2"/>
  </mergeCells>
  <pageMargins left="0.7" right="0.7" top="0.75" bottom="0.75" header="0.3" footer="0.3"/>
  <pageSetup paperSize="9" orientation="portrait" horizontalDpi="4294967292" verticalDpi="4294967292"/>
  <ignoredErrors>
    <ignoredError sqref="D6:G6" emptyCellReference="1"/>
    <ignoredError sqref="I6:L6 N6:Q6 S6:V6 X6:AA6" formula="1" emptyCellReference="1"/>
    <ignoredError sqref="H3:AA4 H7:AA13 H6 W6 R6 M6 AB3:AB13 H5 J5:AA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D7" sqref="D7"/>
    </sheetView>
  </sheetViews>
  <sheetFormatPr defaultColWidth="11.28515625" defaultRowHeight="15"/>
  <cols>
    <col min="1" max="1" width="12.28515625" bestFit="1" customWidth="1"/>
  </cols>
  <sheetData>
    <row r="1" spans="1:5">
      <c r="A1" t="s">
        <v>264</v>
      </c>
      <c r="B1">
        <v>123.72</v>
      </c>
    </row>
    <row r="2" spans="1:5">
      <c r="A2" t="s">
        <v>265</v>
      </c>
      <c r="B2" s="3" t="e">
        <f>'Assumptions &amp; Sensitivity'!#REF!</f>
        <v>#REF!</v>
      </c>
    </row>
    <row r="3" spans="1:5">
      <c r="A3">
        <v>1</v>
      </c>
      <c r="B3">
        <v>2</v>
      </c>
      <c r="C3">
        <v>3</v>
      </c>
      <c r="D3">
        <v>4</v>
      </c>
      <c r="E3">
        <v>5</v>
      </c>
    </row>
    <row r="4" spans="1:5">
      <c r="A4">
        <v>2015</v>
      </c>
      <c r="B4">
        <v>2016</v>
      </c>
      <c r="C4">
        <v>2017</v>
      </c>
      <c r="D4">
        <v>2018</v>
      </c>
      <c r="E4">
        <v>2019</v>
      </c>
    </row>
    <row r="5" spans="1:5">
      <c r="A5" t="e">
        <f>$B1*((1+$B2)^A3)</f>
        <v>#REF!</v>
      </c>
      <c r="B5" t="e">
        <f t="shared" ref="B5:E5" si="0">$B1*((1+$B2)^B3)</f>
        <v>#REF!</v>
      </c>
      <c r="C5" t="e">
        <f t="shared" si="0"/>
        <v>#REF!</v>
      </c>
      <c r="D5" t="e">
        <f t="shared" si="0"/>
        <v>#REF!</v>
      </c>
      <c r="E5" t="e">
        <f t="shared" si="0"/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workbookViewId="0">
      <selection activeCell="C42" sqref="C42"/>
    </sheetView>
  </sheetViews>
  <sheetFormatPr defaultColWidth="14.28515625" defaultRowHeight="15.75" customHeight="1"/>
  <cols>
    <col min="1" max="1" width="92.85546875" style="10" customWidth="1"/>
    <col min="2" max="16384" width="14.28515625" style="10"/>
  </cols>
  <sheetData>
    <row r="1" spans="1:7" ht="15.75" customHeight="1">
      <c r="A1" s="9" t="s">
        <v>266</v>
      </c>
    </row>
    <row r="2" spans="1:7" ht="15.75" customHeight="1">
      <c r="A2" s="9" t="s">
        <v>267</v>
      </c>
      <c r="B2" s="11"/>
      <c r="C2" s="11" t="e">
        <f>'Marketshare Assumptions'!B14</f>
        <v>#REF!</v>
      </c>
    </row>
    <row r="3" spans="1:7" ht="15.75" customHeight="1">
      <c r="A3" s="9" t="s">
        <v>268</v>
      </c>
      <c r="B3" s="11"/>
      <c r="C3" s="11" t="e">
        <f>C2*0.1</f>
        <v>#REF!</v>
      </c>
    </row>
    <row r="6" spans="1:7" ht="15.75" customHeight="1">
      <c r="A6" s="9" t="s">
        <v>269</v>
      </c>
      <c r="B6" s="12"/>
      <c r="C6" s="12">
        <v>1</v>
      </c>
      <c r="D6" s="12">
        <v>2</v>
      </c>
      <c r="E6" s="12">
        <v>3</v>
      </c>
      <c r="F6" s="12">
        <v>4</v>
      </c>
      <c r="G6" s="12" t="s">
        <v>270</v>
      </c>
    </row>
    <row r="7" spans="1:7" ht="15.75" customHeight="1">
      <c r="A7" s="12" t="s">
        <v>271</v>
      </c>
      <c r="B7" s="11"/>
      <c r="C7" s="11"/>
      <c r="D7" s="11" t="e">
        <f>C3</f>
        <v>#REF!</v>
      </c>
      <c r="E7" s="11" t="e">
        <f t="shared" ref="E7:F7" si="0">D7*(1+((($C2/$C3)^(1/2))-1))</f>
        <v>#REF!</v>
      </c>
      <c r="F7" s="11" t="e">
        <f t="shared" si="0"/>
        <v>#REF!</v>
      </c>
    </row>
    <row r="8" spans="1:7" ht="15.75" customHeight="1">
      <c r="A8" s="12" t="s">
        <v>272</v>
      </c>
      <c r="B8" s="11"/>
      <c r="C8" s="11"/>
      <c r="D8" s="11" t="e">
        <f t="shared" ref="D8:F8" si="1">D7-C7</f>
        <v>#REF!</v>
      </c>
      <c r="E8" s="11" t="e">
        <f t="shared" si="1"/>
        <v>#REF!</v>
      </c>
      <c r="F8" s="11" t="e">
        <f t="shared" si="1"/>
        <v>#REF!</v>
      </c>
      <c r="G8" s="11" t="e">
        <f>SUM(C8:F8)</f>
        <v>#REF!</v>
      </c>
    </row>
    <row r="9" spans="1:7" ht="15.75" customHeight="1">
      <c r="A9" s="12" t="s">
        <v>273</v>
      </c>
      <c r="D9" s="11">
        <v>0</v>
      </c>
      <c r="E9" s="11" t="e">
        <f t="shared" ref="E9:F9" si="2">((E8-D8)/D8)+1</f>
        <v>#REF!</v>
      </c>
      <c r="F9" s="11" t="e">
        <f t="shared" si="2"/>
        <v>#REF!</v>
      </c>
    </row>
    <row r="10" spans="1:7" ht="15.75" customHeight="1">
      <c r="A10" s="12" t="s">
        <v>274</v>
      </c>
      <c r="B10" s="13"/>
      <c r="C10" s="11">
        <f>F3*(1+(C6*1.3))</f>
        <v>0</v>
      </c>
      <c r="D10" s="14"/>
    </row>
    <row r="11" spans="1:7" ht="15.75" customHeight="1">
      <c r="D11" s="14"/>
    </row>
    <row r="12" spans="1:7" ht="15.75" customHeight="1">
      <c r="A12" s="9" t="s">
        <v>275</v>
      </c>
    </row>
    <row r="13" spans="1:7" ht="15.75" customHeight="1">
      <c r="A13" s="9" t="s">
        <v>267</v>
      </c>
      <c r="B13" s="11"/>
      <c r="C13" s="11" t="e">
        <f>'Marketshare Assumptions'!C14</f>
        <v>#REF!</v>
      </c>
    </row>
    <row r="14" spans="1:7" ht="15.75" customHeight="1">
      <c r="A14" s="9" t="s">
        <v>268</v>
      </c>
      <c r="B14" s="11"/>
      <c r="C14" s="11" t="e">
        <f>F7*(1+(C10*1.3))</f>
        <v>#REF!</v>
      </c>
    </row>
    <row r="17" spans="1:7" ht="15.75" customHeight="1">
      <c r="A17" s="9" t="s">
        <v>269</v>
      </c>
      <c r="B17" s="12"/>
      <c r="C17" s="12">
        <v>1</v>
      </c>
      <c r="D17" s="12">
        <v>2</v>
      </c>
      <c r="E17" s="12">
        <v>3</v>
      </c>
      <c r="F17" s="12">
        <v>4</v>
      </c>
      <c r="G17" s="12" t="s">
        <v>270</v>
      </c>
    </row>
    <row r="18" spans="1:7" ht="15.75" customHeight="1">
      <c r="A18" s="12" t="s">
        <v>271</v>
      </c>
      <c r="B18" s="11"/>
      <c r="C18" s="11" t="e">
        <f>C14</f>
        <v>#REF!</v>
      </c>
      <c r="D18" s="11" t="e">
        <f t="shared" ref="D18:F18" si="3">C18*(1+((($C13/$C14)^(1/3))-1))</f>
        <v>#REF!</v>
      </c>
      <c r="E18" s="11" t="e">
        <f t="shared" si="3"/>
        <v>#REF!</v>
      </c>
      <c r="F18" s="11" t="e">
        <f t="shared" si="3"/>
        <v>#REF!</v>
      </c>
    </row>
    <row r="19" spans="1:7" ht="15.75" customHeight="1">
      <c r="A19" s="12" t="s">
        <v>272</v>
      </c>
      <c r="B19" s="11"/>
      <c r="C19" s="11" t="e">
        <f t="shared" ref="C19:F19" si="4">C18-B18</f>
        <v>#REF!</v>
      </c>
      <c r="D19" s="11" t="e">
        <f t="shared" si="4"/>
        <v>#REF!</v>
      </c>
      <c r="E19" s="11" t="e">
        <f t="shared" si="4"/>
        <v>#REF!</v>
      </c>
      <c r="F19" s="11" t="e">
        <f t="shared" si="4"/>
        <v>#REF!</v>
      </c>
      <c r="G19" s="11" t="e">
        <f>SUM(C19:F19)</f>
        <v>#REF!</v>
      </c>
    </row>
    <row r="20" spans="1:7" ht="15.75" customHeight="1">
      <c r="A20" s="12" t="s">
        <v>273</v>
      </c>
      <c r="D20" s="11" t="e">
        <f t="shared" ref="D20:F20" si="5">((D19-C19)/C19)+1</f>
        <v>#REF!</v>
      </c>
      <c r="E20" s="11" t="e">
        <f t="shared" si="5"/>
        <v>#REF!</v>
      </c>
      <c r="F20" s="11" t="e">
        <f t="shared" si="5"/>
        <v>#REF!</v>
      </c>
    </row>
    <row r="21" spans="1:7" ht="15.75" customHeight="1">
      <c r="A21" s="12" t="s">
        <v>274</v>
      </c>
      <c r="B21" s="13"/>
      <c r="C21" s="13" t="e">
        <f>(PRODUCT(D20:F20)^(1/3))-1</f>
        <v>#REF!</v>
      </c>
      <c r="D21" s="14"/>
    </row>
    <row r="22" spans="1:7" ht="15.75" customHeight="1">
      <c r="A22" s="9"/>
    </row>
    <row r="23" spans="1:7" ht="15.75" customHeight="1">
      <c r="A23" s="9" t="s">
        <v>276</v>
      </c>
    </row>
    <row r="24" spans="1:7" ht="15.75" customHeight="1">
      <c r="A24" s="9" t="s">
        <v>267</v>
      </c>
      <c r="B24" s="11"/>
      <c r="C24" s="11" t="e">
        <f>'Marketshare Assumptions'!D14</f>
        <v>#REF!</v>
      </c>
    </row>
    <row r="25" spans="1:7" ht="15.75" customHeight="1">
      <c r="A25" s="9" t="s">
        <v>268</v>
      </c>
      <c r="B25" s="11"/>
      <c r="C25" s="11" t="e">
        <f>F18*(1+(C21/1.5))</f>
        <v>#REF!</v>
      </c>
    </row>
    <row r="28" spans="1:7" ht="15.75" customHeight="1">
      <c r="A28" s="9" t="s">
        <v>269</v>
      </c>
      <c r="B28" s="12"/>
      <c r="C28" s="12">
        <v>1</v>
      </c>
      <c r="D28" s="12">
        <v>2</v>
      </c>
      <c r="E28" s="12">
        <v>3</v>
      </c>
      <c r="F28" s="12">
        <v>4</v>
      </c>
      <c r="G28" s="12" t="s">
        <v>270</v>
      </c>
    </row>
    <row r="29" spans="1:7" ht="15.75" customHeight="1">
      <c r="A29" s="12" t="s">
        <v>271</v>
      </c>
      <c r="B29" s="11"/>
      <c r="C29" s="11" t="e">
        <f>C25</f>
        <v>#REF!</v>
      </c>
      <c r="D29" s="11" t="e">
        <f t="shared" ref="D29:F29" si="6">C29*(1+((($C24/$C25)^(1/3))-1))</f>
        <v>#REF!</v>
      </c>
      <c r="E29" s="11" t="e">
        <f t="shared" si="6"/>
        <v>#REF!</v>
      </c>
      <c r="F29" s="11" t="e">
        <f t="shared" si="6"/>
        <v>#REF!</v>
      </c>
    </row>
    <row r="30" spans="1:7" ht="15.75" customHeight="1">
      <c r="A30" s="12" t="s">
        <v>272</v>
      </c>
      <c r="B30" s="11"/>
      <c r="C30" s="11" t="e">
        <f t="shared" ref="C30:F30" si="7">C29-B29</f>
        <v>#REF!</v>
      </c>
      <c r="D30" s="11" t="e">
        <f t="shared" si="7"/>
        <v>#REF!</v>
      </c>
      <c r="E30" s="11" t="e">
        <f t="shared" si="7"/>
        <v>#REF!</v>
      </c>
      <c r="F30" s="11" t="e">
        <f t="shared" si="7"/>
        <v>#REF!</v>
      </c>
      <c r="G30" s="11" t="e">
        <f>SUM(C30:F30)</f>
        <v>#REF!</v>
      </c>
    </row>
    <row r="31" spans="1:7" ht="15.75" customHeight="1">
      <c r="A31" s="12" t="s">
        <v>273</v>
      </c>
      <c r="D31" s="11" t="e">
        <f t="shared" ref="D31:F31" si="8">((D30-C30)/C30)+1</f>
        <v>#REF!</v>
      </c>
      <c r="E31" s="11" t="e">
        <f t="shared" si="8"/>
        <v>#REF!</v>
      </c>
      <c r="F31" s="11" t="e">
        <f t="shared" si="8"/>
        <v>#REF!</v>
      </c>
    </row>
    <row r="32" spans="1:7" ht="15.75" customHeight="1">
      <c r="A32" s="12" t="s">
        <v>274</v>
      </c>
      <c r="B32" s="13"/>
      <c r="C32" s="13" t="e">
        <f>(PRODUCT(D31:F31)^(1/3))-1</f>
        <v>#REF!</v>
      </c>
      <c r="D32" s="14"/>
    </row>
    <row r="35" spans="1:7" ht="15.75" customHeight="1">
      <c r="A35" s="9"/>
    </row>
    <row r="36" spans="1:7" ht="15.75" customHeight="1">
      <c r="A36" s="15">
        <v>0.15</v>
      </c>
      <c r="B36" s="11"/>
      <c r="C36" s="11"/>
    </row>
    <row r="37" spans="1:7" ht="15.75" customHeight="1">
      <c r="A37" s="15">
        <v>0.14000000000000001</v>
      </c>
    </row>
    <row r="38" spans="1:7" ht="15.75" customHeight="1">
      <c r="A38" s="16">
        <v>0.13</v>
      </c>
    </row>
    <row r="39" spans="1:7" ht="15.75" customHeight="1">
      <c r="A39" s="16">
        <v>0.12</v>
      </c>
    </row>
    <row r="40" spans="1:7" ht="15.75" customHeight="1">
      <c r="A40" s="15">
        <v>0.11</v>
      </c>
      <c r="B40" s="12"/>
      <c r="C40" s="12"/>
      <c r="D40" s="12"/>
      <c r="E40" s="12"/>
      <c r="F40" s="12"/>
      <c r="G40" s="12"/>
    </row>
    <row r="41" spans="1:7" ht="15.75" customHeight="1">
      <c r="A41" s="17">
        <v>0.1</v>
      </c>
      <c r="B41" s="11"/>
      <c r="C41" s="11"/>
      <c r="D41" s="11"/>
      <c r="E41" s="11"/>
      <c r="F41" s="11"/>
    </row>
    <row r="42" spans="1:7" ht="15.75" customHeight="1">
      <c r="A42" s="12"/>
      <c r="B42" s="11"/>
      <c r="C42" s="11"/>
      <c r="D42" s="11"/>
      <c r="E42" s="11"/>
      <c r="F42" s="11"/>
    </row>
    <row r="43" spans="1:7" ht="15.75" customHeight="1">
      <c r="A43" s="12"/>
      <c r="D43" s="11"/>
      <c r="E43" s="11"/>
      <c r="F43" s="11"/>
    </row>
    <row r="44" spans="1:7" ht="15.75" customHeight="1">
      <c r="A44" s="12"/>
      <c r="D44" s="11"/>
      <c r="E44" s="11"/>
      <c r="F44" s="11"/>
    </row>
    <row r="45" spans="1:7" ht="15.75" customHeight="1">
      <c r="A45" s="12"/>
      <c r="B45" s="13"/>
      <c r="C45" s="13"/>
      <c r="D45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workbookViewId="0">
      <selection activeCell="K18" sqref="K18:N18"/>
    </sheetView>
  </sheetViews>
  <sheetFormatPr defaultColWidth="11.28515625" defaultRowHeight="15"/>
  <cols>
    <col min="1" max="1" width="108.7109375" bestFit="1" customWidth="1"/>
    <col min="2" max="2" width="15.28515625" bestFit="1" customWidth="1"/>
    <col min="3" max="3" width="54.28515625" bestFit="1" customWidth="1"/>
    <col min="4" max="6" width="17.28515625" bestFit="1" customWidth="1"/>
    <col min="7" max="7" width="11" bestFit="1" customWidth="1"/>
    <col min="8" max="8" width="12.28515625" bestFit="1" customWidth="1"/>
    <col min="9" max="9" width="13.140625" bestFit="1" customWidth="1"/>
    <col min="10" max="10" width="12.28515625" bestFit="1" customWidth="1"/>
    <col min="13" max="14" width="11.85546875" bestFit="1" customWidth="1"/>
    <col min="15" max="15" width="12.28515625" bestFit="1" customWidth="1"/>
  </cols>
  <sheetData>
    <row r="1" spans="1:4" ht="17.100000000000001">
      <c r="A1" s="4" t="s">
        <v>277</v>
      </c>
      <c r="B1" s="5"/>
      <c r="C1" s="5"/>
      <c r="D1" s="5"/>
    </row>
    <row r="2" spans="1:4" ht="17.100000000000001">
      <c r="A2" s="4" t="s">
        <v>278</v>
      </c>
      <c r="B2" s="6">
        <v>0.2</v>
      </c>
      <c r="C2" s="5"/>
      <c r="D2" s="5"/>
    </row>
    <row r="3" spans="1:4" ht="17.100000000000001">
      <c r="A3" s="4" t="s">
        <v>279</v>
      </c>
      <c r="B3" s="7" t="e">
        <f>'Assumptions &amp; Sensitivity'!#REF!</f>
        <v>#REF!</v>
      </c>
      <c r="C3" s="5"/>
      <c r="D3" s="5"/>
    </row>
    <row r="4" spans="1:4" ht="17.100000000000001">
      <c r="A4" s="4" t="s">
        <v>280</v>
      </c>
      <c r="B4" s="7" t="e">
        <f>'Assumptions &amp; Sensitivity'!#REF!</f>
        <v>#REF!</v>
      </c>
      <c r="C4" s="5"/>
      <c r="D4" s="5"/>
    </row>
    <row r="5" spans="1:4" ht="17.100000000000001">
      <c r="A5" s="5"/>
      <c r="B5" s="5"/>
      <c r="C5" s="5"/>
      <c r="D5" s="5"/>
    </row>
    <row r="6" spans="1:4" ht="17.100000000000001">
      <c r="A6" s="5"/>
      <c r="B6" s="5"/>
      <c r="C6" s="5"/>
      <c r="D6" s="5"/>
    </row>
    <row r="7" spans="1:4" ht="17.100000000000001">
      <c r="A7" s="4" t="s">
        <v>281</v>
      </c>
      <c r="B7" s="5">
        <v>1</v>
      </c>
      <c r="C7" s="5">
        <v>2</v>
      </c>
      <c r="D7" s="5">
        <v>3</v>
      </c>
    </row>
    <row r="8" spans="1:4" ht="17.100000000000001">
      <c r="A8" s="5"/>
      <c r="B8" s="7" t="e">
        <f>B4</f>
        <v>#REF!</v>
      </c>
      <c r="C8" s="7" t="e">
        <f>IF(B8*(1+((($B3/$B4)^(1/2))-1))&lt;$B2,B8*(1+((($B3/$B4)^(1/2))-1)),$B2)</f>
        <v>#REF!</v>
      </c>
      <c r="D8" s="7" t="e">
        <f>IF(C8*(1+((($B3/$B4)^(1/2))-1))&lt;$B2,C8*(1+((($B3/$B4)^(1/2))-1)),$B2)</f>
        <v>#REF!</v>
      </c>
    </row>
    <row r="10" spans="1:4">
      <c r="B10">
        <v>2017</v>
      </c>
      <c r="C10">
        <v>2018</v>
      </c>
      <c r="D10">
        <v>2019</v>
      </c>
    </row>
    <row r="11" spans="1:4">
      <c r="A11" t="s">
        <v>282</v>
      </c>
      <c r="B11" s="2">
        <v>2527099467.1100001</v>
      </c>
      <c r="C11" s="2">
        <v>3057924854.8800001</v>
      </c>
      <c r="D11" s="2">
        <v>3677669472.8699999</v>
      </c>
    </row>
    <row r="12" spans="1:4">
      <c r="A12" t="s">
        <v>283</v>
      </c>
      <c r="B12" s="3" t="e">
        <f>B8*(3/4)</f>
        <v>#REF!</v>
      </c>
      <c r="C12" s="3" t="e">
        <f>C8</f>
        <v>#REF!</v>
      </c>
      <c r="D12" s="3" t="e">
        <f>D8</f>
        <v>#REF!</v>
      </c>
    </row>
    <row r="13" spans="1:4">
      <c r="A13" t="s">
        <v>284</v>
      </c>
      <c r="B13" s="2" t="e">
        <f>B11*B12</f>
        <v>#REF!</v>
      </c>
      <c r="C13" s="2" t="e">
        <f>C11*C12</f>
        <v>#REF!</v>
      </c>
      <c r="D13" s="2" t="e">
        <f>D11*D12</f>
        <v>#REF!</v>
      </c>
    </row>
    <row r="14" spans="1:4">
      <c r="A14" t="s">
        <v>285</v>
      </c>
      <c r="B14" s="2" t="e">
        <f>B13*0.1</f>
        <v>#REF!</v>
      </c>
      <c r="C14" s="2" t="e">
        <f>C13*0.1</f>
        <v>#REF!</v>
      </c>
      <c r="D14" s="2" t="e">
        <f>D13*0.1</f>
        <v>#REF!</v>
      </c>
    </row>
    <row r="16" spans="1:4">
      <c r="A16" t="s">
        <v>286</v>
      </c>
    </row>
    <row r="17" spans="1:15">
      <c r="A17" t="s">
        <v>287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  <c r="G17" t="s">
        <v>293</v>
      </c>
      <c r="H17" t="s">
        <v>294</v>
      </c>
      <c r="I17" t="s">
        <v>295</v>
      </c>
      <c r="J17" t="s">
        <v>296</v>
      </c>
      <c r="K17" t="s">
        <v>297</v>
      </c>
      <c r="L17" t="s">
        <v>298</v>
      </c>
      <c r="M17" t="s">
        <v>299</v>
      </c>
      <c r="N17" t="s">
        <v>300</v>
      </c>
      <c r="O17" t="s">
        <v>301</v>
      </c>
    </row>
    <row r="18" spans="1:15">
      <c r="A18" s="8">
        <f>'Quarter Effect Worksheet'!C8/0.1</f>
        <v>0</v>
      </c>
      <c r="B18" s="8" t="e">
        <f>'Quarter Effect Worksheet'!D8/0.1</f>
        <v>#REF!</v>
      </c>
      <c r="C18" s="8" t="e">
        <f>'Quarter Effect Worksheet'!E8/0.1</f>
        <v>#REF!</v>
      </c>
      <c r="D18" s="8" t="e">
        <f>'Quarter Effect Worksheet'!F8/0.1</f>
        <v>#REF!</v>
      </c>
      <c r="E18" s="2" t="e">
        <f>SUM(A18:D18)</f>
        <v>#REF!</v>
      </c>
      <c r="F18" s="2" t="e">
        <f>'Quarter Effect Worksheet'!C19/0.1</f>
        <v>#REF!</v>
      </c>
      <c r="G18" s="2" t="e">
        <f>'Quarter Effect Worksheet'!D19/0.1</f>
        <v>#REF!</v>
      </c>
      <c r="H18" s="2" t="e">
        <f>'Quarter Effect Worksheet'!E19/0.1</f>
        <v>#REF!</v>
      </c>
      <c r="I18" s="2" t="e">
        <f>'Quarter Effect Worksheet'!F19/0.1</f>
        <v>#REF!</v>
      </c>
      <c r="J18" s="2" t="e">
        <f>SUM(F18:I18)</f>
        <v>#REF!</v>
      </c>
      <c r="K18" s="8" t="e">
        <f>'Quarter Effect Worksheet'!C30/0.1</f>
        <v>#REF!</v>
      </c>
      <c r="L18" s="8" t="e">
        <f>'Quarter Effect Worksheet'!D30/0.1</f>
        <v>#REF!</v>
      </c>
      <c r="M18" s="8" t="e">
        <f>'Quarter Effect Worksheet'!E30/0.1</f>
        <v>#REF!</v>
      </c>
      <c r="N18" s="8" t="e">
        <f>'Quarter Effect Worksheet'!F30/0.1</f>
        <v>#REF!</v>
      </c>
      <c r="O18" s="2" t="e">
        <f>SUM(K18:N18)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2:AB7"/>
  <sheetViews>
    <sheetView showGridLines="0" topLeftCell="G1" workbookViewId="0">
      <selection activeCell="M5" sqref="M5"/>
    </sheetView>
  </sheetViews>
  <sheetFormatPr defaultColWidth="8.85546875" defaultRowHeight="27.95" customHeight="1"/>
  <cols>
    <col min="1" max="1" width="4.140625" style="229" customWidth="1"/>
    <col min="2" max="2" width="1.7109375" style="229" customWidth="1"/>
    <col min="3" max="3" width="2.28515625" style="229" customWidth="1"/>
    <col min="4" max="4" width="28" style="229" customWidth="1"/>
    <col min="5" max="28" width="12.85546875" style="229" customWidth="1"/>
    <col min="29" max="16384" width="8.85546875" style="229"/>
  </cols>
  <sheetData>
    <row r="2" spans="2:28" ht="33" customHeight="1">
      <c r="B2" s="526" t="s">
        <v>302</v>
      </c>
      <c r="C2" s="527"/>
      <c r="D2" s="527"/>
      <c r="E2" s="198" t="s">
        <v>53</v>
      </c>
      <c r="F2" s="198" t="s">
        <v>54</v>
      </c>
      <c r="G2" s="198" t="s">
        <v>55</v>
      </c>
      <c r="H2" s="198" t="s">
        <v>56</v>
      </c>
      <c r="I2" s="198" t="s">
        <v>57</v>
      </c>
      <c r="J2" s="198" t="s">
        <v>58</v>
      </c>
      <c r="K2" s="198" t="s">
        <v>59</v>
      </c>
      <c r="L2" s="198" t="s">
        <v>60</v>
      </c>
      <c r="M2" s="198" t="s">
        <v>61</v>
      </c>
      <c r="N2" s="198" t="s">
        <v>62</v>
      </c>
      <c r="O2" s="198" t="s">
        <v>63</v>
      </c>
      <c r="P2" s="198" t="s">
        <v>64</v>
      </c>
      <c r="Q2" s="198" t="s">
        <v>65</v>
      </c>
      <c r="R2" s="198" t="s">
        <v>66</v>
      </c>
      <c r="S2" s="198" t="s">
        <v>67</v>
      </c>
      <c r="T2" s="198" t="s">
        <v>68</v>
      </c>
      <c r="U2" s="198" t="s">
        <v>69</v>
      </c>
      <c r="V2" s="198" t="s">
        <v>70</v>
      </c>
      <c r="W2" s="198" t="s">
        <v>71</v>
      </c>
      <c r="X2" s="198" t="s">
        <v>72</v>
      </c>
      <c r="Y2" s="198" t="s">
        <v>73</v>
      </c>
      <c r="Z2" s="198" t="s">
        <v>74</v>
      </c>
      <c r="AA2" s="198" t="s">
        <v>75</v>
      </c>
      <c r="AB2" s="198" t="s">
        <v>76</v>
      </c>
    </row>
    <row r="3" spans="2:28" ht="33" customHeight="1">
      <c r="B3" s="400"/>
      <c r="C3" s="407" t="s">
        <v>303</v>
      </c>
      <c r="D3" s="234"/>
      <c r="E3" s="442">
        <f t="shared" ref="E3:W3" si="0">SUM(E4:E4)</f>
        <v>0</v>
      </c>
      <c r="F3" s="443">
        <f t="shared" si="0"/>
        <v>0</v>
      </c>
      <c r="G3" s="443">
        <f t="shared" si="0"/>
        <v>0</v>
      </c>
      <c r="H3" s="443">
        <f t="shared" si="0"/>
        <v>0</v>
      </c>
      <c r="I3" s="443">
        <f t="shared" si="0"/>
        <v>0</v>
      </c>
      <c r="J3" s="443">
        <f t="shared" si="0"/>
        <v>0</v>
      </c>
      <c r="K3" s="443">
        <f t="shared" si="0"/>
        <v>0</v>
      </c>
      <c r="L3" s="443">
        <f t="shared" si="0"/>
        <v>0</v>
      </c>
      <c r="M3" s="443">
        <f t="shared" si="0"/>
        <v>42496.872527472522</v>
      </c>
      <c r="N3" s="443">
        <f t="shared" si="0"/>
        <v>77264.337362637365</v>
      </c>
      <c r="O3" s="443">
        <f t="shared" si="0"/>
        <v>120967.42087912088</v>
      </c>
      <c r="P3" s="442">
        <f t="shared" si="0"/>
        <v>176539.78681318683</v>
      </c>
      <c r="Q3" s="442">
        <f t="shared" si="0"/>
        <v>256975.06483516481</v>
      </c>
      <c r="R3" s="442">
        <f t="shared" si="0"/>
        <v>379029.41868131864</v>
      </c>
      <c r="S3" s="442">
        <f t="shared" si="0"/>
        <v>567922.31538461533</v>
      </c>
      <c r="T3" s="442">
        <f t="shared" ref="T3:AB3" si="1">SUM(T4:T4)</f>
        <v>788544.44505494495</v>
      </c>
      <c r="U3" s="442">
        <f t="shared" si="0"/>
        <v>1202262.9824175823</v>
      </c>
      <c r="V3" s="442">
        <f t="shared" si="1"/>
        <v>1562939.5747252747</v>
      </c>
      <c r="W3" s="442">
        <f t="shared" si="0"/>
        <v>2031823.3978021976</v>
      </c>
      <c r="X3" s="442">
        <f t="shared" si="1"/>
        <v>2641370.5450549452</v>
      </c>
      <c r="Y3" s="442">
        <f t="shared" si="1"/>
        <v>2641370.5450549452</v>
      </c>
      <c r="Z3" s="442">
        <f t="shared" si="1"/>
        <v>3469180.2923076916</v>
      </c>
      <c r="AA3" s="442">
        <f t="shared" si="1"/>
        <v>4205497.153846154</v>
      </c>
      <c r="AB3" s="444">
        <f t="shared" si="1"/>
        <v>5097572.307692308</v>
      </c>
    </row>
    <row r="4" spans="2:28" ht="33" customHeight="1">
      <c r="B4" s="400"/>
      <c r="D4" s="229" t="s">
        <v>304</v>
      </c>
      <c r="E4" s="445">
        <f>BS!F11</f>
        <v>0</v>
      </c>
      <c r="F4" s="445">
        <f>BS!G11</f>
        <v>0</v>
      </c>
      <c r="G4" s="445">
        <f>BS!H11</f>
        <v>0</v>
      </c>
      <c r="H4" s="445">
        <f>BS!I11</f>
        <v>0</v>
      </c>
      <c r="I4" s="445">
        <f>BS!K11</f>
        <v>0</v>
      </c>
      <c r="J4" s="445">
        <f>BS!L11</f>
        <v>0</v>
      </c>
      <c r="K4" s="445">
        <f>BS!M11</f>
        <v>0</v>
      </c>
      <c r="L4" s="445">
        <f>BS!N11</f>
        <v>0</v>
      </c>
      <c r="M4" s="445">
        <f>BS!P11</f>
        <v>42496.872527472522</v>
      </c>
      <c r="N4" s="445">
        <f>BS!Q11</f>
        <v>77264.337362637365</v>
      </c>
      <c r="O4" s="445">
        <f>BS!R11</f>
        <v>120967.42087912088</v>
      </c>
      <c r="P4" s="445">
        <f>BS!S11</f>
        <v>176539.78681318683</v>
      </c>
      <c r="Q4" s="445">
        <f>BS!U11</f>
        <v>256975.06483516481</v>
      </c>
      <c r="R4" s="445">
        <f>BS!V11</f>
        <v>379029.41868131864</v>
      </c>
      <c r="S4" s="445">
        <f>BS!W11</f>
        <v>567922.31538461533</v>
      </c>
      <c r="T4" s="445">
        <f>BS!X11</f>
        <v>788544.44505494495</v>
      </c>
      <c r="U4" s="445">
        <f>BS!Z11</f>
        <v>1202262.9824175823</v>
      </c>
      <c r="V4" s="445">
        <f>BS!AA11</f>
        <v>1562939.5747252747</v>
      </c>
      <c r="W4" s="445">
        <f>BS!AB11</f>
        <v>2031823.3978021976</v>
      </c>
      <c r="X4" s="445">
        <f>BS!AC11</f>
        <v>2641370.5450549452</v>
      </c>
      <c r="Y4" s="445">
        <f>BS!AD11</f>
        <v>2641370.5450549452</v>
      </c>
      <c r="Z4" s="445">
        <f>BS!AF11</f>
        <v>3469180.2923076916</v>
      </c>
      <c r="AA4" s="445">
        <f>BS!AG11</f>
        <v>4205497.153846154</v>
      </c>
      <c r="AB4" s="446">
        <f>BS!AH11</f>
        <v>5097572.307692308</v>
      </c>
    </row>
    <row r="5" spans="2:28" ht="33" customHeight="1">
      <c r="B5" s="400"/>
      <c r="C5" s="407" t="s">
        <v>244</v>
      </c>
      <c r="D5" s="234"/>
      <c r="E5" s="442">
        <f t="shared" ref="E5:AB5" si="2">SUM(E6:E6)</f>
        <v>0</v>
      </c>
      <c r="F5" s="442">
        <f t="shared" si="2"/>
        <v>0</v>
      </c>
      <c r="G5" s="442">
        <f t="shared" si="2"/>
        <v>0</v>
      </c>
      <c r="H5" s="442">
        <f t="shared" si="2"/>
        <v>0</v>
      </c>
      <c r="I5" s="442">
        <f t="shared" si="2"/>
        <v>15923.076923076924</v>
      </c>
      <c r="J5" s="442">
        <f t="shared" si="2"/>
        <v>15923.076923076924</v>
      </c>
      <c r="K5" s="442">
        <f t="shared" si="2"/>
        <v>104830.7451923077</v>
      </c>
      <c r="L5" s="442">
        <f t="shared" si="2"/>
        <v>116023.05288461539</v>
      </c>
      <c r="M5" s="442">
        <f t="shared" si="2"/>
        <v>119881.38315576923</v>
      </c>
      <c r="N5" s="442">
        <f t="shared" si="2"/>
        <v>119388.47404222564</v>
      </c>
      <c r="O5" s="442">
        <f t="shared" si="2"/>
        <v>130630.7595630892</v>
      </c>
      <c r="P5" s="442">
        <f t="shared" si="2"/>
        <v>135964.51572335404</v>
      </c>
      <c r="Q5" s="442">
        <f t="shared" si="2"/>
        <v>185405.78365861063</v>
      </c>
      <c r="R5" s="442">
        <f t="shared" si="2"/>
        <v>244788.90309183503</v>
      </c>
      <c r="S5" s="442">
        <f t="shared" si="2"/>
        <v>326094.14755428629</v>
      </c>
      <c r="T5" s="442">
        <f t="shared" si="2"/>
        <v>403668.43344735441</v>
      </c>
      <c r="U5" s="442">
        <f t="shared" si="2"/>
        <v>543268.71203213756</v>
      </c>
      <c r="V5" s="442">
        <f t="shared" si="2"/>
        <v>645373.46334841335</v>
      </c>
      <c r="W5" s="442">
        <f t="shared" si="2"/>
        <v>806267.62686656683</v>
      </c>
      <c r="X5" s="442">
        <f t="shared" si="2"/>
        <v>978030.44212141039</v>
      </c>
      <c r="Y5" s="442">
        <f t="shared" si="2"/>
        <v>978030.44212141039</v>
      </c>
      <c r="Z5" s="442">
        <f t="shared" si="2"/>
        <v>1223789.5364377256</v>
      </c>
      <c r="AA5" s="442">
        <f t="shared" si="2"/>
        <v>1404845.0238112931</v>
      </c>
      <c r="AB5" s="444">
        <f t="shared" si="2"/>
        <v>1657161.5243046754</v>
      </c>
    </row>
    <row r="6" spans="2:28" ht="33" customHeight="1">
      <c r="B6" s="400"/>
      <c r="D6" s="229" t="s">
        <v>245</v>
      </c>
      <c r="E6" s="447">
        <f>BS!F4</f>
        <v>0</v>
      </c>
      <c r="F6" s="447">
        <f>BS!G4</f>
        <v>0</v>
      </c>
      <c r="G6" s="447">
        <f>BS!H4</f>
        <v>0</v>
      </c>
      <c r="H6" s="447">
        <f>BS!I4</f>
        <v>0</v>
      </c>
      <c r="I6" s="447">
        <f>BS!K4</f>
        <v>15923.076923076924</v>
      </c>
      <c r="J6" s="447">
        <f>BS!L4</f>
        <v>15923.076923076924</v>
      </c>
      <c r="K6" s="447">
        <f>BS!M4</f>
        <v>104830.7451923077</v>
      </c>
      <c r="L6" s="447">
        <f>BS!N4</f>
        <v>116023.05288461539</v>
      </c>
      <c r="M6" s="447">
        <f>BS!P4</f>
        <v>119881.38315576923</v>
      </c>
      <c r="N6" s="447">
        <f>BS!Q4</f>
        <v>119388.47404222564</v>
      </c>
      <c r="O6" s="447">
        <f>BS!R4</f>
        <v>130630.7595630892</v>
      </c>
      <c r="P6" s="447">
        <f>BS!S4</f>
        <v>135964.51572335404</v>
      </c>
      <c r="Q6" s="447">
        <f>BS!U4</f>
        <v>185405.78365861063</v>
      </c>
      <c r="R6" s="447">
        <f>BS!V4</f>
        <v>244788.90309183503</v>
      </c>
      <c r="S6" s="447">
        <f>BS!W4</f>
        <v>326094.14755428629</v>
      </c>
      <c r="T6" s="447">
        <f>BS!X4</f>
        <v>403668.43344735441</v>
      </c>
      <c r="U6" s="447">
        <f>BS!Z4</f>
        <v>543268.71203213756</v>
      </c>
      <c r="V6" s="447">
        <f>BS!AA4</f>
        <v>645373.46334841335</v>
      </c>
      <c r="W6" s="447">
        <f>BS!AB4</f>
        <v>806267.62686656683</v>
      </c>
      <c r="X6" s="447">
        <f>BS!AC4</f>
        <v>978030.44212141039</v>
      </c>
      <c r="Y6" s="447">
        <f>BS!AD4</f>
        <v>978030.44212141039</v>
      </c>
      <c r="Z6" s="447">
        <f>BS!AF4</f>
        <v>1223789.5364377256</v>
      </c>
      <c r="AA6" s="447">
        <f>BS!AG4</f>
        <v>1404845.0238112931</v>
      </c>
      <c r="AB6" s="448">
        <f>BS!AH4</f>
        <v>1657161.5243046754</v>
      </c>
    </row>
    <row r="7" spans="2:28" ht="33" customHeight="1">
      <c r="B7" s="449"/>
      <c r="C7" s="450" t="s">
        <v>305</v>
      </c>
      <c r="D7" s="451"/>
      <c r="E7" s="452">
        <f t="shared" ref="E7:X7" si="3">E3-E5</f>
        <v>0</v>
      </c>
      <c r="F7" s="452">
        <f t="shared" si="3"/>
        <v>0</v>
      </c>
      <c r="G7" s="452">
        <f t="shared" si="3"/>
        <v>0</v>
      </c>
      <c r="H7" s="453">
        <f t="shared" si="3"/>
        <v>0</v>
      </c>
      <c r="I7" s="453">
        <f t="shared" si="3"/>
        <v>-15923.076923076924</v>
      </c>
      <c r="J7" s="453">
        <f t="shared" si="3"/>
        <v>-15923.076923076924</v>
      </c>
      <c r="K7" s="453">
        <f t="shared" si="3"/>
        <v>-104830.7451923077</v>
      </c>
      <c r="L7" s="453">
        <f t="shared" si="3"/>
        <v>-116023.05288461539</v>
      </c>
      <c r="M7" s="453">
        <f t="shared" si="3"/>
        <v>-77384.510628296703</v>
      </c>
      <c r="N7" s="453">
        <f t="shared" si="3"/>
        <v>-42124.136679588279</v>
      </c>
      <c r="O7" s="453">
        <f t="shared" si="3"/>
        <v>-9663.3386839683226</v>
      </c>
      <c r="P7" s="453">
        <f t="shared" si="3"/>
        <v>40575.271089832793</v>
      </c>
      <c r="Q7" s="453">
        <f t="shared" si="3"/>
        <v>71569.281176554185</v>
      </c>
      <c r="R7" s="453">
        <f t="shared" si="3"/>
        <v>134240.51558948361</v>
      </c>
      <c r="S7" s="453">
        <f t="shared" si="3"/>
        <v>241828.16783032904</v>
      </c>
      <c r="T7" s="453">
        <f t="shared" si="3"/>
        <v>384876.01160759054</v>
      </c>
      <c r="U7" s="453">
        <f t="shared" si="3"/>
        <v>658994.27038544475</v>
      </c>
      <c r="V7" s="453">
        <f t="shared" si="3"/>
        <v>917566.11137686134</v>
      </c>
      <c r="W7" s="453">
        <f t="shared" si="3"/>
        <v>1225555.7709356309</v>
      </c>
      <c r="X7" s="453">
        <f t="shared" si="3"/>
        <v>1663340.1029335349</v>
      </c>
      <c r="Y7" s="453">
        <f t="shared" ref="Y7:AB7" si="4">Y3-Y5</f>
        <v>1663340.1029335349</v>
      </c>
      <c r="Z7" s="453">
        <f t="shared" si="4"/>
        <v>2245390.755869966</v>
      </c>
      <c r="AA7" s="453">
        <f t="shared" si="4"/>
        <v>2800652.1300348612</v>
      </c>
      <c r="AB7" s="454">
        <f t="shared" si="4"/>
        <v>3440410.7833876326</v>
      </c>
    </row>
  </sheetData>
  <sheetProtection algorithmName="SHA-512" hashValue="kT6oGFHLmnMkAbeHCWpyyVWFXsymxjBQrsFVy7rRPEohsZSvH+CPPSmQ11oSHCBbUcI4bi0IVfnFQ7sodb5Ipg==" saltValue="y194yzipqrsb+ezFcCGt7w==" spinCount="100000" sheet="1" objects="1" scenarios="1"/>
  <mergeCells count="1">
    <mergeCell ref="B2:D2"/>
  </mergeCells>
  <pageMargins left="0.7" right="0.7" top="0.75" bottom="0.75" header="0.3" footer="0.3"/>
  <pageSetup paperSize="9" orientation="portrait" horizontalDpi="4294967292" verticalDpi="4294967292"/>
  <ignoredErrors>
    <ignoredError sqref="E4:X4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2:AD18"/>
  <sheetViews>
    <sheetView showGridLines="0" workbookViewId="0">
      <selection activeCell="AH8" sqref="AH8"/>
    </sheetView>
  </sheetViews>
  <sheetFormatPr defaultColWidth="11.28515625" defaultRowHeight="23.1" customHeight="1" outlineLevelCol="1"/>
  <cols>
    <col min="1" max="1" width="2.28515625" style="229" customWidth="1"/>
    <col min="2" max="2" width="3.42578125" style="229" customWidth="1"/>
    <col min="3" max="3" width="3" style="229" customWidth="1"/>
    <col min="4" max="4" width="22" style="229" customWidth="1"/>
    <col min="5" max="5" width="10.28515625" style="229" bestFit="1" customWidth="1"/>
    <col min="6" max="6" width="9.42578125" style="229" hidden="1" customWidth="1" outlineLevel="1"/>
    <col min="7" max="7" width="10.85546875" style="229" hidden="1" customWidth="1" outlineLevel="1"/>
    <col min="8" max="8" width="11.140625" style="229" hidden="1" customWidth="1" outlineLevel="1"/>
    <col min="9" max="9" width="9.42578125" style="229" hidden="1" customWidth="1" outlineLevel="1"/>
    <col min="10" max="10" width="12.85546875" style="229" customWidth="1" collapsed="1"/>
    <col min="11" max="11" width="10.42578125" style="229" hidden="1" customWidth="1" outlineLevel="1"/>
    <col min="12" max="14" width="9.85546875" style="229" hidden="1" customWidth="1" outlineLevel="1"/>
    <col min="15" max="15" width="12.85546875" style="229" customWidth="1" collapsed="1"/>
    <col min="16" max="19" width="9.85546875" style="229" hidden="1" customWidth="1" outlineLevel="1"/>
    <col min="20" max="20" width="12.85546875" style="229" customWidth="1" collapsed="1"/>
    <col min="21" max="23" width="10.85546875" style="229" hidden="1" customWidth="1" outlineLevel="1"/>
    <col min="24" max="24" width="11.140625" style="229" hidden="1" customWidth="1" outlineLevel="1"/>
    <col min="25" max="25" width="12.85546875" style="229" customWidth="1" collapsed="1"/>
    <col min="26" max="29" width="10.85546875" style="229" hidden="1" customWidth="1" outlineLevel="1"/>
    <col min="30" max="30" width="12.85546875" style="229" customWidth="1" collapsed="1"/>
    <col min="31" max="16384" width="11.28515625" style="229"/>
  </cols>
  <sheetData>
    <row r="2" spans="2:30" ht="23.1" customHeight="1">
      <c r="B2" s="530" t="s">
        <v>306</v>
      </c>
      <c r="C2" s="531"/>
      <c r="D2" s="531"/>
      <c r="E2" s="395">
        <v>2016</v>
      </c>
      <c r="F2" s="394" t="s">
        <v>53</v>
      </c>
      <c r="G2" s="394" t="s">
        <v>54</v>
      </c>
      <c r="H2" s="394" t="s">
        <v>55</v>
      </c>
      <c r="I2" s="394" t="s">
        <v>56</v>
      </c>
      <c r="J2" s="395">
        <v>2017</v>
      </c>
      <c r="K2" s="394" t="s">
        <v>57</v>
      </c>
      <c r="L2" s="394" t="s">
        <v>58</v>
      </c>
      <c r="M2" s="394" t="s">
        <v>59</v>
      </c>
      <c r="N2" s="394" t="s">
        <v>60</v>
      </c>
      <c r="O2" s="395">
        <v>2018</v>
      </c>
      <c r="P2" s="394" t="s">
        <v>61</v>
      </c>
      <c r="Q2" s="394" t="s">
        <v>62</v>
      </c>
      <c r="R2" s="394" t="s">
        <v>63</v>
      </c>
      <c r="S2" s="394" t="s">
        <v>64</v>
      </c>
      <c r="T2" s="395">
        <v>2019</v>
      </c>
      <c r="U2" s="394" t="s">
        <v>65</v>
      </c>
      <c r="V2" s="394" t="s">
        <v>66</v>
      </c>
      <c r="W2" s="394" t="s">
        <v>67</v>
      </c>
      <c r="X2" s="394" t="s">
        <v>68</v>
      </c>
      <c r="Y2" s="395">
        <v>2020</v>
      </c>
      <c r="Z2" s="396" t="s">
        <v>69</v>
      </c>
      <c r="AA2" s="394" t="s">
        <v>70</v>
      </c>
      <c r="AB2" s="394" t="s">
        <v>71</v>
      </c>
      <c r="AC2" s="394" t="s">
        <v>72</v>
      </c>
      <c r="AD2" s="397">
        <v>2021</v>
      </c>
    </row>
    <row r="3" spans="2:30" ht="23.1" customHeight="1">
      <c r="B3" s="455" t="s">
        <v>307</v>
      </c>
      <c r="C3" s="456"/>
      <c r="D3" s="456"/>
      <c r="E3" s="457"/>
      <c r="F3" s="456"/>
      <c r="G3" s="456"/>
      <c r="H3" s="456"/>
      <c r="I3" s="456"/>
      <c r="J3" s="457"/>
      <c r="K3" s="456"/>
      <c r="L3" s="456"/>
      <c r="M3" s="456"/>
      <c r="N3" s="456"/>
      <c r="O3" s="457"/>
      <c r="P3" s="456"/>
      <c r="Q3" s="456"/>
      <c r="R3" s="458"/>
      <c r="S3" s="458"/>
      <c r="T3" s="457"/>
      <c r="U3" s="458"/>
      <c r="V3" s="458"/>
      <c r="W3" s="458"/>
      <c r="X3" s="458"/>
      <c r="Y3" s="457"/>
      <c r="Z3" s="458"/>
      <c r="AA3" s="458"/>
      <c r="AB3" s="458"/>
      <c r="AC3" s="458"/>
      <c r="AD3" s="459"/>
    </row>
    <row r="4" spans="2:30" ht="23.1" customHeight="1">
      <c r="B4" s="460"/>
      <c r="C4" s="456" t="s">
        <v>308</v>
      </c>
      <c r="D4" s="433"/>
      <c r="E4" s="434">
        <v>0</v>
      </c>
      <c r="F4" s="456">
        <f>E7</f>
        <v>1000000</v>
      </c>
      <c r="G4" s="456">
        <f t="shared" ref="G4:I4" si="0">F7</f>
        <v>1000000</v>
      </c>
      <c r="H4" s="456">
        <f t="shared" si="0"/>
        <v>1176470.5882352942</v>
      </c>
      <c r="I4" s="456">
        <f t="shared" si="0"/>
        <v>1176470.5882352942</v>
      </c>
      <c r="J4" s="457">
        <f>F4</f>
        <v>1000000</v>
      </c>
      <c r="K4" s="456">
        <f>I7</f>
        <v>1176470.5882352942</v>
      </c>
      <c r="L4" s="456">
        <f t="shared" ref="L4:AC4" si="1">K7</f>
        <v>1176470.5882352942</v>
      </c>
      <c r="M4" s="456">
        <f t="shared" si="1"/>
        <v>1176470.5882352942</v>
      </c>
      <c r="N4" s="456">
        <f t="shared" si="1"/>
        <v>1176470.5882352942</v>
      </c>
      <c r="O4" s="457">
        <f>K4</f>
        <v>1176470.5882352942</v>
      </c>
      <c r="P4" s="456">
        <f>N7</f>
        <v>1176470.5882352942</v>
      </c>
      <c r="Q4" s="456">
        <f t="shared" si="1"/>
        <v>1176470.5882352942</v>
      </c>
      <c r="R4" s="456">
        <f t="shared" si="1"/>
        <v>1176470.5882352942</v>
      </c>
      <c r="S4" s="456">
        <f t="shared" si="1"/>
        <v>1176470.5882352942</v>
      </c>
      <c r="T4" s="457">
        <f>P4</f>
        <v>1176470.5882352942</v>
      </c>
      <c r="U4" s="456">
        <f>S7</f>
        <v>1176470.5882352942</v>
      </c>
      <c r="V4" s="456">
        <f t="shared" si="1"/>
        <v>1176470.5882352942</v>
      </c>
      <c r="W4" s="456">
        <f t="shared" si="1"/>
        <v>1176470.5882352942</v>
      </c>
      <c r="X4" s="456">
        <f t="shared" si="1"/>
        <v>1176470.5882352942</v>
      </c>
      <c r="Y4" s="457">
        <f>U4</f>
        <v>1176470.5882352942</v>
      </c>
      <c r="Z4" s="456">
        <f>X7</f>
        <v>1176470.5882352942</v>
      </c>
      <c r="AA4" s="456">
        <f t="shared" si="1"/>
        <v>1176470.5882352942</v>
      </c>
      <c r="AB4" s="456">
        <f t="shared" si="1"/>
        <v>1176470.5882352942</v>
      </c>
      <c r="AC4" s="456">
        <f t="shared" si="1"/>
        <v>1176470.5882352942</v>
      </c>
      <c r="AD4" s="459">
        <f>Z4</f>
        <v>1176470.5882352942</v>
      </c>
    </row>
    <row r="5" spans="2:30" ht="23.1" customHeight="1">
      <c r="B5" s="460"/>
      <c r="C5" s="456" t="s">
        <v>309</v>
      </c>
      <c r="D5" s="433"/>
      <c r="E5" s="457">
        <f>'Assumptions &amp; Sensitivity'!D87</f>
        <v>1000000</v>
      </c>
      <c r="F5" s="433">
        <v>0</v>
      </c>
      <c r="G5" s="433">
        <f>'Assumptions &amp; Sensitivity'!D91</f>
        <v>176470.58823529421</v>
      </c>
      <c r="H5" s="433">
        <v>0</v>
      </c>
      <c r="I5" s="433">
        <v>0</v>
      </c>
      <c r="J5" s="434">
        <f>SUM(F5:I5)</f>
        <v>176470.58823529421</v>
      </c>
      <c r="K5" s="433">
        <v>0</v>
      </c>
      <c r="L5" s="433">
        <v>0</v>
      </c>
      <c r="M5" s="433">
        <v>0</v>
      </c>
      <c r="N5" s="433">
        <v>0</v>
      </c>
      <c r="O5" s="434">
        <f>SUM(K5:N5)</f>
        <v>0</v>
      </c>
      <c r="P5" s="433">
        <v>0</v>
      </c>
      <c r="Q5" s="433">
        <v>0</v>
      </c>
      <c r="R5" s="433">
        <v>0</v>
      </c>
      <c r="S5" s="433">
        <v>0</v>
      </c>
      <c r="T5" s="434">
        <f>SUM(P5:S5)</f>
        <v>0</v>
      </c>
      <c r="U5" s="433">
        <v>0</v>
      </c>
      <c r="V5" s="433">
        <v>0</v>
      </c>
      <c r="W5" s="433">
        <v>0</v>
      </c>
      <c r="X5" s="433">
        <v>0</v>
      </c>
      <c r="Y5" s="434">
        <f>SUM(U5:X5)</f>
        <v>0</v>
      </c>
      <c r="Z5" s="433">
        <v>0</v>
      </c>
      <c r="AA5" s="433">
        <v>0</v>
      </c>
      <c r="AB5" s="433">
        <v>0</v>
      </c>
      <c r="AC5" s="433">
        <v>0</v>
      </c>
      <c r="AD5" s="435">
        <f>SUM(Z5:AC5)</f>
        <v>0</v>
      </c>
    </row>
    <row r="6" spans="2:30" ht="23.1" customHeight="1">
      <c r="B6" s="460"/>
      <c r="C6" s="456"/>
      <c r="D6" s="461" t="s">
        <v>310</v>
      </c>
      <c r="E6" s="462">
        <f>'Assumptions &amp; Sensitivity'!D88</f>
        <v>0.25</v>
      </c>
      <c r="F6" s="463">
        <f>IF(F5=0,0,F11/F5)</f>
        <v>0</v>
      </c>
      <c r="G6" s="463">
        <f>IF(G5=0,0,G11/G5)</f>
        <v>5.6666666666666634</v>
      </c>
      <c r="H6" s="463">
        <f t="shared" ref="H6:AC6" si="2">IF(H5=0,0,H11/H5)</f>
        <v>0</v>
      </c>
      <c r="I6" s="463">
        <f t="shared" si="2"/>
        <v>0</v>
      </c>
      <c r="J6" s="464">
        <v>0</v>
      </c>
      <c r="K6" s="463">
        <f t="shared" si="2"/>
        <v>0</v>
      </c>
      <c r="L6" s="463">
        <f>IF(L5=0,0,L11/L5)</f>
        <v>0</v>
      </c>
      <c r="M6" s="463">
        <f t="shared" si="2"/>
        <v>0</v>
      </c>
      <c r="N6" s="463">
        <f t="shared" si="2"/>
        <v>0</v>
      </c>
      <c r="O6" s="464">
        <f>L6</f>
        <v>0</v>
      </c>
      <c r="P6" s="463">
        <f t="shared" si="2"/>
        <v>0</v>
      </c>
      <c r="Q6" s="463">
        <f t="shared" si="2"/>
        <v>0</v>
      </c>
      <c r="R6" s="463">
        <f t="shared" si="2"/>
        <v>0</v>
      </c>
      <c r="S6" s="463">
        <f t="shared" si="2"/>
        <v>0</v>
      </c>
      <c r="T6" s="464">
        <v>0</v>
      </c>
      <c r="U6" s="463">
        <f t="shared" si="2"/>
        <v>0</v>
      </c>
      <c r="V6" s="463">
        <f t="shared" si="2"/>
        <v>0</v>
      </c>
      <c r="W6" s="463">
        <f t="shared" si="2"/>
        <v>0</v>
      </c>
      <c r="X6" s="463">
        <f t="shared" si="2"/>
        <v>0</v>
      </c>
      <c r="Y6" s="464">
        <v>0</v>
      </c>
      <c r="Z6" s="463">
        <f t="shared" si="2"/>
        <v>0</v>
      </c>
      <c r="AA6" s="463">
        <f t="shared" si="2"/>
        <v>0</v>
      </c>
      <c r="AB6" s="463">
        <f t="shared" si="2"/>
        <v>0</v>
      </c>
      <c r="AC6" s="463">
        <f t="shared" si="2"/>
        <v>0</v>
      </c>
      <c r="AD6" s="465">
        <v>0</v>
      </c>
    </row>
    <row r="7" spans="2:30" ht="23.1" customHeight="1">
      <c r="B7" s="455"/>
      <c r="C7" s="466" t="s">
        <v>311</v>
      </c>
      <c r="D7" s="467"/>
      <c r="E7" s="466">
        <f>E4+E5</f>
        <v>1000000</v>
      </c>
      <c r="F7" s="467">
        <f>F4+F5</f>
        <v>1000000</v>
      </c>
      <c r="G7" s="467">
        <f>G4+G5</f>
        <v>1176470.5882352942</v>
      </c>
      <c r="H7" s="467">
        <f t="shared" ref="H7:AC7" si="3">H4+H5</f>
        <v>1176470.5882352942</v>
      </c>
      <c r="I7" s="467">
        <f t="shared" si="3"/>
        <v>1176470.5882352942</v>
      </c>
      <c r="J7" s="466">
        <f>I7</f>
        <v>1176470.5882352942</v>
      </c>
      <c r="K7" s="467">
        <f t="shared" si="3"/>
        <v>1176470.5882352942</v>
      </c>
      <c r="L7" s="467">
        <f>L4+L5</f>
        <v>1176470.5882352942</v>
      </c>
      <c r="M7" s="467">
        <f t="shared" si="3"/>
        <v>1176470.5882352942</v>
      </c>
      <c r="N7" s="467">
        <f t="shared" si="3"/>
        <v>1176470.5882352942</v>
      </c>
      <c r="O7" s="466">
        <f>N7</f>
        <v>1176470.5882352942</v>
      </c>
      <c r="P7" s="467">
        <f t="shared" si="3"/>
        <v>1176470.5882352942</v>
      </c>
      <c r="Q7" s="467">
        <f t="shared" si="3"/>
        <v>1176470.5882352942</v>
      </c>
      <c r="R7" s="467">
        <f t="shared" si="3"/>
        <v>1176470.5882352942</v>
      </c>
      <c r="S7" s="467">
        <f t="shared" si="3"/>
        <v>1176470.5882352942</v>
      </c>
      <c r="T7" s="466">
        <f>S7</f>
        <v>1176470.5882352942</v>
      </c>
      <c r="U7" s="467">
        <f t="shared" si="3"/>
        <v>1176470.5882352942</v>
      </c>
      <c r="V7" s="467">
        <f t="shared" si="3"/>
        <v>1176470.5882352942</v>
      </c>
      <c r="W7" s="467">
        <f t="shared" si="3"/>
        <v>1176470.5882352942</v>
      </c>
      <c r="X7" s="467">
        <f t="shared" si="3"/>
        <v>1176470.5882352942</v>
      </c>
      <c r="Y7" s="466">
        <f>X7</f>
        <v>1176470.5882352942</v>
      </c>
      <c r="Z7" s="467">
        <f t="shared" si="3"/>
        <v>1176470.5882352942</v>
      </c>
      <c r="AA7" s="467">
        <f t="shared" si="3"/>
        <v>1176470.5882352942</v>
      </c>
      <c r="AB7" s="467">
        <f t="shared" si="3"/>
        <v>1176470.5882352942</v>
      </c>
      <c r="AC7" s="467">
        <f t="shared" si="3"/>
        <v>1176470.5882352942</v>
      </c>
      <c r="AD7" s="468">
        <f>AC7</f>
        <v>1176470.5882352942</v>
      </c>
    </row>
    <row r="8" spans="2:30" ht="23.1" customHeight="1">
      <c r="B8" s="455"/>
      <c r="C8" s="456"/>
      <c r="D8" s="456"/>
      <c r="E8" s="457"/>
      <c r="F8" s="456"/>
      <c r="G8" s="456"/>
      <c r="H8" s="456"/>
      <c r="I8" s="456"/>
      <c r="J8" s="457"/>
      <c r="K8" s="456"/>
      <c r="L8" s="456"/>
      <c r="M8" s="456"/>
      <c r="N8" s="456"/>
      <c r="O8" s="457"/>
      <c r="P8" s="456"/>
      <c r="Q8" s="456"/>
      <c r="R8" s="458"/>
      <c r="S8" s="458"/>
      <c r="T8" s="457"/>
      <c r="U8" s="458"/>
      <c r="V8" s="458"/>
      <c r="W8" s="458"/>
      <c r="X8" s="458"/>
      <c r="Y8" s="457"/>
      <c r="Z8" s="458"/>
      <c r="AA8" s="458"/>
      <c r="AB8" s="458"/>
      <c r="AC8" s="458"/>
      <c r="AD8" s="459"/>
    </row>
    <row r="9" spans="2:30" ht="23.1" customHeight="1">
      <c r="B9" s="455" t="s">
        <v>312</v>
      </c>
      <c r="C9" s="456"/>
      <c r="D9" s="456"/>
      <c r="E9" s="457"/>
      <c r="F9" s="456"/>
      <c r="G9" s="456"/>
      <c r="H9" s="456"/>
      <c r="I9" s="456"/>
      <c r="J9" s="457"/>
      <c r="K9" s="456"/>
      <c r="L9" s="456"/>
      <c r="M9" s="456"/>
      <c r="N9" s="456"/>
      <c r="O9" s="457"/>
      <c r="P9" s="456"/>
      <c r="Q9" s="456"/>
      <c r="R9" s="458"/>
      <c r="S9" s="458"/>
      <c r="T9" s="457"/>
      <c r="U9" s="458"/>
      <c r="V9" s="458"/>
      <c r="W9" s="458"/>
      <c r="X9" s="458"/>
      <c r="Y9" s="457"/>
      <c r="Z9" s="458"/>
      <c r="AA9" s="458"/>
      <c r="AB9" s="458"/>
      <c r="AC9" s="458"/>
      <c r="AD9" s="459"/>
    </row>
    <row r="10" spans="2:30" ht="23.1" customHeight="1">
      <c r="B10" s="460"/>
      <c r="C10" s="456" t="s">
        <v>308</v>
      </c>
      <c r="D10" s="433"/>
      <c r="E10" s="469"/>
      <c r="F10" s="470">
        <f>E12</f>
        <v>250000</v>
      </c>
      <c r="G10" s="470">
        <f>F12</f>
        <v>250000</v>
      </c>
      <c r="H10" s="470">
        <f t="shared" ref="H10:I10" si="4">G12</f>
        <v>1250000</v>
      </c>
      <c r="I10" s="470">
        <f t="shared" si="4"/>
        <v>1250000</v>
      </c>
      <c r="J10" s="471">
        <f>F10</f>
        <v>250000</v>
      </c>
      <c r="K10" s="470">
        <f t="shared" ref="K10" si="5">I12</f>
        <v>1250000</v>
      </c>
      <c r="L10" s="470">
        <f t="shared" ref="L10" si="6">K12</f>
        <v>1250000</v>
      </c>
      <c r="M10" s="470">
        <f t="shared" ref="M10" si="7">L12</f>
        <v>5250000</v>
      </c>
      <c r="N10" s="470">
        <f t="shared" ref="N10" si="8">M12</f>
        <v>5250000</v>
      </c>
      <c r="O10" s="471">
        <f>K10</f>
        <v>1250000</v>
      </c>
      <c r="P10" s="470">
        <f t="shared" ref="P10" si="9">N12</f>
        <v>5250000</v>
      </c>
      <c r="Q10" s="470">
        <f t="shared" ref="Q10" si="10">P12</f>
        <v>5250000</v>
      </c>
      <c r="R10" s="470">
        <f t="shared" ref="R10" si="11">Q12</f>
        <v>5250000</v>
      </c>
      <c r="S10" s="470">
        <f t="shared" ref="S10" si="12">R12</f>
        <v>5250000</v>
      </c>
      <c r="T10" s="471">
        <f>P10</f>
        <v>5250000</v>
      </c>
      <c r="U10" s="470">
        <f t="shared" ref="U10" si="13">S12</f>
        <v>5250000</v>
      </c>
      <c r="V10" s="470">
        <f t="shared" ref="V10" si="14">U12</f>
        <v>5250000</v>
      </c>
      <c r="W10" s="470">
        <f t="shared" ref="W10" si="15">V12</f>
        <v>5250000</v>
      </c>
      <c r="X10" s="470">
        <f t="shared" ref="X10" si="16">W12</f>
        <v>5250000</v>
      </c>
      <c r="Y10" s="471">
        <f>U10</f>
        <v>5250000</v>
      </c>
      <c r="Z10" s="470">
        <f t="shared" ref="Z10" si="17">X12</f>
        <v>5250000</v>
      </c>
      <c r="AA10" s="470">
        <f t="shared" ref="AA10" si="18">Z12</f>
        <v>5250000</v>
      </c>
      <c r="AB10" s="470">
        <f t="shared" ref="AB10" si="19">AA12</f>
        <v>5250000</v>
      </c>
      <c r="AC10" s="470">
        <f t="shared" ref="AC10" si="20">AB12</f>
        <v>5250000</v>
      </c>
      <c r="AD10" s="472">
        <f>Z10</f>
        <v>5250000</v>
      </c>
    </row>
    <row r="11" spans="2:30" ht="23.1" customHeight="1">
      <c r="B11" s="460"/>
      <c r="C11" s="456" t="s">
        <v>313</v>
      </c>
      <c r="D11" s="433"/>
      <c r="E11" s="473">
        <f>E6*E5</f>
        <v>250000</v>
      </c>
      <c r="F11" s="433">
        <v>0</v>
      </c>
      <c r="G11" s="433">
        <f>'Assumptions &amp; Sensitivity'!D89</f>
        <v>1000000</v>
      </c>
      <c r="H11" s="433">
        <v>0</v>
      </c>
      <c r="I11" s="433">
        <v>0</v>
      </c>
      <c r="J11" s="434">
        <f>SUM(F11:I11)</f>
        <v>1000000</v>
      </c>
      <c r="K11" s="433">
        <v>0</v>
      </c>
      <c r="L11" s="433">
        <f>'Assumptions &amp; Sensitivity'!J89</f>
        <v>4000000</v>
      </c>
      <c r="M11" s="433">
        <v>0</v>
      </c>
      <c r="N11" s="433">
        <v>0</v>
      </c>
      <c r="O11" s="434">
        <f>SUM(K11:N11)</f>
        <v>4000000</v>
      </c>
      <c r="P11" s="433">
        <v>0</v>
      </c>
      <c r="Q11" s="433">
        <v>0</v>
      </c>
      <c r="R11" s="433">
        <v>0</v>
      </c>
      <c r="S11" s="433">
        <v>0</v>
      </c>
      <c r="T11" s="434">
        <f>SUM(P11:S11)</f>
        <v>0</v>
      </c>
      <c r="U11" s="433">
        <v>0</v>
      </c>
      <c r="V11" s="433">
        <v>0</v>
      </c>
      <c r="W11" s="433">
        <v>0</v>
      </c>
      <c r="X11" s="433">
        <v>0</v>
      </c>
      <c r="Y11" s="434">
        <f>SUM(U11:X11)</f>
        <v>0</v>
      </c>
      <c r="Z11" s="433">
        <v>0</v>
      </c>
      <c r="AA11" s="433">
        <v>0</v>
      </c>
      <c r="AB11" s="433">
        <v>0</v>
      </c>
      <c r="AC11" s="433">
        <v>0</v>
      </c>
      <c r="AD11" s="435">
        <f>SUM(Z11:AC11)</f>
        <v>0</v>
      </c>
    </row>
    <row r="12" spans="2:30" ht="23.1" customHeight="1">
      <c r="B12" s="455"/>
      <c r="C12" s="474" t="s">
        <v>311</v>
      </c>
      <c r="D12" s="474"/>
      <c r="E12" s="475">
        <f>E10+E11</f>
        <v>250000</v>
      </c>
      <c r="F12" s="476">
        <f t="shared" ref="F12:X12" si="21">F10+F11</f>
        <v>250000</v>
      </c>
      <c r="G12" s="476">
        <f t="shared" si="21"/>
        <v>1250000</v>
      </c>
      <c r="H12" s="476">
        <f t="shared" si="21"/>
        <v>1250000</v>
      </c>
      <c r="I12" s="476">
        <f t="shared" si="21"/>
        <v>1250000</v>
      </c>
      <c r="J12" s="477">
        <f>I12</f>
        <v>1250000</v>
      </c>
      <c r="K12" s="476">
        <f t="shared" si="21"/>
        <v>1250000</v>
      </c>
      <c r="L12" s="476">
        <f t="shared" si="21"/>
        <v>5250000</v>
      </c>
      <c r="M12" s="476">
        <f t="shared" si="21"/>
        <v>5250000</v>
      </c>
      <c r="N12" s="476">
        <f t="shared" si="21"/>
        <v>5250000</v>
      </c>
      <c r="O12" s="477">
        <f>N12</f>
        <v>5250000</v>
      </c>
      <c r="P12" s="476">
        <f t="shared" si="21"/>
        <v>5250000</v>
      </c>
      <c r="Q12" s="476">
        <f t="shared" si="21"/>
        <v>5250000</v>
      </c>
      <c r="R12" s="476">
        <f t="shared" si="21"/>
        <v>5250000</v>
      </c>
      <c r="S12" s="476">
        <f t="shared" si="21"/>
        <v>5250000</v>
      </c>
      <c r="T12" s="477">
        <f>S12</f>
        <v>5250000</v>
      </c>
      <c r="U12" s="476">
        <f t="shared" si="21"/>
        <v>5250000</v>
      </c>
      <c r="V12" s="476">
        <f t="shared" si="21"/>
        <v>5250000</v>
      </c>
      <c r="W12" s="476">
        <f t="shared" si="21"/>
        <v>5250000</v>
      </c>
      <c r="X12" s="476">
        <f t="shared" si="21"/>
        <v>5250000</v>
      </c>
      <c r="Y12" s="477">
        <f>X12</f>
        <v>5250000</v>
      </c>
      <c r="Z12" s="476">
        <f t="shared" ref="Z12:AC12" si="22">Z10+Z11</f>
        <v>5250000</v>
      </c>
      <c r="AA12" s="476">
        <f t="shared" si="22"/>
        <v>5250000</v>
      </c>
      <c r="AB12" s="476">
        <f t="shared" si="22"/>
        <v>5250000</v>
      </c>
      <c r="AC12" s="476">
        <f t="shared" si="22"/>
        <v>5250000</v>
      </c>
      <c r="AD12" s="478">
        <f>AC12</f>
        <v>5250000</v>
      </c>
    </row>
    <row r="13" spans="2:30" ht="23.1" customHeight="1">
      <c r="B13" s="455"/>
      <c r="C13" s="474"/>
      <c r="D13" s="474"/>
      <c r="E13" s="475"/>
      <c r="F13" s="476"/>
      <c r="G13" s="476"/>
      <c r="H13" s="476"/>
      <c r="I13" s="476"/>
      <c r="J13" s="477"/>
      <c r="K13" s="476"/>
      <c r="L13" s="476"/>
      <c r="M13" s="476"/>
      <c r="N13" s="476"/>
      <c r="O13" s="477"/>
      <c r="P13" s="476"/>
      <c r="Q13" s="476"/>
      <c r="R13" s="476"/>
      <c r="S13" s="476"/>
      <c r="T13" s="477"/>
      <c r="U13" s="476"/>
      <c r="V13" s="476"/>
      <c r="W13" s="476"/>
      <c r="X13" s="476"/>
      <c r="Y13" s="477"/>
      <c r="Z13" s="476"/>
      <c r="AA13" s="476"/>
      <c r="AB13" s="476"/>
      <c r="AC13" s="476"/>
      <c r="AD13" s="478"/>
    </row>
    <row r="14" spans="2:30" ht="23.1" customHeight="1">
      <c r="B14" s="455" t="s">
        <v>314</v>
      </c>
      <c r="C14" s="456"/>
      <c r="D14" s="456"/>
      <c r="E14" s="479"/>
      <c r="F14" s="480"/>
      <c r="G14" s="480"/>
      <c r="H14" s="480"/>
      <c r="I14" s="480"/>
      <c r="J14" s="479"/>
      <c r="K14" s="480"/>
      <c r="L14" s="480"/>
      <c r="M14" s="480"/>
      <c r="N14" s="480"/>
      <c r="O14" s="479"/>
      <c r="P14" s="480"/>
      <c r="Q14" s="480"/>
      <c r="R14" s="481"/>
      <c r="S14" s="481"/>
      <c r="T14" s="479"/>
      <c r="U14" s="481"/>
      <c r="V14" s="481"/>
      <c r="W14" s="481"/>
      <c r="X14" s="481"/>
      <c r="Y14" s="479"/>
      <c r="Z14" s="481"/>
      <c r="AA14" s="481"/>
      <c r="AB14" s="481"/>
      <c r="AC14" s="481"/>
      <c r="AD14" s="482"/>
    </row>
    <row r="15" spans="2:30" ht="23.1" customHeight="1">
      <c r="B15" s="460"/>
      <c r="C15" s="456" t="s">
        <v>308</v>
      </c>
      <c r="D15" s="433"/>
      <c r="E15" s="434">
        <v>0</v>
      </c>
      <c r="F15" s="433">
        <f>E17</f>
        <v>0</v>
      </c>
      <c r="G15" s="433">
        <f t="shared" ref="G15" si="23">F17</f>
        <v>-30169.56</v>
      </c>
      <c r="H15" s="433">
        <f>G17</f>
        <v>-84807.260000000009</v>
      </c>
      <c r="I15" s="433">
        <f t="shared" ref="I15:AC15" si="24">H17</f>
        <v>-133506.36000000002</v>
      </c>
      <c r="J15" s="434">
        <f>F15</f>
        <v>0</v>
      </c>
      <c r="K15" s="433">
        <f>I17</f>
        <v>-193573.5</v>
      </c>
      <c r="L15" s="433">
        <f t="shared" si="24"/>
        <v>-262573.5</v>
      </c>
      <c r="M15" s="433">
        <f t="shared" si="24"/>
        <v>-331573.5</v>
      </c>
      <c r="N15" s="433">
        <f t="shared" si="24"/>
        <v>-785840.0625</v>
      </c>
      <c r="O15" s="434">
        <f>K15</f>
        <v>-193573.5</v>
      </c>
      <c r="P15" s="433">
        <f>N17</f>
        <v>-1288606.625</v>
      </c>
      <c r="Q15" s="433">
        <f t="shared" si="24"/>
        <v>-1679185.4386749999</v>
      </c>
      <c r="R15" s="433">
        <f t="shared" si="24"/>
        <v>-1962167.0028579775</v>
      </c>
      <c r="S15" s="433">
        <f t="shared" si="24"/>
        <v>-2161299.1176313641</v>
      </c>
      <c r="T15" s="434">
        <f>P15</f>
        <v>-1288606.625</v>
      </c>
      <c r="U15" s="433">
        <f>S17</f>
        <v>-2214974.6657658983</v>
      </c>
      <c r="V15" s="433">
        <f t="shared" si="24"/>
        <v>-2238908.6982865445</v>
      </c>
      <c r="W15" s="433">
        <f t="shared" si="24"/>
        <v>-2149938.0416844962</v>
      </c>
      <c r="X15" s="433">
        <f t="shared" si="24"/>
        <v>-1840314.9910864034</v>
      </c>
      <c r="Y15" s="434">
        <f>U15</f>
        <v>-2214974.6657658983</v>
      </c>
      <c r="Z15" s="433">
        <f>X17</f>
        <v>-1197626.7193582726</v>
      </c>
      <c r="AA15" s="433">
        <f t="shared" si="24"/>
        <v>75107.861050280277</v>
      </c>
      <c r="AB15" s="433">
        <f t="shared" si="24"/>
        <v>1611103.5724208788</v>
      </c>
      <c r="AC15" s="433">
        <f t="shared" si="24"/>
        <v>3719906.8653809982</v>
      </c>
      <c r="AD15" s="435">
        <f>Z15</f>
        <v>-1197626.7193582726</v>
      </c>
    </row>
    <row r="16" spans="2:30" ht="23.1" customHeight="1">
      <c r="B16" s="460"/>
      <c r="C16" s="456" t="s">
        <v>315</v>
      </c>
      <c r="D16" s="433"/>
      <c r="E16" s="434">
        <v>0</v>
      </c>
      <c r="F16" s="433">
        <f>'P&amp;L'!E12</f>
        <v>-30169.56</v>
      </c>
      <c r="G16" s="433">
        <f>'P&amp;L'!F12</f>
        <v>-54637.700000000004</v>
      </c>
      <c r="H16" s="433">
        <f>'P&amp;L'!G12</f>
        <v>-48699.100000000006</v>
      </c>
      <c r="I16" s="433">
        <f>'P&amp;L'!H12</f>
        <v>-60067.14</v>
      </c>
      <c r="J16" s="434">
        <f>SUM(F16:I16)</f>
        <v>-193573.5</v>
      </c>
      <c r="K16" s="433">
        <f>'P&amp;L'!J12</f>
        <v>-69000</v>
      </c>
      <c r="L16" s="433">
        <f>'P&amp;L'!K12</f>
        <v>-69000</v>
      </c>
      <c r="M16" s="433">
        <f>'P&amp;L'!L12</f>
        <v>-454266.5625</v>
      </c>
      <c r="N16" s="433">
        <f>'P&amp;L'!M12</f>
        <v>-502766.5625</v>
      </c>
      <c r="O16" s="434">
        <f>SUM(K16:N16)</f>
        <v>-1095033.125</v>
      </c>
      <c r="P16" s="433">
        <f>'P&amp;L'!O12</f>
        <v>-390578.81367499998</v>
      </c>
      <c r="Q16" s="433">
        <f>'P&amp;L'!P12</f>
        <v>-282981.56418297777</v>
      </c>
      <c r="R16" s="433">
        <f>'P&amp;L'!Q12</f>
        <v>-199132.11477338651</v>
      </c>
      <c r="S16" s="433">
        <f>'P&amp;L'!R12</f>
        <v>-53675.548134534154</v>
      </c>
      <c r="T16" s="434">
        <f>SUM(P16:S16)</f>
        <v>-926368.04076589842</v>
      </c>
      <c r="U16" s="433">
        <f>'P&amp;L'!T12</f>
        <v>-23934.032520646113</v>
      </c>
      <c r="V16" s="433">
        <f>'P&amp;L'!U12</f>
        <v>88970.656602048082</v>
      </c>
      <c r="W16" s="433">
        <f>'P&amp;L'!V12</f>
        <v>309623.05059809284</v>
      </c>
      <c r="X16" s="433">
        <f>'P&amp;L'!W12</f>
        <v>642688.27172813076</v>
      </c>
      <c r="Y16" s="434">
        <f>SUM(U16:X16)</f>
        <v>1017347.9464076256</v>
      </c>
      <c r="Z16" s="433">
        <f>'P&amp;L'!Y12</f>
        <v>1272734.5804085529</v>
      </c>
      <c r="AA16" s="433">
        <f>'P&amp;L'!Z12</f>
        <v>1535995.7113705985</v>
      </c>
      <c r="AB16" s="433">
        <f>'P&amp;L'!AA12</f>
        <v>2108803.2929601194</v>
      </c>
      <c r="AC16" s="433">
        <f>'P&amp;L'!AB12</f>
        <v>2981480.0692710388</v>
      </c>
      <c r="AD16" s="435">
        <f>SUM(Z16:AC16)</f>
        <v>7899013.6540103089</v>
      </c>
    </row>
    <row r="17" spans="2:30" ht="23.1" customHeight="1">
      <c r="B17" s="455"/>
      <c r="C17" s="474" t="s">
        <v>311</v>
      </c>
      <c r="D17" s="474"/>
      <c r="E17" s="434">
        <f>E15+E16</f>
        <v>0</v>
      </c>
      <c r="F17" s="433">
        <f>F15+F16</f>
        <v>-30169.56</v>
      </c>
      <c r="G17" s="433">
        <f t="shared" ref="G17:AC17" si="25">G15+G16</f>
        <v>-84807.260000000009</v>
      </c>
      <c r="H17" s="433">
        <f t="shared" si="25"/>
        <v>-133506.36000000002</v>
      </c>
      <c r="I17" s="433">
        <f t="shared" si="25"/>
        <v>-193573.5</v>
      </c>
      <c r="J17" s="434">
        <f>I17</f>
        <v>-193573.5</v>
      </c>
      <c r="K17" s="433">
        <f t="shared" si="25"/>
        <v>-262573.5</v>
      </c>
      <c r="L17" s="433">
        <f t="shared" si="25"/>
        <v>-331573.5</v>
      </c>
      <c r="M17" s="433">
        <f t="shared" si="25"/>
        <v>-785840.0625</v>
      </c>
      <c r="N17" s="433">
        <f t="shared" si="25"/>
        <v>-1288606.625</v>
      </c>
      <c r="O17" s="434">
        <f>N17</f>
        <v>-1288606.625</v>
      </c>
      <c r="P17" s="433">
        <f t="shared" si="25"/>
        <v>-1679185.4386749999</v>
      </c>
      <c r="Q17" s="433">
        <f t="shared" si="25"/>
        <v>-1962167.0028579775</v>
      </c>
      <c r="R17" s="433">
        <f t="shared" si="25"/>
        <v>-2161299.1176313641</v>
      </c>
      <c r="S17" s="433">
        <f t="shared" si="25"/>
        <v>-2214974.6657658983</v>
      </c>
      <c r="T17" s="434">
        <f>S17</f>
        <v>-2214974.6657658983</v>
      </c>
      <c r="U17" s="433">
        <f t="shared" si="25"/>
        <v>-2238908.6982865445</v>
      </c>
      <c r="V17" s="433">
        <f t="shared" si="25"/>
        <v>-2149938.0416844962</v>
      </c>
      <c r="W17" s="433">
        <f t="shared" si="25"/>
        <v>-1840314.9910864034</v>
      </c>
      <c r="X17" s="433">
        <f t="shared" si="25"/>
        <v>-1197626.7193582726</v>
      </c>
      <c r="Y17" s="434">
        <f>X17</f>
        <v>-1197626.7193582726</v>
      </c>
      <c r="Z17" s="433">
        <f t="shared" si="25"/>
        <v>75107.861050280277</v>
      </c>
      <c r="AA17" s="433">
        <f t="shared" si="25"/>
        <v>1611103.5724208788</v>
      </c>
      <c r="AB17" s="433">
        <f t="shared" si="25"/>
        <v>3719906.8653809982</v>
      </c>
      <c r="AC17" s="433">
        <f t="shared" si="25"/>
        <v>6701386.934652037</v>
      </c>
      <c r="AD17" s="435">
        <f>AC17</f>
        <v>6701386.934652037</v>
      </c>
    </row>
    <row r="18" spans="2:30" ht="23.1" customHeight="1">
      <c r="B18" s="423" t="s">
        <v>316</v>
      </c>
      <c r="C18" s="424"/>
      <c r="D18" s="424"/>
      <c r="E18" s="425">
        <f>E12+E17</f>
        <v>250000</v>
      </c>
      <c r="F18" s="425">
        <f>F12+F17</f>
        <v>219830.44</v>
      </c>
      <c r="G18" s="425">
        <f t="shared" ref="G18:X18" si="26">G12+G17</f>
        <v>1165192.74</v>
      </c>
      <c r="H18" s="425">
        <f t="shared" si="26"/>
        <v>1116493.6399999999</v>
      </c>
      <c r="I18" s="425">
        <f t="shared" si="26"/>
        <v>1056426.5</v>
      </c>
      <c r="J18" s="425">
        <f>I18</f>
        <v>1056426.5</v>
      </c>
      <c r="K18" s="425">
        <f t="shared" si="26"/>
        <v>987426.5</v>
      </c>
      <c r="L18" s="425">
        <f t="shared" si="26"/>
        <v>4918426.5</v>
      </c>
      <c r="M18" s="425">
        <f t="shared" si="26"/>
        <v>4464159.9375</v>
      </c>
      <c r="N18" s="425">
        <f t="shared" si="26"/>
        <v>3961393.375</v>
      </c>
      <c r="O18" s="425">
        <f>N18</f>
        <v>3961393.375</v>
      </c>
      <c r="P18" s="425">
        <f t="shared" si="26"/>
        <v>3570814.5613250001</v>
      </c>
      <c r="Q18" s="425">
        <f t="shared" si="26"/>
        <v>3287832.9971420225</v>
      </c>
      <c r="R18" s="425">
        <f t="shared" si="26"/>
        <v>3088700.8823686359</v>
      </c>
      <c r="S18" s="425">
        <f t="shared" si="26"/>
        <v>3035025.3342341017</v>
      </c>
      <c r="T18" s="425">
        <f>S18</f>
        <v>3035025.3342341017</v>
      </c>
      <c r="U18" s="425">
        <f t="shared" si="26"/>
        <v>3011091.3017134555</v>
      </c>
      <c r="V18" s="425">
        <f t="shared" si="26"/>
        <v>3100061.9583155038</v>
      </c>
      <c r="W18" s="425">
        <f t="shared" si="26"/>
        <v>3409685.0089135966</v>
      </c>
      <c r="X18" s="425">
        <f t="shared" si="26"/>
        <v>4052373.2806417271</v>
      </c>
      <c r="Y18" s="425">
        <f>X18</f>
        <v>4052373.2806417271</v>
      </c>
      <c r="Z18" s="425">
        <f t="shared" ref="Z18:AC18" si="27">Z12+Z17</f>
        <v>5325107.8610502798</v>
      </c>
      <c r="AA18" s="425">
        <f t="shared" si="27"/>
        <v>6861103.5724208783</v>
      </c>
      <c r="AB18" s="425">
        <f t="shared" si="27"/>
        <v>8969906.8653809987</v>
      </c>
      <c r="AC18" s="425">
        <f t="shared" si="27"/>
        <v>11951386.934652038</v>
      </c>
      <c r="AD18" s="426">
        <f>AC18</f>
        <v>11951386.934652038</v>
      </c>
    </row>
  </sheetData>
  <sheetProtection algorithmName="SHA-512" hashValue="zuILP24ZsjzYHwmZCrveiaegRjgDqwmbbVhhD7qhq/FHlGVBTVAkhdh5I3ApGr0SGSZqxNVVUYy+S/14ymaMMA==" saltValue="Dz5nLdxzI5PCiiEZfdSfqA==" spinCount="100000" sheet="1" objects="1" scenarios="1"/>
  <mergeCells count="1">
    <mergeCell ref="B2:D2"/>
  </mergeCells>
  <pageMargins left="0.7" right="0.7" top="0.75" bottom="0.75" header="0.3" footer="0.3"/>
  <pageSetup paperSize="9" orientation="portrait" horizontalDpi="4294967292" verticalDpi="4294967292"/>
  <ignoredErrors>
    <ignoredError sqref="E12" emptyCellReferenc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B2:N9"/>
  <sheetViews>
    <sheetView showGridLines="0" workbookViewId="0"/>
  </sheetViews>
  <sheetFormatPr defaultColWidth="8.85546875" defaultRowHeight="24.95" customHeight="1"/>
  <cols>
    <col min="1" max="1" width="8.85546875" style="229"/>
    <col min="2" max="2" width="25.28515625" style="229" customWidth="1"/>
    <col min="3" max="5" width="13.85546875" style="229" customWidth="1"/>
    <col min="6" max="8" width="12.85546875" style="229" customWidth="1"/>
    <col min="9" max="16384" width="8.85546875" style="229"/>
  </cols>
  <sheetData>
    <row r="2" spans="2:14" ht="24.95" customHeight="1">
      <c r="B2" s="532" t="s">
        <v>317</v>
      </c>
      <c r="C2" s="530" t="s">
        <v>318</v>
      </c>
      <c r="D2" s="531"/>
      <c r="E2" s="534"/>
      <c r="F2" s="530" t="s">
        <v>319</v>
      </c>
      <c r="G2" s="531"/>
      <c r="H2" s="534"/>
    </row>
    <row r="3" spans="2:14" ht="24.95" customHeight="1">
      <c r="B3" s="533"/>
      <c r="C3" s="483" t="s">
        <v>320</v>
      </c>
      <c r="D3" s="484" t="s">
        <v>321</v>
      </c>
      <c r="E3" s="485" t="s">
        <v>322</v>
      </c>
      <c r="F3" s="486" t="s">
        <v>320</v>
      </c>
      <c r="G3" s="484" t="s">
        <v>321</v>
      </c>
      <c r="H3" s="485" t="s">
        <v>322</v>
      </c>
    </row>
    <row r="4" spans="2:14" ht="29.1" customHeight="1">
      <c r="B4" s="487" t="s">
        <v>318</v>
      </c>
      <c r="C4" s="488">
        <f>'Assumptions &amp; Sensitivity'!D86</f>
        <v>250000</v>
      </c>
      <c r="D4" s="489">
        <f>'Assumptions &amp; Sensitivity'!D87</f>
        <v>1000000</v>
      </c>
      <c r="E4" s="490">
        <f>D4/D7</f>
        <v>1</v>
      </c>
      <c r="F4" s="491">
        <v>0</v>
      </c>
      <c r="G4" s="492">
        <f>D4</f>
        <v>1000000</v>
      </c>
      <c r="H4" s="493">
        <f>G4/G7</f>
        <v>0.85</v>
      </c>
    </row>
    <row r="5" spans="2:14" ht="29.1" customHeight="1">
      <c r="B5" s="487" t="s">
        <v>323</v>
      </c>
      <c r="C5" s="494">
        <v>0</v>
      </c>
      <c r="D5" s="495">
        <v>0</v>
      </c>
      <c r="E5" s="496">
        <v>0</v>
      </c>
      <c r="F5" s="497">
        <f>'Assumptions &amp; Sensitivity'!D89</f>
        <v>1000000</v>
      </c>
      <c r="G5" s="492">
        <f>'Assumptions &amp; Sensitivity'!D91</f>
        <v>176470.58823529421</v>
      </c>
      <c r="H5" s="498">
        <f>G5/G7</f>
        <v>0.15000000000000008</v>
      </c>
    </row>
    <row r="6" spans="2:14" ht="29.1" customHeight="1">
      <c r="B6" s="499" t="s">
        <v>324</v>
      </c>
      <c r="C6" s="500">
        <f>C4/D4</f>
        <v>0.25</v>
      </c>
      <c r="D6" s="495"/>
      <c r="E6" s="496"/>
      <c r="F6" s="501">
        <f>F5/G5</f>
        <v>5.6666666666666634</v>
      </c>
      <c r="G6" s="502"/>
      <c r="H6" s="503"/>
      <c r="N6" s="504"/>
    </row>
    <row r="7" spans="2:14" ht="29.1" customHeight="1">
      <c r="B7" s="505" t="s">
        <v>325</v>
      </c>
      <c r="C7" s="506"/>
      <c r="D7" s="507">
        <f>SUM(D4:D5)</f>
        <v>1000000</v>
      </c>
      <c r="E7" s="508">
        <f>SUM(E4:E5)</f>
        <v>1</v>
      </c>
      <c r="F7" s="497"/>
      <c r="G7" s="509">
        <f>SUM(G4:G5)</f>
        <v>1176470.5882352942</v>
      </c>
      <c r="H7" s="510">
        <f>SUM(H4:H5)</f>
        <v>1</v>
      </c>
    </row>
    <row r="8" spans="2:14" ht="29.1" customHeight="1">
      <c r="B8" s="499" t="s">
        <v>326</v>
      </c>
      <c r="C8" s="506"/>
      <c r="D8" s="495">
        <v>0</v>
      </c>
      <c r="E8" s="511"/>
      <c r="F8" s="512"/>
      <c r="G8" s="513">
        <f>G9-F5</f>
        <v>5666666.6666666633</v>
      </c>
      <c r="H8" s="514"/>
    </row>
    <row r="9" spans="2:14" ht="29.1" customHeight="1">
      <c r="B9" s="515" t="s">
        <v>327</v>
      </c>
      <c r="C9" s="516"/>
      <c r="D9" s="517">
        <v>0</v>
      </c>
      <c r="E9" s="518"/>
      <c r="F9" s="519"/>
      <c r="G9" s="520">
        <f>F5/H5</f>
        <v>6666666.6666666633</v>
      </c>
      <c r="H9" s="521"/>
    </row>
  </sheetData>
  <sheetProtection algorithmName="SHA-512" hashValue="mJjbPS0bwZznln7UXmvAjjnUzsi4qM8u/uQoS2IxmOUYk9z/dusCKzZ/CucDsD7ZAUJn9QFO/pqJ7RjfhPu4Qw==" saltValue="gz1+RBm5kzi9VW65kZ4yvw==" spinCount="100000" sheet="1" objects="1" scenarios="1"/>
  <mergeCells count="3">
    <mergeCell ref="B2:B3"/>
    <mergeCell ref="C2:E2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8"/>
  <sheetViews>
    <sheetView workbookViewId="0">
      <selection activeCell="F6" sqref="F6"/>
    </sheetView>
  </sheetViews>
  <sheetFormatPr defaultColWidth="8.85546875" defaultRowHeight="15"/>
  <cols>
    <col min="1" max="1" width="39.85546875" bestFit="1" customWidth="1"/>
    <col min="2" max="2" width="7.42578125" bestFit="1" customWidth="1"/>
  </cols>
  <sheetData>
    <row r="2" spans="1:2">
      <c r="A2" t="s">
        <v>328</v>
      </c>
      <c r="B2" s="18">
        <v>50</v>
      </c>
    </row>
    <row r="3" spans="1:2">
      <c r="A3" t="s">
        <v>329</v>
      </c>
      <c r="B3" s="18">
        <v>8</v>
      </c>
    </row>
    <row r="4" spans="1:2">
      <c r="A4" t="s">
        <v>330</v>
      </c>
      <c r="B4" s="18">
        <v>5</v>
      </c>
    </row>
    <row r="5" spans="1:2">
      <c r="A5" t="s">
        <v>331</v>
      </c>
      <c r="B5" s="18">
        <v>1</v>
      </c>
    </row>
    <row r="6" spans="1:2">
      <c r="A6" t="s">
        <v>332</v>
      </c>
      <c r="B6" s="18">
        <v>84</v>
      </c>
    </row>
    <row r="7" spans="1:2">
      <c r="A7" t="s">
        <v>333</v>
      </c>
      <c r="B7" s="18">
        <v>67</v>
      </c>
    </row>
    <row r="8" spans="1:2">
      <c r="A8" t="s">
        <v>334</v>
      </c>
      <c r="B8" s="18">
        <v>1680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2"/>
  <sheetViews>
    <sheetView topLeftCell="A20" zoomScale="130" zoomScaleNormal="130" zoomScalePageLayoutView="130" workbookViewId="0">
      <selection activeCell="F6" sqref="F6"/>
    </sheetView>
  </sheetViews>
  <sheetFormatPr defaultColWidth="8.85546875" defaultRowHeight="15"/>
  <cols>
    <col min="1" max="1" width="71.7109375" bestFit="1" customWidth="1"/>
    <col min="2" max="4" width="15.28515625" bestFit="1" customWidth="1"/>
  </cols>
  <sheetData>
    <row r="1" spans="1:8">
      <c r="A1" s="19"/>
      <c r="B1" s="20" t="s">
        <v>335</v>
      </c>
      <c r="C1" s="20">
        <v>2018</v>
      </c>
      <c r="D1" s="20">
        <v>2019</v>
      </c>
    </row>
    <row r="2" spans="1:8">
      <c r="A2" s="19" t="s">
        <v>336</v>
      </c>
      <c r="B2" s="21">
        <v>169100000000</v>
      </c>
      <c r="C2" s="21">
        <v>204620000000</v>
      </c>
      <c r="D2" s="21">
        <v>246090000000</v>
      </c>
    </row>
    <row r="3" spans="1:8" ht="29.1">
      <c r="A3" s="19" t="s">
        <v>337</v>
      </c>
      <c r="B3" s="22">
        <f>$I$35</f>
        <v>0.1848645560974895</v>
      </c>
      <c r="C3" s="22">
        <f>$I$35</f>
        <v>0.1848645560974895</v>
      </c>
      <c r="D3" s="22">
        <f>$I$35</f>
        <v>0.1848645560974895</v>
      </c>
    </row>
    <row r="4" spans="1:8">
      <c r="A4" s="19" t="s">
        <v>338</v>
      </c>
      <c r="B4" s="21">
        <f>B2*B3</f>
        <v>31260596436.085476</v>
      </c>
      <c r="C4" s="21">
        <f t="shared" ref="C4:D4" si="0">C2*C3</f>
        <v>37826985468.668304</v>
      </c>
      <c r="D4" s="21">
        <f t="shared" si="0"/>
        <v>45493318610.031189</v>
      </c>
    </row>
    <row r="5" spans="1:8" ht="29.1">
      <c r="A5" s="19" t="s">
        <v>339</v>
      </c>
      <c r="B5" s="21">
        <v>14567036338</v>
      </c>
      <c r="C5" s="21">
        <v>17626889270</v>
      </c>
      <c r="D5" s="21">
        <v>21199302026</v>
      </c>
    </row>
    <row r="6" spans="1:8" ht="29.1">
      <c r="A6" s="19" t="s">
        <v>340</v>
      </c>
      <c r="B6" s="21">
        <v>7123280770</v>
      </c>
      <c r="C6" s="21">
        <v>8619548853</v>
      </c>
      <c r="D6" s="21">
        <v>10366458691</v>
      </c>
    </row>
    <row r="7" spans="1:8">
      <c r="A7" s="19" t="s">
        <v>341</v>
      </c>
      <c r="B7" s="99">
        <v>4.3999999999999999E-5</v>
      </c>
      <c r="C7" s="22">
        <v>1.2639999999999999E-3</v>
      </c>
      <c r="D7" s="22">
        <v>1.8169999999999999E-2</v>
      </c>
    </row>
    <row r="8" spans="1:8">
      <c r="A8" s="19" t="s">
        <v>342</v>
      </c>
      <c r="B8" s="21">
        <v>313239</v>
      </c>
      <c r="C8" s="21">
        <v>10895800</v>
      </c>
      <c r="D8" s="21">
        <v>188345183</v>
      </c>
    </row>
    <row r="9" spans="1:8">
      <c r="A9" s="19" t="s">
        <v>343</v>
      </c>
      <c r="B9" s="21">
        <v>15662</v>
      </c>
      <c r="C9" s="21">
        <v>544790</v>
      </c>
      <c r="D9" s="21">
        <v>9417259</v>
      </c>
    </row>
    <row r="10" spans="1:8">
      <c r="A10" s="19" t="s">
        <v>342</v>
      </c>
      <c r="B10" s="21">
        <v>313239</v>
      </c>
      <c r="C10" s="21">
        <v>10895800</v>
      </c>
      <c r="D10" s="21">
        <v>188345183</v>
      </c>
    </row>
    <row r="11" spans="1:8">
      <c r="A11" s="19" t="s">
        <v>343</v>
      </c>
      <c r="B11" s="21">
        <v>15662</v>
      </c>
      <c r="C11" s="21">
        <v>544790</v>
      </c>
      <c r="D11" s="21">
        <v>9417259</v>
      </c>
    </row>
    <row r="12" spans="1:8">
      <c r="A12" s="23"/>
      <c r="B12" s="23"/>
      <c r="C12" s="23"/>
      <c r="D12" s="23"/>
    </row>
    <row r="13" spans="1:8">
      <c r="A13" s="24" t="s">
        <v>344</v>
      </c>
      <c r="B13" s="23"/>
      <c r="C13" s="23"/>
      <c r="D13" s="23"/>
    </row>
    <row r="15" spans="1:8" ht="15.95" thickBot="1"/>
    <row r="16" spans="1:8">
      <c r="A16" s="535" t="s">
        <v>345</v>
      </c>
      <c r="B16" s="536"/>
      <c r="C16" s="536"/>
      <c r="D16" s="536"/>
      <c r="E16" s="536"/>
      <c r="F16" s="536"/>
      <c r="G16" s="536"/>
      <c r="H16" s="537"/>
    </row>
    <row r="17" spans="1:8">
      <c r="A17" s="33"/>
      <c r="B17" s="27">
        <v>2014</v>
      </c>
      <c r="C17" s="27">
        <v>2015</v>
      </c>
      <c r="D17" s="27">
        <v>2016</v>
      </c>
      <c r="E17" s="27">
        <v>2017</v>
      </c>
      <c r="F17" s="27">
        <v>2018</v>
      </c>
      <c r="G17" s="27">
        <v>2019</v>
      </c>
      <c r="H17" s="40">
        <v>2020</v>
      </c>
    </row>
    <row r="18" spans="1:8">
      <c r="A18" s="35" t="s">
        <v>346</v>
      </c>
      <c r="B18" s="28">
        <v>56.67</v>
      </c>
      <c r="C18" s="28">
        <v>89.17</v>
      </c>
      <c r="D18" s="28">
        <v>130.91999999999999</v>
      </c>
      <c r="E18" s="28">
        <v>169.1</v>
      </c>
      <c r="F18" s="28">
        <v>204.62</v>
      </c>
      <c r="G18" s="28">
        <v>246.09</v>
      </c>
      <c r="H18" s="41">
        <v>294.22000000000003</v>
      </c>
    </row>
    <row r="19" spans="1:8">
      <c r="A19" s="42" t="s">
        <v>347</v>
      </c>
      <c r="B19" s="29">
        <v>0.35899999999999999</v>
      </c>
      <c r="C19" s="29">
        <v>0.57399999999999995</v>
      </c>
      <c r="D19" s="29">
        <v>0.46800000000000003</v>
      </c>
      <c r="E19" s="29">
        <v>0.29199999999999998</v>
      </c>
      <c r="F19" s="29">
        <v>0.21</v>
      </c>
      <c r="G19" s="29">
        <v>0.20300000000000001</v>
      </c>
      <c r="H19" s="43">
        <v>0.19600000000000001</v>
      </c>
    </row>
    <row r="20" spans="1:8">
      <c r="A20" s="42" t="s">
        <v>348</v>
      </c>
      <c r="B20" s="29">
        <v>0.19</v>
      </c>
      <c r="C20" s="29">
        <v>0.26</v>
      </c>
      <c r="D20" s="29">
        <v>0.33</v>
      </c>
      <c r="E20" s="29">
        <v>0.37</v>
      </c>
      <c r="F20" s="29">
        <v>0.39</v>
      </c>
      <c r="G20" s="29">
        <v>0.41</v>
      </c>
      <c r="H20" s="43">
        <v>0.43</v>
      </c>
    </row>
    <row r="21" spans="1:8">
      <c r="A21" s="35" t="s">
        <v>349</v>
      </c>
      <c r="B21" s="29">
        <v>1.2E-2</v>
      </c>
      <c r="C21" s="29">
        <v>1.9E-2</v>
      </c>
      <c r="D21" s="29">
        <v>2.7E-2</v>
      </c>
      <c r="E21" s="29">
        <v>3.4000000000000002E-2</v>
      </c>
      <c r="F21" s="29">
        <v>0.04</v>
      </c>
      <c r="G21" s="29">
        <v>4.5999999999999999E-2</v>
      </c>
      <c r="H21" s="43">
        <v>5.3999999999999999E-2</v>
      </c>
    </row>
    <row r="22" spans="1:8">
      <c r="A22" s="35" t="s">
        <v>350</v>
      </c>
      <c r="B22" s="28">
        <v>20.12</v>
      </c>
      <c r="C22" s="28">
        <v>39.68</v>
      </c>
      <c r="D22" s="28">
        <v>69.12</v>
      </c>
      <c r="E22" s="28">
        <v>92.33</v>
      </c>
      <c r="F22" s="28">
        <v>113.85</v>
      </c>
      <c r="G22" s="28">
        <v>139.56</v>
      </c>
      <c r="H22" s="41">
        <v>169.92</v>
      </c>
    </row>
    <row r="23" spans="1:8">
      <c r="A23" s="42" t="s">
        <v>347</v>
      </c>
      <c r="B23" s="29">
        <v>0.378</v>
      </c>
      <c r="C23" s="29">
        <v>0.97199999999999998</v>
      </c>
      <c r="D23" s="29">
        <v>0.74199999999999999</v>
      </c>
      <c r="E23" s="29">
        <v>0.33600000000000002</v>
      </c>
      <c r="F23" s="29">
        <v>0.23300000000000001</v>
      </c>
      <c r="G23" s="29">
        <v>0.22600000000000001</v>
      </c>
      <c r="H23" s="43">
        <v>0.218</v>
      </c>
    </row>
    <row r="24" spans="1:8" ht="15.95" thickBot="1">
      <c r="A24" s="44" t="s">
        <v>351</v>
      </c>
      <c r="B24" s="45">
        <v>0.35499999999999998</v>
      </c>
      <c r="C24" s="45">
        <v>0.44500000000000001</v>
      </c>
      <c r="D24" s="45">
        <v>0.52800000000000002</v>
      </c>
      <c r="E24" s="45">
        <v>0.54600000000000004</v>
      </c>
      <c r="F24" s="45">
        <v>0.55600000000000005</v>
      </c>
      <c r="G24" s="45">
        <v>0.56699999999999995</v>
      </c>
      <c r="H24" s="46">
        <v>0.57799999999999996</v>
      </c>
    </row>
    <row r="25" spans="1:8" ht="15.95" thickBot="1"/>
    <row r="26" spans="1:8">
      <c r="A26" s="48" t="s">
        <v>352</v>
      </c>
      <c r="B26" s="49"/>
      <c r="C26" s="50"/>
      <c r="D26" s="51"/>
      <c r="E26" s="52"/>
      <c r="F26" s="52"/>
      <c r="G26" s="52"/>
      <c r="H26" s="52"/>
    </row>
    <row r="27" spans="1:8">
      <c r="A27" s="53"/>
      <c r="B27" s="54">
        <v>2014</v>
      </c>
      <c r="C27" s="55">
        <v>2015</v>
      </c>
      <c r="D27" s="56">
        <v>2016</v>
      </c>
      <c r="E27" s="54">
        <v>2017</v>
      </c>
      <c r="F27" s="54">
        <v>2018</v>
      </c>
      <c r="G27" s="54">
        <v>2019</v>
      </c>
      <c r="H27" s="54">
        <v>2020</v>
      </c>
    </row>
    <row r="28" spans="1:8">
      <c r="A28" s="53" t="s">
        <v>353</v>
      </c>
      <c r="B28" s="57">
        <v>67.2</v>
      </c>
      <c r="C28" s="58">
        <v>78.3</v>
      </c>
      <c r="D28" s="59">
        <v>87.8</v>
      </c>
      <c r="E28" s="57">
        <v>95.1</v>
      </c>
      <c r="F28" s="57">
        <v>100.7</v>
      </c>
      <c r="G28" s="57">
        <v>105.6</v>
      </c>
      <c r="H28" s="57">
        <v>109.5</v>
      </c>
    </row>
    <row r="29" spans="1:8" ht="15.95" thickBot="1">
      <c r="A29" s="60" t="s">
        <v>354</v>
      </c>
      <c r="B29" s="61">
        <v>0.40799999999999997</v>
      </c>
      <c r="C29" s="62">
        <v>0.45600000000000002</v>
      </c>
      <c r="D29" s="63">
        <v>0.49099999999999999</v>
      </c>
      <c r="E29" s="64">
        <v>0.51200000000000001</v>
      </c>
      <c r="F29" s="64">
        <v>0.52600000000000002</v>
      </c>
      <c r="G29" s="64">
        <v>0.54100000000000004</v>
      </c>
      <c r="H29" s="64">
        <v>0.55000000000000004</v>
      </c>
    </row>
    <row r="30" spans="1:8" ht="15.95" thickBot="1"/>
    <row r="31" spans="1:8">
      <c r="A31" s="535" t="s">
        <v>355</v>
      </c>
      <c r="B31" s="536"/>
      <c r="C31" s="536"/>
      <c r="D31" s="536"/>
      <c r="E31" s="536"/>
      <c r="F31" s="536"/>
      <c r="G31" s="536"/>
      <c r="H31" s="537"/>
    </row>
    <row r="32" spans="1:8">
      <c r="A32" s="33"/>
      <c r="B32" s="25">
        <v>2013</v>
      </c>
      <c r="C32" s="25">
        <v>2014</v>
      </c>
      <c r="D32" s="25">
        <v>2015</v>
      </c>
      <c r="E32" s="25">
        <v>2016</v>
      </c>
      <c r="F32" s="25">
        <v>2017</v>
      </c>
      <c r="G32" s="25">
        <v>2018</v>
      </c>
      <c r="H32" s="34">
        <v>2019</v>
      </c>
    </row>
    <row r="33" spans="1:9">
      <c r="A33" s="35" t="s">
        <v>356</v>
      </c>
      <c r="B33" s="26">
        <v>45.5</v>
      </c>
      <c r="C33" s="26">
        <v>55.5</v>
      </c>
      <c r="D33" s="26">
        <v>63.5</v>
      </c>
      <c r="E33" s="26">
        <v>71.8</v>
      </c>
      <c r="F33" s="26">
        <v>80.7</v>
      </c>
      <c r="G33" s="26">
        <v>90.1</v>
      </c>
      <c r="H33" s="36">
        <v>100</v>
      </c>
    </row>
    <row r="34" spans="1:9">
      <c r="A34" s="35" t="s">
        <v>357</v>
      </c>
      <c r="B34" s="26">
        <v>260.67</v>
      </c>
      <c r="C34" s="26">
        <v>298.26</v>
      </c>
      <c r="D34" s="26">
        <v>340.61</v>
      </c>
      <c r="E34" s="47">
        <v>384.89</v>
      </c>
      <c r="F34" s="47">
        <v>431.84</v>
      </c>
      <c r="G34" s="26">
        <v>481.94</v>
      </c>
      <c r="H34" s="36">
        <v>534.95000000000005</v>
      </c>
    </row>
    <row r="35" spans="1:9" ht="15.95" thickBot="1">
      <c r="A35" s="37" t="s">
        <v>358</v>
      </c>
      <c r="B35" s="38">
        <v>0.17460000000000001</v>
      </c>
      <c r="C35" s="38">
        <v>0.18609999999999999</v>
      </c>
      <c r="D35" s="38">
        <v>0.18640000000000001</v>
      </c>
      <c r="E35" s="38">
        <v>0.1865</v>
      </c>
      <c r="F35" s="38">
        <v>0.18690000000000001</v>
      </c>
      <c r="G35" s="38">
        <v>0.187</v>
      </c>
      <c r="H35" s="39">
        <v>0.18690000000000001</v>
      </c>
      <c r="I35" s="65">
        <f>GEOMEAN(B35:H35)</f>
        <v>0.1848645560974895</v>
      </c>
    </row>
    <row r="37" spans="1:9">
      <c r="A37" s="31" t="s">
        <v>359</v>
      </c>
      <c r="B37" s="32"/>
      <c r="C37" s="32"/>
      <c r="D37" s="32"/>
      <c r="E37" s="32"/>
      <c r="F37" s="32"/>
      <c r="G37" s="32"/>
      <c r="H37" s="32"/>
    </row>
    <row r="38" spans="1:9">
      <c r="A38" s="32"/>
      <c r="B38" s="77">
        <v>2014</v>
      </c>
      <c r="C38" s="77">
        <v>2015</v>
      </c>
      <c r="D38" s="77">
        <v>2016</v>
      </c>
      <c r="E38" s="77">
        <v>2017</v>
      </c>
      <c r="F38" s="77">
        <v>2018</v>
      </c>
      <c r="G38" s="77">
        <v>2019</v>
      </c>
      <c r="H38" s="77">
        <v>2020</v>
      </c>
    </row>
    <row r="39" spans="1:9">
      <c r="A39" s="30" t="s">
        <v>360</v>
      </c>
      <c r="B39" s="78">
        <v>28.7</v>
      </c>
      <c r="C39" s="78">
        <v>35.299999999999997</v>
      </c>
      <c r="D39" s="78">
        <v>41</v>
      </c>
      <c r="E39" s="78">
        <v>45</v>
      </c>
      <c r="F39" s="78">
        <v>47.1</v>
      </c>
      <c r="G39" s="78">
        <v>48.9</v>
      </c>
      <c r="H39" s="78">
        <v>49.7</v>
      </c>
    </row>
    <row r="40" spans="1:9">
      <c r="A40" s="79">
        <v>43086</v>
      </c>
      <c r="B40" s="78">
        <v>71</v>
      </c>
      <c r="C40" s="78">
        <v>78.5</v>
      </c>
      <c r="D40" s="78">
        <v>84</v>
      </c>
      <c r="E40" s="78">
        <v>89</v>
      </c>
      <c r="F40" s="78">
        <v>91</v>
      </c>
      <c r="G40" s="78">
        <v>92</v>
      </c>
      <c r="H40" s="78">
        <v>92.9</v>
      </c>
    </row>
    <row r="41" spans="1:9">
      <c r="A41" s="30" t="s">
        <v>361</v>
      </c>
      <c r="B41" s="78">
        <v>85.2</v>
      </c>
      <c r="C41" s="78">
        <v>90.1</v>
      </c>
      <c r="D41" s="78">
        <v>94.9</v>
      </c>
      <c r="E41" s="78">
        <v>98</v>
      </c>
      <c r="F41" s="78">
        <v>98.4</v>
      </c>
      <c r="G41" s="78">
        <v>99</v>
      </c>
      <c r="H41" s="78">
        <v>99.4</v>
      </c>
    </row>
    <row r="42" spans="1:9">
      <c r="A42" s="30" t="s">
        <v>362</v>
      </c>
      <c r="B42" s="78">
        <v>84</v>
      </c>
      <c r="C42" s="78">
        <v>90.2</v>
      </c>
      <c r="D42" s="78">
        <v>95.2</v>
      </c>
      <c r="E42" s="78">
        <v>97</v>
      </c>
      <c r="F42" s="78">
        <v>97.1</v>
      </c>
      <c r="G42" s="78">
        <v>97.2</v>
      </c>
      <c r="H42" s="78">
        <v>97.3</v>
      </c>
    </row>
    <row r="43" spans="1:9">
      <c r="A43" s="30" t="s">
        <v>363</v>
      </c>
      <c r="B43" s="78">
        <v>81.599999999999994</v>
      </c>
      <c r="C43" s="78">
        <v>87.7</v>
      </c>
      <c r="D43" s="78">
        <v>92</v>
      </c>
      <c r="E43" s="78">
        <v>94</v>
      </c>
      <c r="F43" s="78">
        <v>94.8</v>
      </c>
      <c r="G43" s="78">
        <v>96.1</v>
      </c>
      <c r="H43" s="78">
        <v>97</v>
      </c>
    </row>
    <row r="44" spans="1:9">
      <c r="A44" s="30" t="s">
        <v>364</v>
      </c>
      <c r="B44" s="78">
        <v>66.900000000000006</v>
      </c>
      <c r="C44" s="78">
        <v>75.8</v>
      </c>
      <c r="D44" s="78">
        <v>82.8</v>
      </c>
      <c r="E44" s="78">
        <v>88.3</v>
      </c>
      <c r="F44" s="78">
        <v>92.8</v>
      </c>
      <c r="G44" s="78">
        <v>95.9</v>
      </c>
      <c r="H44" s="78">
        <v>97.9</v>
      </c>
    </row>
    <row r="45" spans="1:9">
      <c r="A45" s="30" t="s">
        <v>365</v>
      </c>
      <c r="B45" s="78">
        <v>59.1</v>
      </c>
      <c r="C45" s="78">
        <v>67.599999999999994</v>
      </c>
      <c r="D45" s="78">
        <v>75.7</v>
      </c>
      <c r="E45" s="78">
        <v>80.900000000000006</v>
      </c>
      <c r="F45" s="78">
        <v>85.5</v>
      </c>
      <c r="G45" s="78">
        <v>89.5</v>
      </c>
      <c r="H45" s="78">
        <v>93</v>
      </c>
    </row>
    <row r="46" spans="1:9">
      <c r="A46" s="30" t="s">
        <v>366</v>
      </c>
      <c r="B46" s="78">
        <v>36.6</v>
      </c>
      <c r="C46" s="78">
        <v>40.700000000000003</v>
      </c>
      <c r="D46" s="78">
        <v>44.4</v>
      </c>
      <c r="E46" s="78">
        <v>49.6</v>
      </c>
      <c r="F46" s="78">
        <v>52.8</v>
      </c>
      <c r="G46" s="78">
        <v>55.7</v>
      </c>
      <c r="H46" s="78">
        <v>55.4</v>
      </c>
    </row>
    <row r="47" spans="1:9">
      <c r="A47" s="30" t="s">
        <v>367</v>
      </c>
      <c r="B47" s="78">
        <v>67.599999999999994</v>
      </c>
      <c r="C47" s="78">
        <v>73.8</v>
      </c>
      <c r="D47" s="78">
        <v>79</v>
      </c>
      <c r="E47" s="78">
        <v>82.7</v>
      </c>
      <c r="F47" s="78">
        <v>84.8</v>
      </c>
      <c r="G47" s="78">
        <v>86.5</v>
      </c>
      <c r="H47" s="78">
        <v>87.3</v>
      </c>
    </row>
    <row r="49" spans="1:7">
      <c r="A49" s="80" t="s">
        <v>368</v>
      </c>
      <c r="B49" s="81"/>
      <c r="C49" s="81"/>
      <c r="D49" s="81"/>
      <c r="E49" s="81"/>
      <c r="F49" s="81"/>
      <c r="G49" s="81"/>
    </row>
    <row r="50" spans="1:7">
      <c r="A50" s="81" t="s">
        <v>369</v>
      </c>
      <c r="B50" s="81" t="s">
        <v>361</v>
      </c>
      <c r="C50" s="81" t="s">
        <v>362</v>
      </c>
      <c r="D50" s="81" t="s">
        <v>363</v>
      </c>
      <c r="E50" s="81" t="s">
        <v>364</v>
      </c>
      <c r="F50" s="81" t="s">
        <v>365</v>
      </c>
      <c r="G50" s="81" t="s">
        <v>366</v>
      </c>
    </row>
    <row r="51" spans="1:7">
      <c r="A51" s="81" t="s">
        <v>370</v>
      </c>
      <c r="B51" s="82">
        <v>0.16600000000000001</v>
      </c>
      <c r="C51" s="83">
        <v>0.3</v>
      </c>
      <c r="D51" s="82">
        <v>0.27400000000000002</v>
      </c>
      <c r="E51" s="82">
        <v>0.156</v>
      </c>
      <c r="F51" s="82">
        <v>7.8E-2</v>
      </c>
      <c r="G51" s="82">
        <v>2.5999999999999999E-2</v>
      </c>
    </row>
    <row r="52" spans="1:7">
      <c r="A52" s="81"/>
      <c r="B52" s="81"/>
      <c r="C52" s="81"/>
      <c r="D52" s="84">
        <v>0.1096</v>
      </c>
      <c r="E52" s="81"/>
      <c r="F52" s="81"/>
      <c r="G52" s="81"/>
    </row>
  </sheetData>
  <mergeCells count="2">
    <mergeCell ref="A16:H16"/>
    <mergeCell ref="A31:H31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12"/>
  <sheetViews>
    <sheetView showGridLines="0" topLeftCell="A2" zoomScaleNormal="100" workbookViewId="0">
      <pane xSplit="10" ySplit="27" topLeftCell="P29" activePane="bottomRight" state="frozen"/>
      <selection pane="bottomRight" activeCell="F6" sqref="F6"/>
      <selection pane="bottomLeft" activeCell="F6" sqref="F6"/>
      <selection pane="topRight" activeCell="F6" sqref="F6"/>
    </sheetView>
  </sheetViews>
  <sheetFormatPr defaultColWidth="10.7109375" defaultRowHeight="15" outlineLevelRow="1" outlineLevelCol="1"/>
  <cols>
    <col min="1" max="1" width="25" customWidth="1"/>
    <col min="2" max="2" width="15.7109375" customWidth="1"/>
    <col min="3" max="3" width="3.85546875" customWidth="1"/>
    <col min="4" max="5" width="3.7109375" customWidth="1"/>
    <col min="6" max="6" width="18.7109375" customWidth="1"/>
    <col min="7" max="7" width="6.140625" bestFit="1" customWidth="1" outlineLevel="1"/>
    <col min="8" max="10" width="10.28515625" customWidth="1" outlineLevel="1"/>
    <col min="11" max="11" width="10.28515625" customWidth="1"/>
    <col min="12" max="15" width="10.28515625" customWidth="1" outlineLevel="1"/>
    <col min="16" max="16" width="11.42578125" customWidth="1"/>
    <col min="17" max="20" width="10.28515625" customWidth="1" outlineLevel="1"/>
    <col min="21" max="21" width="10.28515625" customWidth="1"/>
    <col min="22" max="25" width="10.28515625" customWidth="1" outlineLevel="1"/>
    <col min="26" max="26" width="10.28515625" customWidth="1"/>
    <col min="27" max="31" width="10.28515625" customWidth="1" outlineLevel="1"/>
    <col min="32" max="32" width="10.28515625" customWidth="1"/>
  </cols>
  <sheetData>
    <row r="1" spans="1:36" outlineLevel="1">
      <c r="A1" s="130" t="s">
        <v>52</v>
      </c>
    </row>
    <row r="2" spans="1:36" outlineLevel="1">
      <c r="A2" t="s">
        <v>371</v>
      </c>
      <c r="B2" t="s">
        <v>372</v>
      </c>
    </row>
    <row r="3" spans="1:36" s="152" customFormat="1" outlineLevel="1">
      <c r="A3" s="152" t="s">
        <v>373</v>
      </c>
      <c r="B3" s="155">
        <v>1500</v>
      </c>
      <c r="C3" s="153"/>
      <c r="F3" s="156" t="s">
        <v>38</v>
      </c>
      <c r="G3" s="153"/>
      <c r="H3" s="153"/>
      <c r="I3" s="153"/>
      <c r="J3" s="153"/>
      <c r="K3" s="153"/>
      <c r="L3" s="153"/>
      <c r="M3" s="153"/>
      <c r="N3" s="153">
        <f>$B$3/2</f>
        <v>750</v>
      </c>
      <c r="O3" s="153">
        <f>$B$3/2</f>
        <v>750</v>
      </c>
      <c r="P3" s="153">
        <f>SUM(L3:O3)</f>
        <v>1500</v>
      </c>
      <c r="Q3" s="153">
        <f t="shared" ref="Q3:T5" si="0">$B$18</f>
        <v>400</v>
      </c>
      <c r="R3" s="153">
        <f t="shared" si="0"/>
        <v>400</v>
      </c>
      <c r="S3" s="153">
        <f t="shared" si="0"/>
        <v>400</v>
      </c>
      <c r="T3" s="153">
        <f t="shared" si="0"/>
        <v>400</v>
      </c>
      <c r="U3" s="153">
        <f>SUM(Q3:T3)</f>
        <v>1600</v>
      </c>
      <c r="V3" s="153">
        <f t="shared" ref="V3:Y5" si="1">$B$18</f>
        <v>400</v>
      </c>
      <c r="W3" s="153">
        <f t="shared" si="1"/>
        <v>400</v>
      </c>
      <c r="X3" s="153">
        <f t="shared" si="1"/>
        <v>400</v>
      </c>
      <c r="Y3" s="153">
        <f t="shared" si="1"/>
        <v>400</v>
      </c>
      <c r="Z3" s="153">
        <f>SUM(V3:Y3)</f>
        <v>1600</v>
      </c>
      <c r="AA3" s="153">
        <f t="shared" ref="AA3:AI5" si="2">$B$18</f>
        <v>400</v>
      </c>
      <c r="AB3" s="153">
        <f t="shared" si="2"/>
        <v>400</v>
      </c>
      <c r="AC3" s="153">
        <f t="shared" si="2"/>
        <v>400</v>
      </c>
      <c r="AD3" s="153">
        <f t="shared" si="2"/>
        <v>400</v>
      </c>
      <c r="AE3" s="153">
        <f>SUM(AA3:AD3)</f>
        <v>1600</v>
      </c>
      <c r="AF3" s="153">
        <f t="shared" si="2"/>
        <v>400</v>
      </c>
      <c r="AG3" s="153">
        <f t="shared" si="2"/>
        <v>400</v>
      </c>
      <c r="AH3" s="153">
        <f t="shared" si="2"/>
        <v>400</v>
      </c>
      <c r="AI3" s="153">
        <f t="shared" si="2"/>
        <v>400</v>
      </c>
      <c r="AJ3" s="153">
        <f>SUM(AF3:AI3)</f>
        <v>1600</v>
      </c>
    </row>
    <row r="4" spans="1:36" s="152" customFormat="1" outlineLevel="1">
      <c r="A4" s="152" t="s">
        <v>374</v>
      </c>
      <c r="B4" s="155">
        <v>3000</v>
      </c>
      <c r="C4" s="153"/>
      <c r="F4" s="156" t="s">
        <v>38</v>
      </c>
      <c r="G4" s="153"/>
      <c r="H4" s="153"/>
      <c r="I4" s="153"/>
      <c r="J4" s="153"/>
      <c r="K4" s="153"/>
      <c r="L4" s="153"/>
      <c r="M4" s="153"/>
      <c r="N4" s="153">
        <f>$B$4/2</f>
        <v>1500</v>
      </c>
      <c r="O4" s="153">
        <f>$B$4/2</f>
        <v>1500</v>
      </c>
      <c r="P4" s="153">
        <f t="shared" ref="P4:P5" si="3">SUM(L4:O4)</f>
        <v>3000</v>
      </c>
      <c r="Q4" s="153">
        <f t="shared" si="0"/>
        <v>400</v>
      </c>
      <c r="R4" s="153">
        <f t="shared" si="0"/>
        <v>400</v>
      </c>
      <c r="S4" s="153">
        <f t="shared" si="0"/>
        <v>400</v>
      </c>
      <c r="T4" s="153">
        <f t="shared" si="0"/>
        <v>400</v>
      </c>
      <c r="U4" s="153">
        <f t="shared" ref="U4:U5" si="4">SUM(Q4:T4)</f>
        <v>1600</v>
      </c>
      <c r="V4" s="153">
        <f t="shared" si="1"/>
        <v>400</v>
      </c>
      <c r="W4" s="153">
        <f t="shared" si="1"/>
        <v>400</v>
      </c>
      <c r="X4" s="153">
        <f t="shared" si="1"/>
        <v>400</v>
      </c>
      <c r="Y4" s="153">
        <f t="shared" si="1"/>
        <v>400</v>
      </c>
      <c r="Z4" s="153">
        <f t="shared" ref="Z4:Z5" si="5">SUM(V4:Y4)</f>
        <v>1600</v>
      </c>
      <c r="AA4" s="153">
        <f t="shared" si="2"/>
        <v>400</v>
      </c>
      <c r="AB4" s="153">
        <f t="shared" si="2"/>
        <v>400</v>
      </c>
      <c r="AC4" s="153">
        <f t="shared" si="2"/>
        <v>400</v>
      </c>
      <c r="AD4" s="153">
        <f t="shared" si="2"/>
        <v>400</v>
      </c>
      <c r="AE4" s="153">
        <f>SUM(AA4:AD4)</f>
        <v>1600</v>
      </c>
      <c r="AF4" s="153">
        <f t="shared" si="2"/>
        <v>400</v>
      </c>
      <c r="AG4" s="153">
        <f t="shared" si="2"/>
        <v>400</v>
      </c>
      <c r="AH4" s="153">
        <f t="shared" si="2"/>
        <v>400</v>
      </c>
      <c r="AI4" s="153">
        <f t="shared" si="2"/>
        <v>400</v>
      </c>
      <c r="AJ4" s="153">
        <f>SUM(AF4:AI4)</f>
        <v>1600</v>
      </c>
    </row>
    <row r="5" spans="1:36" s="152" customFormat="1" outlineLevel="1">
      <c r="A5" s="152" t="s">
        <v>375</v>
      </c>
      <c r="B5" s="155">
        <v>1500</v>
      </c>
      <c r="C5" s="153"/>
      <c r="F5" s="156" t="s">
        <v>38</v>
      </c>
      <c r="G5" s="153"/>
      <c r="H5" s="153"/>
      <c r="I5" s="153"/>
      <c r="J5" s="153"/>
      <c r="K5" s="153"/>
      <c r="L5" s="153"/>
      <c r="M5" s="153"/>
      <c r="N5" s="153">
        <f>$B$5/2</f>
        <v>750</v>
      </c>
      <c r="O5" s="153">
        <f>$B$5/2</f>
        <v>750</v>
      </c>
      <c r="P5" s="153">
        <f t="shared" si="3"/>
        <v>1500</v>
      </c>
      <c r="Q5" s="153">
        <f t="shared" si="0"/>
        <v>400</v>
      </c>
      <c r="R5" s="153">
        <f t="shared" si="0"/>
        <v>400</v>
      </c>
      <c r="S5" s="153">
        <f t="shared" si="0"/>
        <v>400</v>
      </c>
      <c r="T5" s="153">
        <f t="shared" si="0"/>
        <v>400</v>
      </c>
      <c r="U5" s="153">
        <f t="shared" si="4"/>
        <v>1600</v>
      </c>
      <c r="V5" s="153">
        <f t="shared" si="1"/>
        <v>400</v>
      </c>
      <c r="W5" s="153">
        <f t="shared" si="1"/>
        <v>400</v>
      </c>
      <c r="X5" s="153">
        <f t="shared" si="1"/>
        <v>400</v>
      </c>
      <c r="Y5" s="153">
        <f t="shared" si="1"/>
        <v>400</v>
      </c>
      <c r="Z5" s="153">
        <f t="shared" si="5"/>
        <v>1600</v>
      </c>
      <c r="AA5" s="153">
        <f t="shared" si="2"/>
        <v>400</v>
      </c>
      <c r="AB5" s="153">
        <f t="shared" si="2"/>
        <v>400</v>
      </c>
      <c r="AC5" s="153">
        <f t="shared" si="2"/>
        <v>400</v>
      </c>
      <c r="AD5" s="153">
        <f t="shared" si="2"/>
        <v>400</v>
      </c>
      <c r="AE5" s="153">
        <f>SUM(AA5:AD5)</f>
        <v>1600</v>
      </c>
      <c r="AF5" s="153">
        <f t="shared" si="2"/>
        <v>400</v>
      </c>
      <c r="AG5" s="153">
        <f t="shared" si="2"/>
        <v>400</v>
      </c>
      <c r="AH5" s="153">
        <f t="shared" si="2"/>
        <v>400</v>
      </c>
      <c r="AI5" s="153">
        <f t="shared" si="2"/>
        <v>400</v>
      </c>
      <c r="AJ5" s="153">
        <f>SUM(AF5:AI5)</f>
        <v>1600</v>
      </c>
    </row>
    <row r="6" spans="1:36" outlineLevel="1">
      <c r="A6" t="s">
        <v>376</v>
      </c>
      <c r="B6" s="128">
        <v>0.3</v>
      </c>
      <c r="C6" s="123"/>
      <c r="F6" s="129"/>
      <c r="G6" s="122"/>
      <c r="H6" s="122"/>
      <c r="I6" s="122"/>
      <c r="J6" s="122"/>
      <c r="K6" s="122"/>
      <c r="L6" s="122"/>
      <c r="M6" s="132"/>
      <c r="N6" s="132">
        <f t="shared" ref="N6:N17" si="6">B6</f>
        <v>0.3</v>
      </c>
      <c r="O6" s="132">
        <f t="shared" ref="O6:AD9" si="7">N6</f>
        <v>0.3</v>
      </c>
      <c r="P6" s="138">
        <f t="shared" ref="P6:P9" si="8">AVERAGE(L6:O6)</f>
        <v>0.3</v>
      </c>
      <c r="Q6" s="132">
        <f t="shared" si="7"/>
        <v>0.3</v>
      </c>
      <c r="R6" s="132">
        <f t="shared" si="7"/>
        <v>0.3</v>
      </c>
      <c r="S6" s="132">
        <f t="shared" si="7"/>
        <v>0.3</v>
      </c>
      <c r="T6" s="132">
        <f t="shared" si="7"/>
        <v>0.3</v>
      </c>
      <c r="U6" s="138">
        <f t="shared" ref="U6:U9" si="9">AVERAGE(Q6:T6)</f>
        <v>0.3</v>
      </c>
      <c r="V6" s="132">
        <v>0.15</v>
      </c>
      <c r="W6" s="132">
        <f t="shared" si="7"/>
        <v>0.15</v>
      </c>
      <c r="X6" s="132">
        <f t="shared" si="7"/>
        <v>0.15</v>
      </c>
      <c r="Y6" s="132">
        <f t="shared" si="7"/>
        <v>0.15</v>
      </c>
      <c r="Z6" s="138">
        <f t="shared" ref="Z6:Z9" si="10">AVERAGE(V6:Y6)</f>
        <v>0.15</v>
      </c>
      <c r="AA6" s="132">
        <v>0.05</v>
      </c>
      <c r="AB6" s="132">
        <v>0.05</v>
      </c>
      <c r="AC6" s="132">
        <f t="shared" si="7"/>
        <v>0.05</v>
      </c>
      <c r="AD6" s="132">
        <f t="shared" si="7"/>
        <v>0.05</v>
      </c>
      <c r="AE6" s="138">
        <f>AVERAGE(AA6:AD6)</f>
        <v>0.05</v>
      </c>
      <c r="AF6" s="132">
        <f t="shared" ref="AF6:AF9" si="11">AD6</f>
        <v>0.05</v>
      </c>
      <c r="AG6" s="132">
        <f t="shared" ref="AG6:AG9" si="12">AF6</f>
        <v>0.05</v>
      </c>
      <c r="AH6" s="132">
        <f t="shared" ref="AH6:AH9" si="13">AG6</f>
        <v>0.05</v>
      </c>
      <c r="AI6" s="132">
        <f t="shared" ref="AI6:AI9" si="14">AH6</f>
        <v>0.05</v>
      </c>
      <c r="AJ6" s="138">
        <f>AVERAGE(AF6:AI6)</f>
        <v>0.05</v>
      </c>
    </row>
    <row r="7" spans="1:36" outlineLevel="1">
      <c r="A7" t="s">
        <v>377</v>
      </c>
      <c r="B7" s="128">
        <v>0.4</v>
      </c>
      <c r="C7" s="123"/>
      <c r="F7" s="129"/>
      <c r="G7" s="122"/>
      <c r="H7" s="122"/>
      <c r="I7" s="122"/>
      <c r="J7" s="122"/>
      <c r="K7" s="122"/>
      <c r="L7" s="122"/>
      <c r="M7" s="132"/>
      <c r="N7" s="132">
        <f t="shared" si="6"/>
        <v>0.4</v>
      </c>
      <c r="O7" s="132">
        <f t="shared" ref="O7:AC7" si="15">N7</f>
        <v>0.4</v>
      </c>
      <c r="P7" s="138">
        <f t="shared" si="8"/>
        <v>0.4</v>
      </c>
      <c r="Q7" s="132">
        <f t="shared" si="15"/>
        <v>0.4</v>
      </c>
      <c r="R7" s="132">
        <f t="shared" si="15"/>
        <v>0.4</v>
      </c>
      <c r="S7" s="132">
        <f t="shared" si="15"/>
        <v>0.4</v>
      </c>
      <c r="T7" s="132">
        <f t="shared" si="15"/>
        <v>0.4</v>
      </c>
      <c r="U7" s="138">
        <f t="shared" si="9"/>
        <v>0.4</v>
      </c>
      <c r="V7" s="132">
        <v>0.3</v>
      </c>
      <c r="W7" s="132">
        <f t="shared" si="15"/>
        <v>0.3</v>
      </c>
      <c r="X7" s="132">
        <f t="shared" si="15"/>
        <v>0.3</v>
      </c>
      <c r="Y7" s="132">
        <f t="shared" si="15"/>
        <v>0.3</v>
      </c>
      <c r="Z7" s="138">
        <f t="shared" si="10"/>
        <v>0.3</v>
      </c>
      <c r="AA7" s="132">
        <v>0.15</v>
      </c>
      <c r="AB7" s="132">
        <f t="shared" si="15"/>
        <v>0.15</v>
      </c>
      <c r="AC7" s="132">
        <f t="shared" si="15"/>
        <v>0.15</v>
      </c>
      <c r="AD7" s="132">
        <f t="shared" si="7"/>
        <v>0.15</v>
      </c>
      <c r="AE7" s="138">
        <f>AVERAGE(AA7:AD7)</f>
        <v>0.15</v>
      </c>
      <c r="AF7" s="132">
        <f t="shared" si="11"/>
        <v>0.15</v>
      </c>
      <c r="AG7" s="132">
        <f t="shared" si="12"/>
        <v>0.15</v>
      </c>
      <c r="AH7" s="132">
        <f t="shared" si="13"/>
        <v>0.15</v>
      </c>
      <c r="AI7" s="132">
        <f t="shared" si="14"/>
        <v>0.15</v>
      </c>
      <c r="AJ7" s="138">
        <f>AVERAGE(AF7:AI7)</f>
        <v>0.15</v>
      </c>
    </row>
    <row r="8" spans="1:36" outlineLevel="1">
      <c r="A8" t="s">
        <v>378</v>
      </c>
      <c r="B8" s="128">
        <v>0.3</v>
      </c>
      <c r="C8" s="123"/>
      <c r="F8" s="129"/>
      <c r="G8" s="122"/>
      <c r="H8" s="122"/>
      <c r="I8" s="122"/>
      <c r="J8" s="122"/>
      <c r="K8" s="122"/>
      <c r="L8" s="122"/>
      <c r="M8" s="132"/>
      <c r="N8" s="132">
        <f t="shared" si="6"/>
        <v>0.3</v>
      </c>
      <c r="O8" s="132">
        <f t="shared" si="7"/>
        <v>0.3</v>
      </c>
      <c r="P8" s="138">
        <f t="shared" si="8"/>
        <v>0.3</v>
      </c>
      <c r="Q8" s="132">
        <f t="shared" si="7"/>
        <v>0.3</v>
      </c>
      <c r="R8" s="132">
        <f t="shared" si="7"/>
        <v>0.3</v>
      </c>
      <c r="S8" s="132">
        <f t="shared" si="7"/>
        <v>0.3</v>
      </c>
      <c r="T8" s="132">
        <f t="shared" si="7"/>
        <v>0.3</v>
      </c>
      <c r="U8" s="138">
        <f t="shared" si="9"/>
        <v>0.3</v>
      </c>
      <c r="V8" s="132">
        <v>0.05</v>
      </c>
      <c r="W8" s="132">
        <f t="shared" si="7"/>
        <v>0.05</v>
      </c>
      <c r="X8" s="132">
        <f t="shared" si="7"/>
        <v>0.05</v>
      </c>
      <c r="Y8" s="132">
        <f t="shared" si="7"/>
        <v>0.05</v>
      </c>
      <c r="Z8" s="138">
        <f t="shared" si="10"/>
        <v>0.05</v>
      </c>
      <c r="AA8" s="132">
        <f t="shared" si="7"/>
        <v>0.05</v>
      </c>
      <c r="AB8" s="132">
        <f t="shared" si="7"/>
        <v>0.05</v>
      </c>
      <c r="AC8" s="132">
        <f t="shared" si="7"/>
        <v>0.05</v>
      </c>
      <c r="AD8" s="132">
        <f t="shared" si="7"/>
        <v>0.05</v>
      </c>
      <c r="AE8" s="138">
        <f>AVERAGE(AA8:AD8)</f>
        <v>0.05</v>
      </c>
      <c r="AF8" s="132">
        <f t="shared" si="11"/>
        <v>0.05</v>
      </c>
      <c r="AG8" s="132">
        <f t="shared" si="12"/>
        <v>0.05</v>
      </c>
      <c r="AH8" s="132">
        <f t="shared" si="13"/>
        <v>0.05</v>
      </c>
      <c r="AI8" s="132">
        <f t="shared" si="14"/>
        <v>0.05</v>
      </c>
      <c r="AJ8" s="138">
        <f>AVERAGE(AF8:AI8)</f>
        <v>0.05</v>
      </c>
    </row>
    <row r="9" spans="1:36" outlineLevel="1">
      <c r="A9" t="s">
        <v>379</v>
      </c>
      <c r="B9" s="128">
        <v>0</v>
      </c>
      <c r="C9" s="123"/>
      <c r="G9" s="122"/>
      <c r="H9" s="122"/>
      <c r="I9" s="122"/>
      <c r="J9" s="122"/>
      <c r="K9" s="122"/>
      <c r="L9" s="122"/>
      <c r="M9" s="132"/>
      <c r="N9" s="132">
        <f t="shared" si="6"/>
        <v>0</v>
      </c>
      <c r="O9" s="132">
        <f t="shared" si="7"/>
        <v>0</v>
      </c>
      <c r="P9" s="138">
        <f t="shared" si="8"/>
        <v>0</v>
      </c>
      <c r="Q9" s="132">
        <f t="shared" si="7"/>
        <v>0</v>
      </c>
      <c r="R9" s="132">
        <f t="shared" si="7"/>
        <v>0</v>
      </c>
      <c r="S9" s="132">
        <f t="shared" si="7"/>
        <v>0</v>
      </c>
      <c r="T9" s="132">
        <f t="shared" si="7"/>
        <v>0</v>
      </c>
      <c r="U9" s="138">
        <f t="shared" si="9"/>
        <v>0</v>
      </c>
      <c r="V9" s="132">
        <v>0.5</v>
      </c>
      <c r="W9" s="132">
        <f t="shared" si="7"/>
        <v>0.5</v>
      </c>
      <c r="X9" s="132">
        <f t="shared" si="7"/>
        <v>0.5</v>
      </c>
      <c r="Y9" s="132">
        <f t="shared" si="7"/>
        <v>0.5</v>
      </c>
      <c r="Z9" s="138">
        <f t="shared" si="10"/>
        <v>0.5</v>
      </c>
      <c r="AA9" s="132">
        <v>0.75</v>
      </c>
      <c r="AB9" s="132">
        <f t="shared" si="7"/>
        <v>0.75</v>
      </c>
      <c r="AC9" s="132">
        <f t="shared" si="7"/>
        <v>0.75</v>
      </c>
      <c r="AD9" s="132">
        <f t="shared" si="7"/>
        <v>0.75</v>
      </c>
      <c r="AE9" s="138">
        <f>AVERAGE(AA9:AD9)</f>
        <v>0.75</v>
      </c>
      <c r="AF9" s="132">
        <f t="shared" si="11"/>
        <v>0.75</v>
      </c>
      <c r="AG9" s="132">
        <f t="shared" si="12"/>
        <v>0.75</v>
      </c>
      <c r="AH9" s="132">
        <f t="shared" si="13"/>
        <v>0.75</v>
      </c>
      <c r="AI9" s="132">
        <f t="shared" si="14"/>
        <v>0.75</v>
      </c>
      <c r="AJ9" s="138">
        <f>AVERAGE(AF9:AI9)</f>
        <v>0.75</v>
      </c>
    </row>
    <row r="10" spans="1:36" outlineLevel="1">
      <c r="A10" t="s">
        <v>380</v>
      </c>
      <c r="B10" s="116">
        <v>100</v>
      </c>
      <c r="C10" s="120"/>
      <c r="F10" s="129" t="s">
        <v>381</v>
      </c>
      <c r="G10" s="116"/>
      <c r="H10" s="116"/>
      <c r="I10" s="122"/>
      <c r="J10" s="116"/>
      <c r="K10" s="116"/>
      <c r="L10" s="116"/>
      <c r="M10" s="116"/>
      <c r="N10" s="116">
        <f t="shared" si="6"/>
        <v>100</v>
      </c>
      <c r="O10" s="116">
        <v>100</v>
      </c>
      <c r="P10" s="116">
        <f>AVERAGE(L10:O10)</f>
        <v>100</v>
      </c>
      <c r="Q10" s="116">
        <f>$B10</f>
        <v>100</v>
      </c>
      <c r="R10" s="116">
        <f t="shared" ref="R10:AJ12" si="16">$B10</f>
        <v>100</v>
      </c>
      <c r="S10" s="116">
        <f t="shared" si="16"/>
        <v>100</v>
      </c>
      <c r="T10" s="116">
        <f t="shared" si="16"/>
        <v>100</v>
      </c>
      <c r="U10" s="116">
        <f t="shared" si="16"/>
        <v>100</v>
      </c>
      <c r="V10" s="116">
        <f t="shared" si="16"/>
        <v>100</v>
      </c>
      <c r="W10" s="116">
        <f t="shared" si="16"/>
        <v>100</v>
      </c>
      <c r="X10" s="116">
        <f t="shared" si="16"/>
        <v>100</v>
      </c>
      <c r="Y10" s="116">
        <f t="shared" si="16"/>
        <v>100</v>
      </c>
      <c r="Z10" s="116">
        <f t="shared" si="16"/>
        <v>100</v>
      </c>
      <c r="AA10" s="116">
        <f t="shared" si="16"/>
        <v>100</v>
      </c>
      <c r="AB10" s="116">
        <f t="shared" si="16"/>
        <v>100</v>
      </c>
      <c r="AC10" s="116">
        <f t="shared" si="16"/>
        <v>100</v>
      </c>
      <c r="AD10" s="116">
        <f t="shared" si="16"/>
        <v>100</v>
      </c>
      <c r="AE10" s="116">
        <f t="shared" si="16"/>
        <v>100</v>
      </c>
      <c r="AF10" s="116">
        <f t="shared" si="16"/>
        <v>100</v>
      </c>
      <c r="AG10" s="116">
        <f t="shared" si="16"/>
        <v>100</v>
      </c>
      <c r="AH10" s="116">
        <f t="shared" si="16"/>
        <v>100</v>
      </c>
      <c r="AI10" s="116">
        <f t="shared" si="16"/>
        <v>100</v>
      </c>
      <c r="AJ10" s="116">
        <f t="shared" si="16"/>
        <v>100</v>
      </c>
    </row>
    <row r="11" spans="1:36" outlineLevel="1">
      <c r="A11" t="s">
        <v>382</v>
      </c>
      <c r="B11" s="116">
        <v>25</v>
      </c>
      <c r="C11" s="120"/>
      <c r="F11" s="129" t="s">
        <v>381</v>
      </c>
      <c r="G11" s="116"/>
      <c r="H11" s="116"/>
      <c r="I11" s="116"/>
      <c r="J11" s="116"/>
      <c r="K11" s="116"/>
      <c r="L11" s="116"/>
      <c r="M11" s="116"/>
      <c r="N11" s="116">
        <f t="shared" si="6"/>
        <v>25</v>
      </c>
      <c r="O11" s="116">
        <v>25</v>
      </c>
      <c r="P11" s="116">
        <f t="shared" ref="P11:P17" si="17">AVERAGE(L11:O11)</f>
        <v>25</v>
      </c>
      <c r="Q11" s="116">
        <f t="shared" ref="Q11:AJ12" si="18">$B11</f>
        <v>25</v>
      </c>
      <c r="R11" s="116">
        <f t="shared" si="18"/>
        <v>25</v>
      </c>
      <c r="S11" s="116">
        <f t="shared" si="18"/>
        <v>25</v>
      </c>
      <c r="T11" s="116">
        <f t="shared" si="18"/>
        <v>25</v>
      </c>
      <c r="U11" s="116">
        <f t="shared" si="18"/>
        <v>25</v>
      </c>
      <c r="V11" s="116">
        <f t="shared" si="18"/>
        <v>25</v>
      </c>
      <c r="W11" s="116">
        <f t="shared" si="18"/>
        <v>25</v>
      </c>
      <c r="X11" s="116">
        <f t="shared" si="18"/>
        <v>25</v>
      </c>
      <c r="Y11" s="116">
        <f t="shared" si="18"/>
        <v>25</v>
      </c>
      <c r="Z11" s="116">
        <f t="shared" si="18"/>
        <v>25</v>
      </c>
      <c r="AA11" s="116">
        <f t="shared" si="18"/>
        <v>25</v>
      </c>
      <c r="AB11" s="116">
        <f t="shared" si="18"/>
        <v>25</v>
      </c>
      <c r="AC11" s="116">
        <f t="shared" si="18"/>
        <v>25</v>
      </c>
      <c r="AD11" s="116">
        <f t="shared" si="18"/>
        <v>25</v>
      </c>
      <c r="AE11" s="116">
        <f t="shared" si="18"/>
        <v>25</v>
      </c>
      <c r="AF11" s="116">
        <f t="shared" si="18"/>
        <v>25</v>
      </c>
      <c r="AG11" s="116">
        <f t="shared" si="18"/>
        <v>25</v>
      </c>
      <c r="AH11" s="116">
        <f t="shared" si="18"/>
        <v>25</v>
      </c>
      <c r="AI11" s="116">
        <f t="shared" si="18"/>
        <v>25</v>
      </c>
      <c r="AJ11" s="116">
        <f t="shared" si="18"/>
        <v>25</v>
      </c>
    </row>
    <row r="12" spans="1:36" outlineLevel="1">
      <c r="A12" t="s">
        <v>383</v>
      </c>
      <c r="B12" s="116">
        <v>50</v>
      </c>
      <c r="C12" s="124"/>
      <c r="F12" s="129" t="s">
        <v>381</v>
      </c>
      <c r="G12" s="116"/>
      <c r="H12" s="116"/>
      <c r="I12" s="116"/>
      <c r="J12" s="116"/>
      <c r="K12" s="116"/>
      <c r="L12" s="116"/>
      <c r="M12" s="116"/>
      <c r="N12" s="116">
        <f t="shared" si="6"/>
        <v>50</v>
      </c>
      <c r="O12" s="116">
        <v>75</v>
      </c>
      <c r="P12" s="116">
        <f t="shared" si="17"/>
        <v>62.5</v>
      </c>
      <c r="Q12" s="116">
        <f t="shared" si="18"/>
        <v>50</v>
      </c>
      <c r="R12" s="116">
        <f t="shared" si="16"/>
        <v>50</v>
      </c>
      <c r="S12" s="116">
        <f t="shared" si="16"/>
        <v>50</v>
      </c>
      <c r="T12" s="116">
        <f t="shared" si="16"/>
        <v>50</v>
      </c>
      <c r="U12" s="116">
        <f t="shared" si="16"/>
        <v>50</v>
      </c>
      <c r="V12" s="116">
        <f t="shared" si="16"/>
        <v>50</v>
      </c>
      <c r="W12" s="116">
        <f t="shared" si="16"/>
        <v>50</v>
      </c>
      <c r="X12" s="116">
        <f t="shared" si="16"/>
        <v>50</v>
      </c>
      <c r="Y12" s="116">
        <f t="shared" si="16"/>
        <v>50</v>
      </c>
      <c r="Z12" s="116">
        <f t="shared" si="16"/>
        <v>50</v>
      </c>
      <c r="AA12" s="116">
        <f t="shared" si="16"/>
        <v>50</v>
      </c>
      <c r="AB12" s="116">
        <f t="shared" si="16"/>
        <v>50</v>
      </c>
      <c r="AC12" s="116">
        <f t="shared" si="16"/>
        <v>50</v>
      </c>
      <c r="AD12" s="116">
        <f t="shared" si="16"/>
        <v>50</v>
      </c>
      <c r="AE12" s="116">
        <f t="shared" si="16"/>
        <v>50</v>
      </c>
      <c r="AF12" s="116">
        <f t="shared" si="16"/>
        <v>50</v>
      </c>
      <c r="AG12" s="116">
        <f t="shared" si="16"/>
        <v>50</v>
      </c>
      <c r="AH12" s="116">
        <f t="shared" si="16"/>
        <v>50</v>
      </c>
      <c r="AI12" s="116">
        <f t="shared" si="16"/>
        <v>50</v>
      </c>
      <c r="AJ12" s="116">
        <f t="shared" si="16"/>
        <v>50</v>
      </c>
    </row>
    <row r="13" spans="1:36" outlineLevel="1">
      <c r="A13" t="s">
        <v>384</v>
      </c>
      <c r="B13" s="116">
        <v>10</v>
      </c>
      <c r="C13" s="124"/>
      <c r="F13" s="129"/>
      <c r="G13" s="116"/>
      <c r="H13" s="116"/>
      <c r="I13" s="116"/>
      <c r="J13" s="116"/>
      <c r="K13" s="116"/>
      <c r="L13" s="116"/>
      <c r="M13" s="116"/>
      <c r="N13" s="116">
        <f t="shared" si="6"/>
        <v>10</v>
      </c>
      <c r="O13" s="116">
        <f t="shared" ref="O13:AB13" si="19">N13</f>
        <v>10</v>
      </c>
      <c r="P13" s="116">
        <f t="shared" si="19"/>
        <v>10</v>
      </c>
      <c r="Q13" s="116">
        <f t="shared" si="19"/>
        <v>10</v>
      </c>
      <c r="R13" s="116">
        <f t="shared" si="19"/>
        <v>10</v>
      </c>
      <c r="S13" s="116">
        <f t="shared" si="19"/>
        <v>10</v>
      </c>
      <c r="T13" s="116">
        <f t="shared" si="19"/>
        <v>10</v>
      </c>
      <c r="U13" s="116">
        <f t="shared" si="19"/>
        <v>10</v>
      </c>
      <c r="V13" s="116">
        <f t="shared" si="19"/>
        <v>10</v>
      </c>
      <c r="W13" s="116">
        <f t="shared" si="19"/>
        <v>10</v>
      </c>
      <c r="X13" s="116">
        <f t="shared" si="19"/>
        <v>10</v>
      </c>
      <c r="Y13" s="116">
        <f t="shared" si="19"/>
        <v>10</v>
      </c>
      <c r="Z13" s="116">
        <f t="shared" si="19"/>
        <v>10</v>
      </c>
      <c r="AA13" s="116">
        <f t="shared" si="19"/>
        <v>10</v>
      </c>
      <c r="AB13" s="116">
        <f t="shared" si="19"/>
        <v>10</v>
      </c>
      <c r="AC13" s="116">
        <f>AB13</f>
        <v>10</v>
      </c>
      <c r="AD13" s="116">
        <f t="shared" ref="AD13" si="20">AC13</f>
        <v>10</v>
      </c>
      <c r="AE13" s="116">
        <f>AD13</f>
        <v>10</v>
      </c>
      <c r="AF13" s="116">
        <f t="shared" ref="AF13:AF14" si="21">AD13</f>
        <v>10</v>
      </c>
      <c r="AG13" s="116">
        <f t="shared" ref="AG13:AG14" si="22">AF13</f>
        <v>10</v>
      </c>
      <c r="AH13" s="116">
        <f t="shared" ref="AH13:AH14" si="23">AG13</f>
        <v>10</v>
      </c>
      <c r="AI13" s="116">
        <f t="shared" ref="AI13:AI14" si="24">AH13</f>
        <v>10</v>
      </c>
      <c r="AJ13" s="116">
        <f>AI13</f>
        <v>10</v>
      </c>
    </row>
    <row r="14" spans="1:36" outlineLevel="1">
      <c r="A14" t="s">
        <v>385</v>
      </c>
      <c r="B14" s="131">
        <v>0.5</v>
      </c>
      <c r="C14" s="124"/>
      <c r="F14" s="129"/>
      <c r="G14" s="116"/>
      <c r="H14" s="116"/>
      <c r="I14" s="116"/>
      <c r="J14" s="116"/>
      <c r="K14" s="116"/>
      <c r="L14" s="116"/>
      <c r="M14" s="116"/>
      <c r="N14" s="131">
        <f t="shared" si="6"/>
        <v>0.5</v>
      </c>
      <c r="O14" s="131">
        <f t="shared" ref="O14:AB14" si="25">N14</f>
        <v>0.5</v>
      </c>
      <c r="P14" s="131">
        <f t="shared" si="25"/>
        <v>0.5</v>
      </c>
      <c r="Q14" s="131">
        <f t="shared" si="25"/>
        <v>0.5</v>
      </c>
      <c r="R14" s="131">
        <f t="shared" si="25"/>
        <v>0.5</v>
      </c>
      <c r="S14" s="131">
        <f t="shared" si="25"/>
        <v>0.5</v>
      </c>
      <c r="T14" s="131">
        <f t="shared" si="25"/>
        <v>0.5</v>
      </c>
      <c r="U14" s="131">
        <f t="shared" si="25"/>
        <v>0.5</v>
      </c>
      <c r="V14" s="131">
        <f t="shared" si="25"/>
        <v>0.5</v>
      </c>
      <c r="W14" s="131">
        <f t="shared" si="25"/>
        <v>0.5</v>
      </c>
      <c r="X14" s="131">
        <f t="shared" si="25"/>
        <v>0.5</v>
      </c>
      <c r="Y14" s="131">
        <f t="shared" si="25"/>
        <v>0.5</v>
      </c>
      <c r="Z14" s="131">
        <f t="shared" si="25"/>
        <v>0.5</v>
      </c>
      <c r="AA14" s="131">
        <f t="shared" si="25"/>
        <v>0.5</v>
      </c>
      <c r="AB14" s="131">
        <f t="shared" si="25"/>
        <v>0.5</v>
      </c>
      <c r="AC14" s="131">
        <f>AB14</f>
        <v>0.5</v>
      </c>
      <c r="AD14" s="131">
        <f t="shared" ref="AD14" si="26">AC14</f>
        <v>0.5</v>
      </c>
      <c r="AE14" s="131">
        <f>AD14</f>
        <v>0.5</v>
      </c>
      <c r="AF14" s="131">
        <f t="shared" si="21"/>
        <v>0.5</v>
      </c>
      <c r="AG14" s="131">
        <f t="shared" si="22"/>
        <v>0.5</v>
      </c>
      <c r="AH14" s="131">
        <f t="shared" si="23"/>
        <v>0.5</v>
      </c>
      <c r="AI14" s="131">
        <f t="shared" si="24"/>
        <v>0.5</v>
      </c>
      <c r="AJ14" s="131">
        <f>AI14</f>
        <v>0.5</v>
      </c>
    </row>
    <row r="15" spans="1:36" outlineLevel="1">
      <c r="A15" t="s">
        <v>386</v>
      </c>
      <c r="B15" s="116">
        <v>2</v>
      </c>
      <c r="C15" s="120"/>
      <c r="F15" s="129" t="s">
        <v>381</v>
      </c>
      <c r="G15" s="116"/>
      <c r="H15" s="116"/>
      <c r="I15" s="116"/>
      <c r="J15" s="116"/>
      <c r="K15" s="116"/>
      <c r="L15" s="116"/>
      <c r="M15" s="116"/>
      <c r="N15" s="116">
        <f t="shared" si="6"/>
        <v>2</v>
      </c>
      <c r="O15" s="116">
        <f>$B$15</f>
        <v>2</v>
      </c>
      <c r="P15" s="116">
        <f t="shared" si="17"/>
        <v>2</v>
      </c>
      <c r="Q15" s="116">
        <f>$B$15</f>
        <v>2</v>
      </c>
      <c r="R15" s="116">
        <f>$B$15</f>
        <v>2</v>
      </c>
      <c r="S15" s="116">
        <f>$B$15</f>
        <v>2</v>
      </c>
      <c r="T15" s="116">
        <f>$B$15</f>
        <v>2</v>
      </c>
      <c r="U15" s="116">
        <f t="shared" ref="U15:U17" si="27">AVERAGE(Q15:T15)</f>
        <v>2</v>
      </c>
      <c r="V15" s="116">
        <f>$B$15</f>
        <v>2</v>
      </c>
      <c r="W15" s="116">
        <f>$B$15</f>
        <v>2</v>
      </c>
      <c r="X15" s="116">
        <f>$B$15</f>
        <v>2</v>
      </c>
      <c r="Y15" s="116">
        <f>$B$15</f>
        <v>2</v>
      </c>
      <c r="Z15" s="116">
        <f t="shared" ref="Z15:Z17" si="28">AVERAGE(V15:Y15)</f>
        <v>2</v>
      </c>
      <c r="AA15" s="116">
        <f>$B$15</f>
        <v>2</v>
      </c>
      <c r="AB15" s="116">
        <f>$B$15</f>
        <v>2</v>
      </c>
      <c r="AC15" s="116">
        <f>$B$15</f>
        <v>2</v>
      </c>
      <c r="AD15" s="116">
        <f>$B$15</f>
        <v>2</v>
      </c>
      <c r="AE15" s="116">
        <f>AVERAGE(AA15:AD15)</f>
        <v>2</v>
      </c>
      <c r="AF15" s="116">
        <f t="shared" ref="AF15:AI15" si="29">$B$15</f>
        <v>2</v>
      </c>
      <c r="AG15" s="116">
        <f t="shared" si="29"/>
        <v>2</v>
      </c>
      <c r="AH15" s="116">
        <f t="shared" si="29"/>
        <v>2</v>
      </c>
      <c r="AI15" s="116">
        <f t="shared" si="29"/>
        <v>2</v>
      </c>
      <c r="AJ15" s="116">
        <f>AVERAGE(AF15:AI15)</f>
        <v>2</v>
      </c>
    </row>
    <row r="16" spans="1:36" outlineLevel="1">
      <c r="A16" t="s">
        <v>387</v>
      </c>
      <c r="B16" s="111">
        <v>0.25</v>
      </c>
      <c r="C16" s="120"/>
      <c r="F16" s="129" t="s">
        <v>381</v>
      </c>
      <c r="G16" s="111"/>
      <c r="H16" s="111"/>
      <c r="I16" s="111"/>
      <c r="J16" s="111"/>
      <c r="K16" s="111"/>
      <c r="L16" s="111"/>
      <c r="M16" s="111"/>
      <c r="N16" s="111">
        <f t="shared" si="6"/>
        <v>0.25</v>
      </c>
      <c r="O16" s="111">
        <f>$B$16</f>
        <v>0.25</v>
      </c>
      <c r="P16" s="111">
        <f t="shared" si="17"/>
        <v>0.25</v>
      </c>
      <c r="Q16" s="111">
        <f>$B$16</f>
        <v>0.25</v>
      </c>
      <c r="R16" s="111">
        <f>$B$16</f>
        <v>0.25</v>
      </c>
      <c r="S16" s="111">
        <f>$B$16</f>
        <v>0.25</v>
      </c>
      <c r="T16" s="111">
        <f>$B$16</f>
        <v>0.25</v>
      </c>
      <c r="U16" s="111">
        <f t="shared" si="27"/>
        <v>0.25</v>
      </c>
      <c r="V16" s="111">
        <f>$B$16</f>
        <v>0.25</v>
      </c>
      <c r="W16" s="111">
        <f>$B$16</f>
        <v>0.25</v>
      </c>
      <c r="X16" s="111">
        <f>$B$16</f>
        <v>0.25</v>
      </c>
      <c r="Y16" s="111">
        <f>$B$16</f>
        <v>0.25</v>
      </c>
      <c r="Z16" s="111">
        <f t="shared" si="28"/>
        <v>0.25</v>
      </c>
      <c r="AA16" s="111">
        <f>$B$16</f>
        <v>0.25</v>
      </c>
      <c r="AB16" s="111">
        <f>$B$16</f>
        <v>0.25</v>
      </c>
      <c r="AC16" s="111">
        <f>$B$16</f>
        <v>0.25</v>
      </c>
      <c r="AD16" s="111">
        <f>$B$16</f>
        <v>0.25</v>
      </c>
      <c r="AE16" s="111">
        <f>AVERAGE(AA16:AD16)</f>
        <v>0.25</v>
      </c>
      <c r="AF16" s="111">
        <f t="shared" ref="AF16:AI16" si="30">$B$16</f>
        <v>0.25</v>
      </c>
      <c r="AG16" s="111">
        <f t="shared" si="30"/>
        <v>0.25</v>
      </c>
      <c r="AH16" s="111">
        <f t="shared" si="30"/>
        <v>0.25</v>
      </c>
      <c r="AI16" s="111">
        <f t="shared" si="30"/>
        <v>0.25</v>
      </c>
      <c r="AJ16" s="111">
        <f>AVERAGE(AF16:AI16)</f>
        <v>0.25</v>
      </c>
    </row>
    <row r="17" spans="1:36" outlineLevel="1">
      <c r="A17" t="s">
        <v>388</v>
      </c>
      <c r="B17" s="116">
        <v>15</v>
      </c>
      <c r="C17" s="117"/>
      <c r="F17" s="129" t="s">
        <v>381</v>
      </c>
      <c r="G17" s="116"/>
      <c r="H17" s="116"/>
      <c r="I17" s="116"/>
      <c r="J17" s="116"/>
      <c r="K17" s="116"/>
      <c r="L17" s="116"/>
      <c r="M17" s="116"/>
      <c r="N17" s="116">
        <f t="shared" si="6"/>
        <v>15</v>
      </c>
      <c r="O17" s="116">
        <f>$B$17</f>
        <v>15</v>
      </c>
      <c r="P17" s="116">
        <f t="shared" si="17"/>
        <v>15</v>
      </c>
      <c r="Q17" s="116">
        <f>$B$17*(1+$B$47)</f>
        <v>15.524999999999999</v>
      </c>
      <c r="R17" s="116">
        <f>$B$17*(1+$B$47)</f>
        <v>15.524999999999999</v>
      </c>
      <c r="S17" s="116">
        <f>$B$17*(1+$B$47)</f>
        <v>15.524999999999999</v>
      </c>
      <c r="T17" s="116">
        <f>$B$17*(1+$B$47)</f>
        <v>15.524999999999999</v>
      </c>
      <c r="U17" s="116">
        <f t="shared" si="27"/>
        <v>15.524999999999999</v>
      </c>
      <c r="V17" s="116">
        <f>$B$17*(1+$B$47)^2</f>
        <v>16.068375</v>
      </c>
      <c r="W17" s="116">
        <f>$B$17*(1+$B$47)^2</f>
        <v>16.068375</v>
      </c>
      <c r="X17" s="116">
        <f>$B$17*(1+$B$47)^2</f>
        <v>16.068375</v>
      </c>
      <c r="Y17" s="116">
        <f>$B$17*(1+$B$47)^2</f>
        <v>16.068375</v>
      </c>
      <c r="Z17" s="116">
        <f t="shared" si="28"/>
        <v>16.068375</v>
      </c>
      <c r="AA17" s="116">
        <v>0</v>
      </c>
      <c r="AB17" s="116">
        <v>0</v>
      </c>
      <c r="AC17" s="116">
        <v>0</v>
      </c>
      <c r="AD17" s="116">
        <v>0</v>
      </c>
      <c r="AE17" s="111">
        <f>AVERAGE(AA17:AD17)</f>
        <v>0</v>
      </c>
      <c r="AF17" s="116">
        <v>0</v>
      </c>
      <c r="AG17" s="116">
        <v>0</v>
      </c>
      <c r="AH17" s="116">
        <v>0</v>
      </c>
      <c r="AI17" s="116">
        <v>0</v>
      </c>
      <c r="AJ17" s="111">
        <f>AVERAGE(AF17:AI17)</f>
        <v>0</v>
      </c>
    </row>
    <row r="18" spans="1:36" outlineLevel="1">
      <c r="A18" t="s">
        <v>389</v>
      </c>
      <c r="B18" s="122">
        <v>400</v>
      </c>
      <c r="C18" s="117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</row>
    <row r="19" spans="1:36" s="152" customFormat="1" outlineLevel="1">
      <c r="A19" s="152" t="s">
        <v>390</v>
      </c>
      <c r="B19" s="153">
        <v>60</v>
      </c>
      <c r="C19" s="154"/>
      <c r="G19" s="153"/>
      <c r="H19" s="153"/>
      <c r="I19" s="153"/>
      <c r="J19" s="153"/>
      <c r="K19" s="153"/>
      <c r="L19" s="153"/>
      <c r="M19" s="153"/>
      <c r="N19" s="153">
        <f>B19</f>
        <v>60</v>
      </c>
      <c r="O19" s="153">
        <f>N19</f>
        <v>60</v>
      </c>
      <c r="P19" s="153">
        <f t="shared" ref="P19:Y19" si="31">O19</f>
        <v>60</v>
      </c>
      <c r="Q19" s="153">
        <f t="shared" si="31"/>
        <v>60</v>
      </c>
      <c r="R19" s="153">
        <f t="shared" si="31"/>
        <v>60</v>
      </c>
      <c r="S19" s="153">
        <f t="shared" si="31"/>
        <v>60</v>
      </c>
      <c r="T19" s="153">
        <f t="shared" si="31"/>
        <v>60</v>
      </c>
      <c r="U19" s="153">
        <f t="shared" si="31"/>
        <v>60</v>
      </c>
      <c r="V19" s="153">
        <f t="shared" si="31"/>
        <v>60</v>
      </c>
      <c r="W19" s="153">
        <f t="shared" si="31"/>
        <v>60</v>
      </c>
      <c r="X19" s="153">
        <f t="shared" si="31"/>
        <v>60</v>
      </c>
      <c r="Y19" s="153">
        <f t="shared" si="31"/>
        <v>60</v>
      </c>
      <c r="Z19" s="153">
        <f>Y19</f>
        <v>60</v>
      </c>
      <c r="AA19" s="153">
        <f t="shared" ref="AA19:AD19" si="32">Z19</f>
        <v>60</v>
      </c>
      <c r="AB19" s="153">
        <f t="shared" si="32"/>
        <v>60</v>
      </c>
      <c r="AC19" s="153">
        <f t="shared" si="32"/>
        <v>60</v>
      </c>
      <c r="AD19" s="153">
        <f t="shared" si="32"/>
        <v>60</v>
      </c>
      <c r="AE19" s="153">
        <f t="shared" ref="AE19:AE27" si="33">AD19</f>
        <v>60</v>
      </c>
      <c r="AF19" s="153">
        <f t="shared" ref="AF19:AF27" si="34">AD19</f>
        <v>60</v>
      </c>
      <c r="AG19" s="153">
        <f t="shared" ref="AG19:AG27" si="35">AF19</f>
        <v>60</v>
      </c>
      <c r="AH19" s="153">
        <f t="shared" ref="AH19:AH27" si="36">AG19</f>
        <v>60</v>
      </c>
      <c r="AI19" s="153">
        <f t="shared" ref="AI19:AI27" si="37">AH19</f>
        <v>60</v>
      </c>
      <c r="AJ19" s="153">
        <f t="shared" ref="AJ19:AJ27" si="38">AI19</f>
        <v>60</v>
      </c>
    </row>
    <row r="20" spans="1:36" s="152" customFormat="1" outlineLevel="1">
      <c r="A20" s="152" t="s">
        <v>391</v>
      </c>
      <c r="B20" s="153">
        <v>90</v>
      </c>
      <c r="C20" s="154"/>
      <c r="G20" s="153"/>
      <c r="H20" s="153"/>
      <c r="I20" s="153"/>
      <c r="J20" s="153"/>
      <c r="K20" s="153"/>
      <c r="L20" s="153"/>
      <c r="M20" s="153"/>
      <c r="N20" s="153">
        <f t="shared" ref="N20:N26" si="39">B20</f>
        <v>90</v>
      </c>
      <c r="O20" s="153">
        <f t="shared" ref="O20:Y26" si="40">N20</f>
        <v>90</v>
      </c>
      <c r="P20" s="153">
        <f t="shared" si="40"/>
        <v>90</v>
      </c>
      <c r="Q20" s="153">
        <f t="shared" si="40"/>
        <v>90</v>
      </c>
      <c r="R20" s="153">
        <f t="shared" si="40"/>
        <v>90</v>
      </c>
      <c r="S20" s="153">
        <f t="shared" si="40"/>
        <v>90</v>
      </c>
      <c r="T20" s="153">
        <f t="shared" si="40"/>
        <v>90</v>
      </c>
      <c r="U20" s="153">
        <f t="shared" si="40"/>
        <v>90</v>
      </c>
      <c r="V20" s="153">
        <f t="shared" si="40"/>
        <v>90</v>
      </c>
      <c r="W20" s="153">
        <f t="shared" si="40"/>
        <v>90</v>
      </c>
      <c r="X20" s="153">
        <f t="shared" si="40"/>
        <v>90</v>
      </c>
      <c r="Y20" s="153">
        <f t="shared" si="40"/>
        <v>90</v>
      </c>
      <c r="Z20" s="153">
        <f t="shared" ref="Z20:AD20" si="41">Y20</f>
        <v>90</v>
      </c>
      <c r="AA20" s="153">
        <f t="shared" si="41"/>
        <v>90</v>
      </c>
      <c r="AB20" s="153">
        <f t="shared" si="41"/>
        <v>90</v>
      </c>
      <c r="AC20" s="153">
        <f t="shared" si="41"/>
        <v>90</v>
      </c>
      <c r="AD20" s="153">
        <f t="shared" si="41"/>
        <v>90</v>
      </c>
      <c r="AE20" s="153">
        <f t="shared" si="33"/>
        <v>90</v>
      </c>
      <c r="AF20" s="153">
        <f t="shared" si="34"/>
        <v>90</v>
      </c>
      <c r="AG20" s="153">
        <f t="shared" si="35"/>
        <v>90</v>
      </c>
      <c r="AH20" s="153">
        <f t="shared" si="36"/>
        <v>90</v>
      </c>
      <c r="AI20" s="153">
        <f t="shared" si="37"/>
        <v>90</v>
      </c>
      <c r="AJ20" s="153">
        <f t="shared" si="38"/>
        <v>90</v>
      </c>
    </row>
    <row r="21" spans="1:36" outlineLevel="1">
      <c r="A21" t="s">
        <v>392</v>
      </c>
      <c r="B21" s="148">
        <v>3.75</v>
      </c>
      <c r="C21" s="117"/>
      <c r="G21" s="148"/>
      <c r="H21" s="148"/>
      <c r="I21" s="148"/>
      <c r="J21" s="148"/>
      <c r="K21" s="148"/>
      <c r="L21" s="148"/>
      <c r="M21" s="148"/>
      <c r="N21" s="148">
        <f t="shared" si="39"/>
        <v>3.75</v>
      </c>
      <c r="O21" s="122">
        <f t="shared" si="40"/>
        <v>3.75</v>
      </c>
      <c r="P21" s="148">
        <f t="shared" si="40"/>
        <v>3.75</v>
      </c>
      <c r="Q21" s="148">
        <f t="shared" si="40"/>
        <v>3.75</v>
      </c>
      <c r="R21" s="148">
        <f t="shared" si="40"/>
        <v>3.75</v>
      </c>
      <c r="S21" s="148">
        <f t="shared" si="40"/>
        <v>3.75</v>
      </c>
      <c r="T21" s="148">
        <f t="shared" si="40"/>
        <v>3.75</v>
      </c>
      <c r="U21" s="148">
        <f t="shared" si="40"/>
        <v>3.75</v>
      </c>
      <c r="V21" s="148">
        <f t="shared" si="40"/>
        <v>3.75</v>
      </c>
      <c r="W21" s="148">
        <f t="shared" si="40"/>
        <v>3.75</v>
      </c>
      <c r="X21" s="148">
        <f t="shared" si="40"/>
        <v>3.75</v>
      </c>
      <c r="Y21" s="148">
        <f t="shared" si="40"/>
        <v>3.75</v>
      </c>
      <c r="Z21" s="148">
        <f t="shared" ref="Z21:AD21" si="42">Y21</f>
        <v>3.75</v>
      </c>
      <c r="AA21" s="148">
        <f t="shared" si="42"/>
        <v>3.75</v>
      </c>
      <c r="AB21" s="148">
        <f t="shared" si="42"/>
        <v>3.75</v>
      </c>
      <c r="AC21" s="148">
        <f t="shared" si="42"/>
        <v>3.75</v>
      </c>
      <c r="AD21" s="148">
        <f t="shared" si="42"/>
        <v>3.75</v>
      </c>
      <c r="AE21" s="148">
        <f t="shared" si="33"/>
        <v>3.75</v>
      </c>
      <c r="AF21" s="148">
        <f t="shared" si="34"/>
        <v>3.75</v>
      </c>
      <c r="AG21" s="148">
        <f t="shared" si="35"/>
        <v>3.75</v>
      </c>
      <c r="AH21" s="148">
        <f t="shared" si="36"/>
        <v>3.75</v>
      </c>
      <c r="AI21" s="148">
        <f t="shared" si="37"/>
        <v>3.75</v>
      </c>
      <c r="AJ21" s="148">
        <f t="shared" si="38"/>
        <v>3.75</v>
      </c>
    </row>
    <row r="22" spans="1:36" outlineLevel="1">
      <c r="A22" t="s">
        <v>393</v>
      </c>
      <c r="B22" s="122">
        <v>120</v>
      </c>
      <c r="C22" s="117"/>
      <c r="G22" s="122"/>
      <c r="H22" s="122"/>
      <c r="I22" s="122"/>
      <c r="J22" s="122"/>
      <c r="K22" s="122"/>
      <c r="L22" s="122"/>
      <c r="M22" s="122"/>
      <c r="N22" s="122">
        <f t="shared" si="39"/>
        <v>120</v>
      </c>
      <c r="O22" s="122">
        <f t="shared" si="40"/>
        <v>120</v>
      </c>
      <c r="P22" s="122">
        <f t="shared" si="40"/>
        <v>120</v>
      </c>
      <c r="Q22" s="122">
        <f t="shared" si="40"/>
        <v>120</v>
      </c>
      <c r="R22" s="122">
        <f t="shared" si="40"/>
        <v>120</v>
      </c>
      <c r="S22" s="122">
        <f t="shared" si="40"/>
        <v>120</v>
      </c>
      <c r="T22" s="122">
        <f t="shared" si="40"/>
        <v>120</v>
      </c>
      <c r="U22" s="122">
        <f t="shared" si="40"/>
        <v>120</v>
      </c>
      <c r="V22" s="122">
        <f t="shared" si="40"/>
        <v>120</v>
      </c>
      <c r="W22" s="122">
        <f t="shared" si="40"/>
        <v>120</v>
      </c>
      <c r="X22" s="122">
        <f t="shared" si="40"/>
        <v>120</v>
      </c>
      <c r="Y22" s="122">
        <f t="shared" si="40"/>
        <v>120</v>
      </c>
      <c r="Z22" s="122">
        <f t="shared" ref="Z22:AD22" si="43">Y22</f>
        <v>120</v>
      </c>
      <c r="AA22" s="122">
        <f t="shared" si="43"/>
        <v>120</v>
      </c>
      <c r="AB22" s="122">
        <f t="shared" si="43"/>
        <v>120</v>
      </c>
      <c r="AC22" s="122">
        <f t="shared" si="43"/>
        <v>120</v>
      </c>
      <c r="AD22" s="122">
        <f t="shared" si="43"/>
        <v>120</v>
      </c>
      <c r="AE22" s="122">
        <f t="shared" si="33"/>
        <v>120</v>
      </c>
      <c r="AF22" s="122">
        <f t="shared" si="34"/>
        <v>120</v>
      </c>
      <c r="AG22" s="122">
        <f t="shared" si="35"/>
        <v>120</v>
      </c>
      <c r="AH22" s="122">
        <f t="shared" si="36"/>
        <v>120</v>
      </c>
      <c r="AI22" s="122">
        <f t="shared" si="37"/>
        <v>120</v>
      </c>
      <c r="AJ22" s="122">
        <f t="shared" si="38"/>
        <v>120</v>
      </c>
    </row>
    <row r="23" spans="1:36" outlineLevel="1">
      <c r="A23" t="s">
        <v>394</v>
      </c>
      <c r="B23" s="148">
        <v>3.75</v>
      </c>
      <c r="C23" s="117"/>
      <c r="G23" s="148"/>
      <c r="H23" s="148"/>
      <c r="I23" s="148"/>
      <c r="J23" s="148"/>
      <c r="K23" s="148"/>
      <c r="L23" s="148"/>
      <c r="M23" s="148"/>
      <c r="N23" s="148">
        <f t="shared" si="39"/>
        <v>3.75</v>
      </c>
      <c r="O23" s="122">
        <f t="shared" si="40"/>
        <v>3.75</v>
      </c>
      <c r="P23" s="148">
        <f t="shared" si="40"/>
        <v>3.75</v>
      </c>
      <c r="Q23" s="148">
        <f t="shared" si="40"/>
        <v>3.75</v>
      </c>
      <c r="R23" s="148">
        <f t="shared" si="40"/>
        <v>3.75</v>
      </c>
      <c r="S23" s="148">
        <f t="shared" si="40"/>
        <v>3.75</v>
      </c>
      <c r="T23" s="148">
        <f t="shared" si="40"/>
        <v>3.75</v>
      </c>
      <c r="U23" s="148">
        <f t="shared" si="40"/>
        <v>3.75</v>
      </c>
      <c r="V23" s="148">
        <f t="shared" si="40"/>
        <v>3.75</v>
      </c>
      <c r="W23" s="148">
        <f t="shared" si="40"/>
        <v>3.75</v>
      </c>
      <c r="X23" s="148">
        <f t="shared" si="40"/>
        <v>3.75</v>
      </c>
      <c r="Y23" s="148">
        <f t="shared" si="40"/>
        <v>3.75</v>
      </c>
      <c r="Z23" s="148">
        <f t="shared" ref="Z23:AD24" si="44">Y23</f>
        <v>3.75</v>
      </c>
      <c r="AA23" s="148">
        <f t="shared" si="44"/>
        <v>3.75</v>
      </c>
      <c r="AB23" s="148">
        <f t="shared" si="44"/>
        <v>3.75</v>
      </c>
      <c r="AC23" s="148">
        <f t="shared" si="44"/>
        <v>3.75</v>
      </c>
      <c r="AD23" s="148">
        <f t="shared" si="44"/>
        <v>3.75</v>
      </c>
      <c r="AE23" s="148">
        <f t="shared" si="33"/>
        <v>3.75</v>
      </c>
      <c r="AF23" s="148">
        <f t="shared" si="34"/>
        <v>3.75</v>
      </c>
      <c r="AG23" s="148">
        <f t="shared" si="35"/>
        <v>3.75</v>
      </c>
      <c r="AH23" s="148">
        <f t="shared" si="36"/>
        <v>3.75</v>
      </c>
      <c r="AI23" s="148">
        <f t="shared" si="37"/>
        <v>3.75</v>
      </c>
      <c r="AJ23" s="148">
        <f t="shared" si="38"/>
        <v>3.75</v>
      </c>
    </row>
    <row r="24" spans="1:36" outlineLevel="1">
      <c r="A24" t="s">
        <v>395</v>
      </c>
      <c r="B24" s="151">
        <v>3.75</v>
      </c>
      <c r="C24" s="117"/>
      <c r="G24" s="151"/>
      <c r="H24" s="151"/>
      <c r="I24" s="151"/>
      <c r="J24" s="151"/>
      <c r="K24" s="151"/>
      <c r="L24" s="151"/>
      <c r="M24" s="151"/>
      <c r="N24" s="151">
        <f t="shared" si="39"/>
        <v>3.75</v>
      </c>
      <c r="O24" s="151">
        <f t="shared" si="40"/>
        <v>3.75</v>
      </c>
      <c r="P24" s="151">
        <f t="shared" si="40"/>
        <v>3.75</v>
      </c>
      <c r="Q24" s="151">
        <f t="shared" si="40"/>
        <v>3.75</v>
      </c>
      <c r="R24" s="151">
        <f t="shared" si="40"/>
        <v>3.75</v>
      </c>
      <c r="S24" s="151">
        <f t="shared" si="40"/>
        <v>3.75</v>
      </c>
      <c r="T24" s="151">
        <f t="shared" si="40"/>
        <v>3.75</v>
      </c>
      <c r="U24" s="151">
        <f t="shared" si="40"/>
        <v>3.75</v>
      </c>
      <c r="V24" s="151">
        <f t="shared" si="40"/>
        <v>3.75</v>
      </c>
      <c r="W24" s="151">
        <f t="shared" si="40"/>
        <v>3.75</v>
      </c>
      <c r="X24" s="151">
        <f t="shared" si="40"/>
        <v>3.75</v>
      </c>
      <c r="Y24" s="151">
        <f t="shared" si="40"/>
        <v>3.75</v>
      </c>
      <c r="Z24" s="151">
        <f t="shared" si="44"/>
        <v>3.75</v>
      </c>
      <c r="AA24" s="151">
        <f t="shared" si="44"/>
        <v>3.75</v>
      </c>
      <c r="AB24" s="151">
        <f t="shared" si="44"/>
        <v>3.75</v>
      </c>
      <c r="AC24" s="151">
        <f t="shared" si="44"/>
        <v>3.75</v>
      </c>
      <c r="AD24" s="151">
        <f t="shared" si="44"/>
        <v>3.75</v>
      </c>
      <c r="AE24" s="151">
        <f t="shared" si="33"/>
        <v>3.75</v>
      </c>
      <c r="AF24" s="151">
        <f t="shared" si="34"/>
        <v>3.75</v>
      </c>
      <c r="AG24" s="151">
        <f t="shared" si="35"/>
        <v>3.75</v>
      </c>
      <c r="AH24" s="151">
        <f t="shared" si="36"/>
        <v>3.75</v>
      </c>
      <c r="AI24" s="151">
        <f t="shared" si="37"/>
        <v>3.75</v>
      </c>
      <c r="AJ24" s="151">
        <f t="shared" si="38"/>
        <v>3.75</v>
      </c>
    </row>
    <row r="25" spans="1:36" outlineLevel="1">
      <c r="A25" t="s">
        <v>396</v>
      </c>
      <c r="B25" s="149">
        <v>20</v>
      </c>
      <c r="C25" s="117"/>
      <c r="G25" s="149"/>
      <c r="H25" s="149"/>
      <c r="I25" s="149"/>
      <c r="J25" s="149"/>
      <c r="K25" s="149"/>
      <c r="L25" s="149"/>
      <c r="M25" s="149"/>
      <c r="N25" s="149">
        <f t="shared" si="39"/>
        <v>20</v>
      </c>
      <c r="O25" s="122">
        <f t="shared" si="40"/>
        <v>20</v>
      </c>
      <c r="P25" s="149">
        <f t="shared" si="40"/>
        <v>20</v>
      </c>
      <c r="Q25" s="149">
        <f t="shared" si="40"/>
        <v>20</v>
      </c>
      <c r="R25" s="149">
        <f t="shared" si="40"/>
        <v>20</v>
      </c>
      <c r="S25" s="149">
        <f t="shared" si="40"/>
        <v>20</v>
      </c>
      <c r="T25" s="149">
        <f t="shared" si="40"/>
        <v>20</v>
      </c>
      <c r="U25" s="149">
        <f t="shared" si="40"/>
        <v>20</v>
      </c>
      <c r="V25" s="149">
        <f t="shared" si="40"/>
        <v>20</v>
      </c>
      <c r="W25" s="149">
        <f t="shared" si="40"/>
        <v>20</v>
      </c>
      <c r="X25" s="149">
        <f t="shared" si="40"/>
        <v>20</v>
      </c>
      <c r="Y25" s="149">
        <f t="shared" si="40"/>
        <v>20</v>
      </c>
      <c r="Z25" s="149">
        <f t="shared" ref="Z25:AD25" si="45">Y25</f>
        <v>20</v>
      </c>
      <c r="AA25" s="149">
        <f t="shared" si="45"/>
        <v>20</v>
      </c>
      <c r="AB25" s="149">
        <f t="shared" si="45"/>
        <v>20</v>
      </c>
      <c r="AC25" s="149">
        <f t="shared" si="45"/>
        <v>20</v>
      </c>
      <c r="AD25" s="149">
        <f t="shared" si="45"/>
        <v>20</v>
      </c>
      <c r="AE25" s="149">
        <f t="shared" si="33"/>
        <v>20</v>
      </c>
      <c r="AF25" s="149">
        <f t="shared" si="34"/>
        <v>20</v>
      </c>
      <c r="AG25" s="149">
        <f t="shared" si="35"/>
        <v>20</v>
      </c>
      <c r="AH25" s="149">
        <f t="shared" si="36"/>
        <v>20</v>
      </c>
      <c r="AI25" s="149">
        <f t="shared" si="37"/>
        <v>20</v>
      </c>
      <c r="AJ25" s="149">
        <f t="shared" si="38"/>
        <v>20</v>
      </c>
    </row>
    <row r="26" spans="1:36" outlineLevel="1">
      <c r="A26" t="s">
        <v>397</v>
      </c>
      <c r="B26" s="148">
        <v>15</v>
      </c>
      <c r="G26" s="148"/>
      <c r="H26" s="148"/>
      <c r="I26" s="148"/>
      <c r="J26" s="148"/>
      <c r="K26" s="148"/>
      <c r="L26" s="148"/>
      <c r="M26" s="148"/>
      <c r="N26" s="148">
        <f t="shared" si="39"/>
        <v>15</v>
      </c>
      <c r="O26" s="122">
        <f t="shared" si="40"/>
        <v>15</v>
      </c>
      <c r="P26" s="148">
        <f t="shared" si="40"/>
        <v>15</v>
      </c>
      <c r="Q26" s="148">
        <f t="shared" si="40"/>
        <v>15</v>
      </c>
      <c r="R26" s="148">
        <f t="shared" si="40"/>
        <v>15</v>
      </c>
      <c r="S26" s="148">
        <f t="shared" si="40"/>
        <v>15</v>
      </c>
      <c r="T26" s="148">
        <f t="shared" si="40"/>
        <v>15</v>
      </c>
      <c r="U26" s="148">
        <f t="shared" si="40"/>
        <v>15</v>
      </c>
      <c r="V26" s="148">
        <f t="shared" si="40"/>
        <v>15</v>
      </c>
      <c r="W26" s="148">
        <f t="shared" si="40"/>
        <v>15</v>
      </c>
      <c r="X26" s="148">
        <f t="shared" si="40"/>
        <v>15</v>
      </c>
      <c r="Y26" s="148">
        <f t="shared" si="40"/>
        <v>15</v>
      </c>
      <c r="Z26" s="148">
        <f t="shared" ref="Z26:AD26" si="46">Y26</f>
        <v>15</v>
      </c>
      <c r="AA26" s="148">
        <f t="shared" si="46"/>
        <v>15</v>
      </c>
      <c r="AB26" s="148">
        <f t="shared" si="46"/>
        <v>15</v>
      </c>
      <c r="AC26" s="148">
        <f t="shared" si="46"/>
        <v>15</v>
      </c>
      <c r="AD26" s="148">
        <f t="shared" si="46"/>
        <v>15</v>
      </c>
      <c r="AE26" s="148">
        <f t="shared" si="33"/>
        <v>15</v>
      </c>
      <c r="AF26" s="148">
        <f t="shared" si="34"/>
        <v>15</v>
      </c>
      <c r="AG26" s="148">
        <f t="shared" si="35"/>
        <v>15</v>
      </c>
      <c r="AH26" s="148">
        <f t="shared" si="36"/>
        <v>15</v>
      </c>
      <c r="AI26" s="148">
        <f t="shared" si="37"/>
        <v>15</v>
      </c>
      <c r="AJ26" s="148">
        <f t="shared" si="38"/>
        <v>15</v>
      </c>
    </row>
    <row r="27" spans="1:36" outlineLevel="1">
      <c r="A27" t="s">
        <v>398</v>
      </c>
      <c r="B27" s="148">
        <v>15</v>
      </c>
      <c r="G27" s="148"/>
      <c r="H27" s="148"/>
      <c r="I27" s="148"/>
      <c r="J27" s="148"/>
      <c r="K27" s="148"/>
      <c r="L27" s="148"/>
      <c r="M27" s="148"/>
      <c r="N27" s="148">
        <f>B27</f>
        <v>15</v>
      </c>
      <c r="O27" s="122">
        <f t="shared" ref="O27:AD27" si="47">N27</f>
        <v>15</v>
      </c>
      <c r="P27" s="148">
        <f t="shared" si="47"/>
        <v>15</v>
      </c>
      <c r="Q27" s="148">
        <f t="shared" si="47"/>
        <v>15</v>
      </c>
      <c r="R27" s="148">
        <f t="shared" si="47"/>
        <v>15</v>
      </c>
      <c r="S27" s="148">
        <f t="shared" si="47"/>
        <v>15</v>
      </c>
      <c r="T27" s="148">
        <f t="shared" si="47"/>
        <v>15</v>
      </c>
      <c r="U27" s="148">
        <f t="shared" si="47"/>
        <v>15</v>
      </c>
      <c r="V27" s="148">
        <f t="shared" si="47"/>
        <v>15</v>
      </c>
      <c r="W27" s="148">
        <f t="shared" si="47"/>
        <v>15</v>
      </c>
      <c r="X27" s="148">
        <f t="shared" si="47"/>
        <v>15</v>
      </c>
      <c r="Y27" s="148">
        <f t="shared" si="47"/>
        <v>15</v>
      </c>
      <c r="Z27" s="148">
        <f t="shared" si="47"/>
        <v>15</v>
      </c>
      <c r="AA27" s="148">
        <f t="shared" si="47"/>
        <v>15</v>
      </c>
      <c r="AB27" s="148">
        <f t="shared" si="47"/>
        <v>15</v>
      </c>
      <c r="AC27" s="148">
        <f t="shared" si="47"/>
        <v>15</v>
      </c>
      <c r="AD27" s="148">
        <f t="shared" si="47"/>
        <v>15</v>
      </c>
      <c r="AE27" s="148">
        <f t="shared" si="33"/>
        <v>15</v>
      </c>
      <c r="AF27" s="148">
        <f t="shared" si="34"/>
        <v>15</v>
      </c>
      <c r="AG27" s="148">
        <f t="shared" si="35"/>
        <v>15</v>
      </c>
      <c r="AH27" s="148">
        <f t="shared" si="36"/>
        <v>15</v>
      </c>
      <c r="AI27" s="148">
        <f t="shared" si="37"/>
        <v>15</v>
      </c>
      <c r="AJ27" s="148">
        <f t="shared" si="38"/>
        <v>15</v>
      </c>
    </row>
    <row r="28" spans="1:36">
      <c r="G28" s="94" t="s">
        <v>53</v>
      </c>
      <c r="H28" s="94" t="s">
        <v>54</v>
      </c>
      <c r="I28" s="94" t="s">
        <v>55</v>
      </c>
      <c r="J28" s="94" t="s">
        <v>56</v>
      </c>
      <c r="K28" s="121">
        <v>2017</v>
      </c>
      <c r="L28" s="94" t="s">
        <v>57</v>
      </c>
      <c r="M28" s="94" t="s">
        <v>58</v>
      </c>
      <c r="N28" s="94" t="s">
        <v>59</v>
      </c>
      <c r="O28" s="94" t="s">
        <v>60</v>
      </c>
      <c r="P28" s="121" t="s">
        <v>399</v>
      </c>
      <c r="Q28" s="94" t="s">
        <v>61</v>
      </c>
      <c r="R28" s="94" t="s">
        <v>62</v>
      </c>
      <c r="S28" s="94" t="s">
        <v>63</v>
      </c>
      <c r="T28" s="94" t="s">
        <v>64</v>
      </c>
      <c r="U28" s="121" t="s">
        <v>400</v>
      </c>
      <c r="V28" s="94" t="s">
        <v>65</v>
      </c>
      <c r="W28" s="94" t="s">
        <v>66</v>
      </c>
      <c r="X28" s="94" t="s">
        <v>67</v>
      </c>
      <c r="Y28" s="94" t="s">
        <v>68</v>
      </c>
      <c r="Z28" s="121" t="s">
        <v>401</v>
      </c>
      <c r="AA28" s="94" t="s">
        <v>69</v>
      </c>
      <c r="AB28" s="94" t="s">
        <v>70</v>
      </c>
      <c r="AC28" s="94" t="s">
        <v>71</v>
      </c>
      <c r="AD28" s="94" t="s">
        <v>72</v>
      </c>
      <c r="AE28" s="121" t="s">
        <v>402</v>
      </c>
      <c r="AF28" s="94" t="s">
        <v>73</v>
      </c>
      <c r="AG28" s="94" t="s">
        <v>74</v>
      </c>
      <c r="AH28" s="94" t="s">
        <v>75</v>
      </c>
      <c r="AI28" s="94" t="s">
        <v>76</v>
      </c>
      <c r="AJ28" s="121" t="s">
        <v>402</v>
      </c>
    </row>
    <row r="29" spans="1:36"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</row>
    <row r="30" spans="1:36">
      <c r="C30" s="125" t="s">
        <v>403</v>
      </c>
      <c r="E30" s="125"/>
      <c r="R30" s="118"/>
    </row>
    <row r="31" spans="1:36" outlineLevel="1">
      <c r="D31" s="125"/>
      <c r="E31" s="125"/>
      <c r="F31" t="s">
        <v>376</v>
      </c>
      <c r="G31" s="135">
        <f t="shared" ref="G31:J34" si="48">G6*G$3</f>
        <v>0</v>
      </c>
      <c r="H31" s="135">
        <f t="shared" si="48"/>
        <v>0</v>
      </c>
      <c r="I31" s="135">
        <f t="shared" si="48"/>
        <v>0</v>
      </c>
      <c r="J31" s="135">
        <f t="shared" si="48"/>
        <v>0</v>
      </c>
      <c r="K31" s="135">
        <f t="shared" ref="K31:K41" si="49">SUM(G31:J31)</f>
        <v>0</v>
      </c>
      <c r="L31" s="135">
        <f t="shared" ref="L31:O34" si="50">L6*L$3</f>
        <v>0</v>
      </c>
      <c r="M31" s="135">
        <f t="shared" si="50"/>
        <v>0</v>
      </c>
      <c r="N31" s="135">
        <f t="shared" si="50"/>
        <v>225</v>
      </c>
      <c r="O31" s="135">
        <f t="shared" si="50"/>
        <v>225</v>
      </c>
      <c r="P31" s="135">
        <f>SUM(L31:O31)</f>
        <v>450</v>
      </c>
      <c r="Q31" s="135">
        <f t="shared" ref="Q31:T34" si="51">Q6*Q$3</f>
        <v>120</v>
      </c>
      <c r="R31" s="135">
        <f t="shared" si="51"/>
        <v>120</v>
      </c>
      <c r="S31" s="135">
        <f t="shared" si="51"/>
        <v>120</v>
      </c>
      <c r="T31" s="135">
        <f t="shared" si="51"/>
        <v>120</v>
      </c>
      <c r="U31" s="135">
        <f t="shared" ref="U31:U41" si="52">SUM(Q31:T31)</f>
        <v>480</v>
      </c>
      <c r="V31" s="135">
        <f t="shared" ref="V31:Y34" si="53">V6*V$3</f>
        <v>60</v>
      </c>
      <c r="W31" s="135">
        <f t="shared" si="53"/>
        <v>60</v>
      </c>
      <c r="X31" s="135">
        <f t="shared" si="53"/>
        <v>60</v>
      </c>
      <c r="Y31" s="135">
        <f t="shared" si="53"/>
        <v>60</v>
      </c>
      <c r="Z31" s="135">
        <f t="shared" ref="Z31:Z41" si="54">SUM(V31:Y31)</f>
        <v>240</v>
      </c>
      <c r="AA31" s="135">
        <f t="shared" ref="AA31:AD34" si="55">AA6*AA$3</f>
        <v>20</v>
      </c>
      <c r="AB31" s="135">
        <f t="shared" si="55"/>
        <v>20</v>
      </c>
      <c r="AC31" s="135">
        <f t="shared" si="55"/>
        <v>20</v>
      </c>
      <c r="AD31" s="135">
        <f t="shared" si="55"/>
        <v>20</v>
      </c>
      <c r="AE31" s="135">
        <f t="shared" ref="AE31:AE47" si="56">SUM(AA31:AD31)</f>
        <v>80</v>
      </c>
      <c r="AF31" s="135">
        <f t="shared" ref="AF31:AI31" si="57">AF6*AF$3</f>
        <v>20</v>
      </c>
      <c r="AG31" s="135">
        <f t="shared" si="57"/>
        <v>20</v>
      </c>
      <c r="AH31" s="135">
        <f t="shared" si="57"/>
        <v>20</v>
      </c>
      <c r="AI31" s="135">
        <f t="shared" si="57"/>
        <v>20</v>
      </c>
      <c r="AJ31" s="135">
        <f t="shared" ref="AJ31:AJ47" si="58">SUM(AF31:AI31)</f>
        <v>80</v>
      </c>
    </row>
    <row r="32" spans="1:36" outlineLevel="1">
      <c r="D32" s="125"/>
      <c r="E32" s="125"/>
      <c r="F32" t="s">
        <v>377</v>
      </c>
      <c r="G32" s="135">
        <f t="shared" si="48"/>
        <v>0</v>
      </c>
      <c r="H32" s="135">
        <f t="shared" si="48"/>
        <v>0</v>
      </c>
      <c r="I32" s="135">
        <f t="shared" si="48"/>
        <v>0</v>
      </c>
      <c r="J32" s="135">
        <f t="shared" si="48"/>
        <v>0</v>
      </c>
      <c r="K32" s="135">
        <f t="shared" si="49"/>
        <v>0</v>
      </c>
      <c r="L32" s="135">
        <f t="shared" si="50"/>
        <v>0</v>
      </c>
      <c r="M32" s="135">
        <f t="shared" si="50"/>
        <v>0</v>
      </c>
      <c r="N32" s="135">
        <f t="shared" si="50"/>
        <v>300</v>
      </c>
      <c r="O32" s="135">
        <f t="shared" si="50"/>
        <v>300</v>
      </c>
      <c r="P32" s="135">
        <f t="shared" ref="P32:P41" si="59">SUM(L32:O32)</f>
        <v>600</v>
      </c>
      <c r="Q32" s="135">
        <f t="shared" si="51"/>
        <v>160</v>
      </c>
      <c r="R32" s="135">
        <f t="shared" si="51"/>
        <v>160</v>
      </c>
      <c r="S32" s="135">
        <f t="shared" si="51"/>
        <v>160</v>
      </c>
      <c r="T32" s="135">
        <f t="shared" si="51"/>
        <v>160</v>
      </c>
      <c r="U32" s="135">
        <f t="shared" si="52"/>
        <v>640</v>
      </c>
      <c r="V32" s="135">
        <f t="shared" si="53"/>
        <v>120</v>
      </c>
      <c r="W32" s="135">
        <f t="shared" si="53"/>
        <v>120</v>
      </c>
      <c r="X32" s="135">
        <f t="shared" si="53"/>
        <v>120</v>
      </c>
      <c r="Y32" s="135">
        <f t="shared" si="53"/>
        <v>120</v>
      </c>
      <c r="Z32" s="135">
        <f t="shared" si="54"/>
        <v>480</v>
      </c>
      <c r="AA32" s="135">
        <f t="shared" si="55"/>
        <v>60</v>
      </c>
      <c r="AB32" s="135">
        <f t="shared" si="55"/>
        <v>60</v>
      </c>
      <c r="AC32" s="135">
        <f t="shared" si="55"/>
        <v>60</v>
      </c>
      <c r="AD32" s="135">
        <f t="shared" si="55"/>
        <v>60</v>
      </c>
      <c r="AE32" s="135">
        <f t="shared" si="56"/>
        <v>240</v>
      </c>
      <c r="AF32" s="135">
        <f t="shared" ref="AF32:AI32" si="60">AF7*AF$3</f>
        <v>60</v>
      </c>
      <c r="AG32" s="135">
        <f t="shared" si="60"/>
        <v>60</v>
      </c>
      <c r="AH32" s="135">
        <f t="shared" si="60"/>
        <v>60</v>
      </c>
      <c r="AI32" s="135">
        <f t="shared" si="60"/>
        <v>60</v>
      </c>
      <c r="AJ32" s="135">
        <f t="shared" si="58"/>
        <v>240</v>
      </c>
    </row>
    <row r="33" spans="1:36" outlineLevel="1">
      <c r="D33" s="125"/>
      <c r="E33" s="125"/>
      <c r="F33" t="s">
        <v>404</v>
      </c>
      <c r="G33" s="135">
        <f t="shared" si="48"/>
        <v>0</v>
      </c>
      <c r="H33" s="135">
        <f t="shared" si="48"/>
        <v>0</v>
      </c>
      <c r="I33" s="135">
        <f t="shared" si="48"/>
        <v>0</v>
      </c>
      <c r="J33" s="135">
        <f t="shared" si="48"/>
        <v>0</v>
      </c>
      <c r="K33" s="135">
        <f t="shared" si="49"/>
        <v>0</v>
      </c>
      <c r="L33" s="135">
        <f t="shared" si="50"/>
        <v>0</v>
      </c>
      <c r="M33" s="135">
        <f t="shared" si="50"/>
        <v>0</v>
      </c>
      <c r="N33" s="135">
        <f t="shared" si="50"/>
        <v>225</v>
      </c>
      <c r="O33" s="135">
        <f t="shared" si="50"/>
        <v>225</v>
      </c>
      <c r="P33" s="135">
        <f t="shared" si="59"/>
        <v>450</v>
      </c>
      <c r="Q33" s="135">
        <f t="shared" si="51"/>
        <v>120</v>
      </c>
      <c r="R33" s="135">
        <f t="shared" si="51"/>
        <v>120</v>
      </c>
      <c r="S33" s="135">
        <f t="shared" si="51"/>
        <v>120</v>
      </c>
      <c r="T33" s="135">
        <f t="shared" si="51"/>
        <v>120</v>
      </c>
      <c r="U33" s="135">
        <f t="shared" si="52"/>
        <v>480</v>
      </c>
      <c r="V33" s="135">
        <f t="shared" si="53"/>
        <v>20</v>
      </c>
      <c r="W33" s="135">
        <f t="shared" si="53"/>
        <v>20</v>
      </c>
      <c r="X33" s="135">
        <f t="shared" si="53"/>
        <v>20</v>
      </c>
      <c r="Y33" s="135">
        <f t="shared" si="53"/>
        <v>20</v>
      </c>
      <c r="Z33" s="135">
        <f t="shared" si="54"/>
        <v>80</v>
      </c>
      <c r="AA33" s="135">
        <f t="shared" si="55"/>
        <v>20</v>
      </c>
      <c r="AB33" s="135">
        <f t="shared" si="55"/>
        <v>20</v>
      </c>
      <c r="AC33" s="135">
        <f t="shared" si="55"/>
        <v>20</v>
      </c>
      <c r="AD33" s="135">
        <f t="shared" si="55"/>
        <v>20</v>
      </c>
      <c r="AE33" s="135">
        <f t="shared" si="56"/>
        <v>80</v>
      </c>
      <c r="AF33" s="135">
        <f t="shared" ref="AF33:AI33" si="61">AF8*AF$3</f>
        <v>20</v>
      </c>
      <c r="AG33" s="135">
        <f t="shared" si="61"/>
        <v>20</v>
      </c>
      <c r="AH33" s="135">
        <f t="shared" si="61"/>
        <v>20</v>
      </c>
      <c r="AI33" s="135">
        <f t="shared" si="61"/>
        <v>20</v>
      </c>
      <c r="AJ33" s="135">
        <f t="shared" si="58"/>
        <v>80</v>
      </c>
    </row>
    <row r="34" spans="1:36" outlineLevel="1">
      <c r="D34" s="125"/>
      <c r="E34" s="125"/>
      <c r="F34" t="s">
        <v>379</v>
      </c>
      <c r="G34" s="135">
        <f t="shared" si="48"/>
        <v>0</v>
      </c>
      <c r="H34" s="135">
        <f t="shared" si="48"/>
        <v>0</v>
      </c>
      <c r="I34" s="135">
        <f t="shared" si="48"/>
        <v>0</v>
      </c>
      <c r="J34" s="135">
        <f t="shared" si="48"/>
        <v>0</v>
      </c>
      <c r="K34" s="135">
        <f t="shared" si="49"/>
        <v>0</v>
      </c>
      <c r="L34" s="135">
        <f t="shared" si="50"/>
        <v>0</v>
      </c>
      <c r="M34" s="135">
        <f t="shared" si="50"/>
        <v>0</v>
      </c>
      <c r="N34" s="135">
        <f t="shared" si="50"/>
        <v>0</v>
      </c>
      <c r="O34" s="135">
        <f t="shared" si="50"/>
        <v>0</v>
      </c>
      <c r="P34" s="135">
        <f t="shared" si="59"/>
        <v>0</v>
      </c>
      <c r="Q34" s="135">
        <f t="shared" si="51"/>
        <v>0</v>
      </c>
      <c r="R34" s="135">
        <f t="shared" si="51"/>
        <v>0</v>
      </c>
      <c r="S34" s="135">
        <f t="shared" si="51"/>
        <v>0</v>
      </c>
      <c r="T34" s="135">
        <f t="shared" si="51"/>
        <v>0</v>
      </c>
      <c r="U34" s="135">
        <f t="shared" si="52"/>
        <v>0</v>
      </c>
      <c r="V34" s="135">
        <f t="shared" si="53"/>
        <v>200</v>
      </c>
      <c r="W34" s="135">
        <f t="shared" si="53"/>
        <v>200</v>
      </c>
      <c r="X34" s="135">
        <f t="shared" si="53"/>
        <v>200</v>
      </c>
      <c r="Y34" s="135">
        <f t="shared" si="53"/>
        <v>200</v>
      </c>
      <c r="Z34" s="135">
        <f t="shared" si="54"/>
        <v>800</v>
      </c>
      <c r="AA34" s="135">
        <f t="shared" si="55"/>
        <v>300</v>
      </c>
      <c r="AB34" s="135">
        <f t="shared" si="55"/>
        <v>300</v>
      </c>
      <c r="AC34" s="135">
        <f t="shared" si="55"/>
        <v>300</v>
      </c>
      <c r="AD34" s="135">
        <f t="shared" si="55"/>
        <v>300</v>
      </c>
      <c r="AE34" s="135">
        <f t="shared" si="56"/>
        <v>1200</v>
      </c>
      <c r="AF34" s="135">
        <f t="shared" ref="AF34:AI34" si="62">AF9*AF$3</f>
        <v>300</v>
      </c>
      <c r="AG34" s="135">
        <f t="shared" si="62"/>
        <v>300</v>
      </c>
      <c r="AH34" s="135">
        <f t="shared" si="62"/>
        <v>300</v>
      </c>
      <c r="AI34" s="135">
        <f t="shared" si="62"/>
        <v>300</v>
      </c>
      <c r="AJ34" s="135">
        <f t="shared" si="58"/>
        <v>1200</v>
      </c>
    </row>
    <row r="35" spans="1:36">
      <c r="D35" s="125" t="s">
        <v>405</v>
      </c>
      <c r="F35" s="125"/>
      <c r="G35" s="136">
        <f>SUM(G31:G34)</f>
        <v>0</v>
      </c>
      <c r="H35" s="136">
        <f>SUM(H31:H34)</f>
        <v>0</v>
      </c>
      <c r="I35" s="136">
        <f>SUM(I31:I34)</f>
        <v>0</v>
      </c>
      <c r="J35" s="136">
        <f>SUM(J31:J34)</f>
        <v>0</v>
      </c>
      <c r="K35" s="136">
        <f t="shared" si="49"/>
        <v>0</v>
      </c>
      <c r="L35" s="136">
        <f>SUM(L31:L34)</f>
        <v>0</v>
      </c>
      <c r="M35" s="136">
        <f>SUM(M31:M34)</f>
        <v>0</v>
      </c>
      <c r="N35" s="136">
        <f>SUM(N31:N34)</f>
        <v>750</v>
      </c>
      <c r="O35" s="136">
        <f>SUM(O31:O34)</f>
        <v>750</v>
      </c>
      <c r="P35" s="136">
        <f t="shared" si="59"/>
        <v>1500</v>
      </c>
      <c r="Q35" s="136">
        <f>SUM(Q31:Q34)</f>
        <v>400</v>
      </c>
      <c r="R35" s="136">
        <f>SUM(R31:R34)</f>
        <v>400</v>
      </c>
      <c r="S35" s="136">
        <f>SUM(S31:S34)</f>
        <v>400</v>
      </c>
      <c r="T35" s="136">
        <f>SUM(T31:T34)</f>
        <v>400</v>
      </c>
      <c r="U35" s="136">
        <f t="shared" si="52"/>
        <v>1600</v>
      </c>
      <c r="V35" s="136">
        <f>SUM(V31:V34)</f>
        <v>400</v>
      </c>
      <c r="W35" s="136">
        <f>SUM(W31:W34)</f>
        <v>400</v>
      </c>
      <c r="X35" s="136">
        <f>SUM(X31:X34)</f>
        <v>400</v>
      </c>
      <c r="Y35" s="136">
        <f>SUM(Y31:Y34)</f>
        <v>400</v>
      </c>
      <c r="Z35" s="136">
        <f t="shared" si="54"/>
        <v>1600</v>
      </c>
      <c r="AA35" s="136">
        <f>SUM(AA31:AA34)</f>
        <v>400</v>
      </c>
      <c r="AB35" s="136">
        <f>SUM(AB31:AB34)</f>
        <v>400</v>
      </c>
      <c r="AC35" s="136">
        <f>SUM(AC31:AC34)</f>
        <v>400</v>
      </c>
      <c r="AD35" s="136">
        <f>SUM(AD31:AD34)</f>
        <v>400</v>
      </c>
      <c r="AE35" s="136">
        <f t="shared" si="56"/>
        <v>1600</v>
      </c>
      <c r="AF35" s="136">
        <f t="shared" ref="AF35:AI35" si="63">SUM(AF31:AF34)</f>
        <v>400</v>
      </c>
      <c r="AG35" s="136">
        <f t="shared" si="63"/>
        <v>400</v>
      </c>
      <c r="AH35" s="136">
        <f t="shared" si="63"/>
        <v>400</v>
      </c>
      <c r="AI35" s="136">
        <f t="shared" si="63"/>
        <v>400</v>
      </c>
      <c r="AJ35" s="136">
        <f t="shared" si="58"/>
        <v>1600</v>
      </c>
    </row>
    <row r="36" spans="1:36" outlineLevel="1">
      <c r="D36" s="125"/>
      <c r="F36" t="s">
        <v>376</v>
      </c>
      <c r="G36" s="137">
        <f>(G31*G10*(1-G14))</f>
        <v>0</v>
      </c>
      <c r="H36" s="137">
        <f>(H31*H10*(1-H14))</f>
        <v>0</v>
      </c>
      <c r="I36" s="137">
        <f>(I31*I10*(1-I14))</f>
        <v>0</v>
      </c>
      <c r="J36" s="137">
        <f>(J31*J10*(1-J14))</f>
        <v>0</v>
      </c>
      <c r="K36" s="18">
        <f t="shared" si="49"/>
        <v>0</v>
      </c>
      <c r="L36" s="137">
        <f>(L31*L10*(1-L14))</f>
        <v>0</v>
      </c>
      <c r="M36" s="137">
        <f>(M31*M10*(1-M14))</f>
        <v>0</v>
      </c>
      <c r="N36" s="18">
        <f>(N31*N10*(1-N14))</f>
        <v>11250</v>
      </c>
      <c r="O36" s="18">
        <f>(O31*O10*(1-O14))</f>
        <v>11250</v>
      </c>
      <c r="P36" s="18">
        <f t="shared" si="59"/>
        <v>22500</v>
      </c>
      <c r="Q36" s="137">
        <f>(Q31*Q10*(1-Q14))</f>
        <v>6000</v>
      </c>
      <c r="R36" s="137">
        <f>(R31*R10*(1-R14))</f>
        <v>6000</v>
      </c>
      <c r="S36" s="137">
        <f>(S31*S10*(1-S14))</f>
        <v>6000</v>
      </c>
      <c r="T36" s="137">
        <f>(T31*T10*(1-T14))</f>
        <v>6000</v>
      </c>
      <c r="U36" s="18">
        <f t="shared" si="52"/>
        <v>24000</v>
      </c>
      <c r="V36" s="137">
        <f>(V31*V10*(1-V14))</f>
        <v>3000</v>
      </c>
      <c r="W36" s="137">
        <f>(W31*W10*(1-W14))</f>
        <v>3000</v>
      </c>
      <c r="X36" s="137">
        <f>(X31*X10*(1-X14))</f>
        <v>3000</v>
      </c>
      <c r="Y36" s="137">
        <f>(Y31*Y10*(1-Y14))</f>
        <v>3000</v>
      </c>
      <c r="Z36" s="18">
        <f t="shared" si="54"/>
        <v>12000</v>
      </c>
      <c r="AA36" s="137">
        <f>(AA31*AA10*(1-AA14))</f>
        <v>1000</v>
      </c>
      <c r="AB36" s="137">
        <f>(AB31*AB10*(1-AB14))</f>
        <v>1000</v>
      </c>
      <c r="AC36" s="137">
        <f>(AC31*AC10*(1-AC14))</f>
        <v>1000</v>
      </c>
      <c r="AD36" s="137">
        <f>(AD31*AD10*(1-AD14))</f>
        <v>1000</v>
      </c>
      <c r="AE36" s="18">
        <f t="shared" si="56"/>
        <v>4000</v>
      </c>
      <c r="AF36" s="137">
        <f t="shared" ref="AF36:AI36" si="64">(AF31*AF10*(1-AF14))</f>
        <v>1000</v>
      </c>
      <c r="AG36" s="137">
        <f t="shared" si="64"/>
        <v>1000</v>
      </c>
      <c r="AH36" s="137">
        <f t="shared" si="64"/>
        <v>1000</v>
      </c>
      <c r="AI36" s="137">
        <f t="shared" si="64"/>
        <v>1000</v>
      </c>
      <c r="AJ36" s="18">
        <f t="shared" si="58"/>
        <v>4000</v>
      </c>
    </row>
    <row r="37" spans="1:36" outlineLevel="1">
      <c r="D37" s="125"/>
      <c r="F37" t="s">
        <v>377</v>
      </c>
      <c r="G37" s="18">
        <f>G32*G13</f>
        <v>0</v>
      </c>
      <c r="H37" s="18">
        <f>H32*H13</f>
        <v>0</v>
      </c>
      <c r="I37" s="18">
        <f>I32*I13</f>
        <v>0</v>
      </c>
      <c r="J37" s="18">
        <f>J32*J13</f>
        <v>0</v>
      </c>
      <c r="K37" s="18">
        <f t="shared" si="49"/>
        <v>0</v>
      </c>
      <c r="L37" s="18">
        <f>L32*L13</f>
        <v>0</v>
      </c>
      <c r="M37" s="18">
        <f>M32*M13</f>
        <v>0</v>
      </c>
      <c r="N37" s="18">
        <f>N32*N13</f>
        <v>3000</v>
      </c>
      <c r="O37" s="18">
        <f>O32*O13</f>
        <v>3000</v>
      </c>
      <c r="P37" s="18">
        <f t="shared" si="59"/>
        <v>6000</v>
      </c>
      <c r="Q37" s="18">
        <f>Q32*Q13</f>
        <v>1600</v>
      </c>
      <c r="R37" s="18">
        <f>R32*R13</f>
        <v>1600</v>
      </c>
      <c r="S37" s="18">
        <f>S32*S13</f>
        <v>1600</v>
      </c>
      <c r="T37" s="18">
        <f>T32*T13</f>
        <v>1600</v>
      </c>
      <c r="U37" s="18">
        <f t="shared" si="52"/>
        <v>6400</v>
      </c>
      <c r="V37" s="18">
        <f>V32*V13</f>
        <v>1200</v>
      </c>
      <c r="W37" s="18">
        <f>W32*W13</f>
        <v>1200</v>
      </c>
      <c r="X37" s="18">
        <f>X32*X13</f>
        <v>1200</v>
      </c>
      <c r="Y37" s="18">
        <f>Y32*Y13</f>
        <v>1200</v>
      </c>
      <c r="Z37" s="18">
        <f t="shared" si="54"/>
        <v>4800</v>
      </c>
      <c r="AA37" s="18">
        <f>AA32*AA13</f>
        <v>600</v>
      </c>
      <c r="AB37" s="18">
        <f>AB32*AB13</f>
        <v>600</v>
      </c>
      <c r="AC37" s="18">
        <f>AC32*AC13</f>
        <v>600</v>
      </c>
      <c r="AD37" s="18">
        <f>AD32*AD13</f>
        <v>600</v>
      </c>
      <c r="AE37" s="18">
        <f t="shared" si="56"/>
        <v>2400</v>
      </c>
      <c r="AF37" s="18">
        <f t="shared" ref="AF37:AI37" si="65">AF32*AF13</f>
        <v>600</v>
      </c>
      <c r="AG37" s="18">
        <f t="shared" si="65"/>
        <v>600</v>
      </c>
      <c r="AH37" s="18">
        <f t="shared" si="65"/>
        <v>600</v>
      </c>
      <c r="AI37" s="18">
        <f t="shared" si="65"/>
        <v>600</v>
      </c>
      <c r="AJ37" s="18">
        <f t="shared" si="58"/>
        <v>2400</v>
      </c>
    </row>
    <row r="38" spans="1:36" outlineLevel="1">
      <c r="D38" s="125"/>
      <c r="F38" t="s">
        <v>404</v>
      </c>
      <c r="G38" s="18">
        <f>G33*G10</f>
        <v>0</v>
      </c>
      <c r="H38" s="18">
        <f>H33*H10</f>
        <v>0</v>
      </c>
      <c r="I38" s="18">
        <f>I33*I10</f>
        <v>0</v>
      </c>
      <c r="J38" s="18">
        <f>J33*J10</f>
        <v>0</v>
      </c>
      <c r="K38" s="18">
        <f t="shared" si="49"/>
        <v>0</v>
      </c>
      <c r="L38" s="18">
        <f>L33*L10</f>
        <v>0</v>
      </c>
      <c r="M38" s="18">
        <f>M33*M10</f>
        <v>0</v>
      </c>
      <c r="N38" s="18">
        <f>N33*N10</f>
        <v>22500</v>
      </c>
      <c r="O38" s="18">
        <f>O33*O10</f>
        <v>22500</v>
      </c>
      <c r="P38" s="18">
        <f t="shared" si="59"/>
        <v>45000</v>
      </c>
      <c r="Q38" s="18">
        <f>Q33*Q10</f>
        <v>12000</v>
      </c>
      <c r="R38" s="18">
        <f>R33*R10</f>
        <v>12000</v>
      </c>
      <c r="S38" s="18">
        <f>S33*S10</f>
        <v>12000</v>
      </c>
      <c r="T38" s="18">
        <f>T33*T10</f>
        <v>12000</v>
      </c>
      <c r="U38" s="18">
        <f t="shared" si="52"/>
        <v>48000</v>
      </c>
      <c r="V38" s="18">
        <f>V33*V10</f>
        <v>2000</v>
      </c>
      <c r="W38" s="18">
        <f>W33*W10</f>
        <v>2000</v>
      </c>
      <c r="X38" s="18">
        <f>X33*X10</f>
        <v>2000</v>
      </c>
      <c r="Y38" s="18">
        <f>Y33*Y10</f>
        <v>2000</v>
      </c>
      <c r="Z38" s="18">
        <f t="shared" si="54"/>
        <v>8000</v>
      </c>
      <c r="AA38" s="18">
        <f>AA33*AA10</f>
        <v>2000</v>
      </c>
      <c r="AB38" s="18">
        <f>AB33*AB10</f>
        <v>2000</v>
      </c>
      <c r="AC38" s="18">
        <f>AC33*AC10</f>
        <v>2000</v>
      </c>
      <c r="AD38" s="18">
        <f>AD33*AD10</f>
        <v>2000</v>
      </c>
      <c r="AE38" s="18">
        <f t="shared" si="56"/>
        <v>8000</v>
      </c>
      <c r="AF38" s="18">
        <f t="shared" ref="AF38:AI38" si="66">AF33*AF10</f>
        <v>2000</v>
      </c>
      <c r="AG38" s="18">
        <f t="shared" si="66"/>
        <v>2000</v>
      </c>
      <c r="AH38" s="18">
        <f t="shared" si="66"/>
        <v>2000</v>
      </c>
      <c r="AI38" s="18">
        <f t="shared" si="66"/>
        <v>2000</v>
      </c>
      <c r="AJ38" s="18">
        <f t="shared" si="58"/>
        <v>8000</v>
      </c>
    </row>
    <row r="39" spans="1:36" outlineLevel="1">
      <c r="D39" s="125"/>
      <c r="F39" t="s">
        <v>379</v>
      </c>
      <c r="G39" s="18">
        <f>G34*0</f>
        <v>0</v>
      </c>
      <c r="H39" s="18">
        <f t="shared" ref="H39:J39" si="67">H34*0</f>
        <v>0</v>
      </c>
      <c r="I39" s="18">
        <f t="shared" si="67"/>
        <v>0</v>
      </c>
      <c r="J39" s="18">
        <f t="shared" si="67"/>
        <v>0</v>
      </c>
      <c r="K39" s="18">
        <f t="shared" si="49"/>
        <v>0</v>
      </c>
      <c r="L39" s="18">
        <f>L34*0</f>
        <v>0</v>
      </c>
      <c r="M39" s="18">
        <f t="shared" ref="M39:O39" si="68">M34*0</f>
        <v>0</v>
      </c>
      <c r="N39" s="18">
        <f t="shared" si="68"/>
        <v>0</v>
      </c>
      <c r="O39" s="18">
        <f t="shared" si="68"/>
        <v>0</v>
      </c>
      <c r="P39" s="18">
        <f t="shared" si="59"/>
        <v>0</v>
      </c>
      <c r="Q39" s="18">
        <f>Q34*0</f>
        <v>0</v>
      </c>
      <c r="R39" s="18">
        <f t="shared" ref="R39:T39" si="69">R34*0</f>
        <v>0</v>
      </c>
      <c r="S39" s="18">
        <f t="shared" si="69"/>
        <v>0</v>
      </c>
      <c r="T39" s="18">
        <f t="shared" si="69"/>
        <v>0</v>
      </c>
      <c r="U39" s="18">
        <f t="shared" si="52"/>
        <v>0</v>
      </c>
      <c r="V39" s="18">
        <f>V34*0</f>
        <v>0</v>
      </c>
      <c r="W39" s="18">
        <f t="shared" ref="W39:Y39" si="70">W34*0</f>
        <v>0</v>
      </c>
      <c r="X39" s="18">
        <f t="shared" si="70"/>
        <v>0</v>
      </c>
      <c r="Y39" s="18">
        <f t="shared" si="70"/>
        <v>0</v>
      </c>
      <c r="Z39" s="18">
        <f t="shared" si="54"/>
        <v>0</v>
      </c>
      <c r="AA39" s="18">
        <f>AA34*0</f>
        <v>0</v>
      </c>
      <c r="AB39" s="18">
        <f t="shared" ref="AB39:AD39" si="71">AB34*0</f>
        <v>0</v>
      </c>
      <c r="AC39" s="18">
        <f t="shared" si="71"/>
        <v>0</v>
      </c>
      <c r="AD39" s="18">
        <f t="shared" si="71"/>
        <v>0</v>
      </c>
      <c r="AE39" s="18">
        <f t="shared" si="56"/>
        <v>0</v>
      </c>
      <c r="AF39" s="18">
        <f t="shared" ref="AF39:AI39" si="72">AF34*0</f>
        <v>0</v>
      </c>
      <c r="AG39" s="18">
        <f t="shared" si="72"/>
        <v>0</v>
      </c>
      <c r="AH39" s="18">
        <f t="shared" si="72"/>
        <v>0</v>
      </c>
      <c r="AI39" s="18">
        <f t="shared" si="72"/>
        <v>0</v>
      </c>
      <c r="AJ39" s="18">
        <f t="shared" si="58"/>
        <v>0</v>
      </c>
    </row>
    <row r="40" spans="1:36">
      <c r="E40" t="s">
        <v>406</v>
      </c>
      <c r="G40" s="18">
        <f>SUM(G36:G39)</f>
        <v>0</v>
      </c>
      <c r="H40" s="18">
        <f t="shared" ref="H40:I40" si="73">SUM(H36:H39)</f>
        <v>0</v>
      </c>
      <c r="I40" s="18">
        <f t="shared" si="73"/>
        <v>0</v>
      </c>
      <c r="J40" s="18">
        <f>SUM(J36:J39)</f>
        <v>0</v>
      </c>
      <c r="K40" s="18">
        <f>SUM(G40:J40)</f>
        <v>0</v>
      </c>
      <c r="L40" s="18">
        <f>SUM(L36:L39)</f>
        <v>0</v>
      </c>
      <c r="M40" s="18">
        <f t="shared" ref="M40" si="74">SUM(M36:M39)</f>
        <v>0</v>
      </c>
      <c r="N40" s="18">
        <f>SUM(N36:N39)</f>
        <v>36750</v>
      </c>
      <c r="O40" s="18">
        <f t="shared" ref="O40" si="75">SUM(O36:O39)</f>
        <v>36750</v>
      </c>
      <c r="P40" s="18">
        <f t="shared" si="59"/>
        <v>73500</v>
      </c>
      <c r="Q40" s="18">
        <f>SUM(Q36:Q39)</f>
        <v>19600</v>
      </c>
      <c r="R40" s="18">
        <f t="shared" ref="R40" si="76">SUM(R36:R39)</f>
        <v>19600</v>
      </c>
      <c r="S40" s="18">
        <f t="shared" ref="S40" si="77">SUM(S36:S39)</f>
        <v>19600</v>
      </c>
      <c r="T40" s="18">
        <f t="shared" ref="T40" si="78">SUM(T36:T39)</f>
        <v>19600</v>
      </c>
      <c r="U40" s="18">
        <f t="shared" si="52"/>
        <v>78400</v>
      </c>
      <c r="V40" s="18">
        <f>SUM(V36:V39)</f>
        <v>6200</v>
      </c>
      <c r="W40" s="18">
        <f t="shared" ref="W40" si="79">SUM(W36:W39)</f>
        <v>6200</v>
      </c>
      <c r="X40" s="18">
        <f t="shared" ref="X40" si="80">SUM(X36:X39)</f>
        <v>6200</v>
      </c>
      <c r="Y40" s="18">
        <f t="shared" ref="Y40" si="81">SUM(Y36:Y39)</f>
        <v>6200</v>
      </c>
      <c r="Z40" s="18">
        <f t="shared" si="54"/>
        <v>24800</v>
      </c>
      <c r="AA40" s="18">
        <f>SUM(AA36:AA39)</f>
        <v>3600</v>
      </c>
      <c r="AB40" s="18">
        <f t="shared" ref="AB40" si="82">SUM(AB36:AB39)</f>
        <v>3600</v>
      </c>
      <c r="AC40" s="18">
        <f t="shared" ref="AC40" si="83">SUM(AC36:AC39)</f>
        <v>3600</v>
      </c>
      <c r="AD40" s="18">
        <f t="shared" ref="AD40:AI40" si="84">SUM(AD36:AD39)</f>
        <v>3600</v>
      </c>
      <c r="AE40" s="18">
        <f t="shared" si="56"/>
        <v>14400</v>
      </c>
      <c r="AF40" s="18">
        <f t="shared" si="84"/>
        <v>3600</v>
      </c>
      <c r="AG40" s="18">
        <f t="shared" si="84"/>
        <v>3600</v>
      </c>
      <c r="AH40" s="18">
        <f t="shared" si="84"/>
        <v>3600</v>
      </c>
      <c r="AI40" s="18">
        <f t="shared" si="84"/>
        <v>3600</v>
      </c>
      <c r="AJ40" s="18">
        <f t="shared" si="58"/>
        <v>14400</v>
      </c>
    </row>
    <row r="41" spans="1:36">
      <c r="E41" t="s">
        <v>386</v>
      </c>
      <c r="G41" s="18">
        <f>G3*G15</f>
        <v>0</v>
      </c>
      <c r="H41" s="18">
        <f>H3*H15</f>
        <v>0</v>
      </c>
      <c r="I41" s="18">
        <f>I3*I15</f>
        <v>0</v>
      </c>
      <c r="J41" s="18">
        <f>J3*J15</f>
        <v>0</v>
      </c>
      <c r="K41" s="18">
        <f t="shared" si="49"/>
        <v>0</v>
      </c>
      <c r="L41" s="18">
        <f>L3*L15</f>
        <v>0</v>
      </c>
      <c r="M41" s="18">
        <f>M3*M15</f>
        <v>0</v>
      </c>
      <c r="N41" s="18">
        <f>N3*N15</f>
        <v>1500</v>
      </c>
      <c r="O41" s="18">
        <f>O3*O15</f>
        <v>1500</v>
      </c>
      <c r="P41" s="18">
        <f t="shared" si="59"/>
        <v>3000</v>
      </c>
      <c r="Q41" s="18">
        <f>Q3*Q15</f>
        <v>800</v>
      </c>
      <c r="R41" s="18">
        <f>R3*R15</f>
        <v>800</v>
      </c>
      <c r="S41" s="18">
        <f>S3*S15</f>
        <v>800</v>
      </c>
      <c r="T41" s="18">
        <f>T3*T15</f>
        <v>800</v>
      </c>
      <c r="U41" s="18">
        <f t="shared" si="52"/>
        <v>3200</v>
      </c>
      <c r="V41" s="18">
        <f>V3*V15</f>
        <v>800</v>
      </c>
      <c r="W41" s="18">
        <f>W3*W15</f>
        <v>800</v>
      </c>
      <c r="X41" s="18">
        <f>X3*X15</f>
        <v>800</v>
      </c>
      <c r="Y41" s="18">
        <f>Y3*Y15</f>
        <v>800</v>
      </c>
      <c r="Z41" s="18">
        <f t="shared" si="54"/>
        <v>3200</v>
      </c>
      <c r="AA41" s="18">
        <f>AA3*AA15</f>
        <v>800</v>
      </c>
      <c r="AB41" s="18">
        <f>AB3*AB15</f>
        <v>800</v>
      </c>
      <c r="AC41" s="18">
        <f>AC3*AC15</f>
        <v>800</v>
      </c>
      <c r="AD41" s="18">
        <f>AD3*AD15</f>
        <v>800</v>
      </c>
      <c r="AE41" s="18">
        <f t="shared" si="56"/>
        <v>3200</v>
      </c>
      <c r="AF41" s="18">
        <f t="shared" ref="AF41:AI41" si="85">AF3*AF15</f>
        <v>800</v>
      </c>
      <c r="AG41" s="18">
        <f t="shared" si="85"/>
        <v>800</v>
      </c>
      <c r="AH41" s="18">
        <f t="shared" si="85"/>
        <v>800</v>
      </c>
      <c r="AI41" s="18">
        <f t="shared" si="85"/>
        <v>800</v>
      </c>
      <c r="AJ41" s="18">
        <f t="shared" si="58"/>
        <v>3200</v>
      </c>
    </row>
    <row r="42" spans="1:36" outlineLevel="1">
      <c r="F42" t="s">
        <v>407</v>
      </c>
      <c r="G42" s="18">
        <f>G3*G$16*G$17</f>
        <v>0</v>
      </c>
      <c r="H42" s="18">
        <f>H3*H$16*H$17</f>
        <v>0</v>
      </c>
      <c r="I42" s="18">
        <f>I3*I$16*I$17</f>
        <v>0</v>
      </c>
      <c r="J42" s="18">
        <f>J3*J$16*J$17</f>
        <v>0</v>
      </c>
      <c r="K42" s="18">
        <f>SUM(G42:J42)</f>
        <v>0</v>
      </c>
      <c r="L42" s="18">
        <f>L3*L$16*L$17</f>
        <v>0</v>
      </c>
      <c r="M42" s="18">
        <f>M3*M$16*M$17</f>
        <v>0</v>
      </c>
      <c r="N42" s="18">
        <f>N3*N$16*N$17</f>
        <v>2812.5</v>
      </c>
      <c r="O42" s="18">
        <f>O3*O$16*O$17</f>
        <v>2812.5</v>
      </c>
      <c r="P42" s="18">
        <f>SUM(L42:O42)</f>
        <v>5625</v>
      </c>
      <c r="Q42" s="18">
        <f>Q3*Q$16*Q$17</f>
        <v>1552.4999999999998</v>
      </c>
      <c r="R42" s="18">
        <f>R3*R$16*R$17</f>
        <v>1552.4999999999998</v>
      </c>
      <c r="S42" s="18">
        <f>S3*S$16*S$17</f>
        <v>1552.4999999999998</v>
      </c>
      <c r="T42" s="18">
        <f>T3*T$16*T$17</f>
        <v>1552.4999999999998</v>
      </c>
      <c r="U42" s="18">
        <f>SUM(Q42:T42)</f>
        <v>6209.9999999999991</v>
      </c>
      <c r="V42" s="18">
        <f>V3*V$16*V$17</f>
        <v>1606.8374999999999</v>
      </c>
      <c r="W42" s="18">
        <f>W3*W$16*W$17</f>
        <v>1606.8374999999999</v>
      </c>
      <c r="X42" s="18">
        <f>X3*X$16*X$17</f>
        <v>1606.8374999999999</v>
      </c>
      <c r="Y42" s="18">
        <f>Y3*Y$16*Y$17</f>
        <v>1606.8374999999999</v>
      </c>
      <c r="Z42" s="18">
        <f>SUM(V42:Y42)</f>
        <v>6427.3499999999995</v>
      </c>
      <c r="AA42" s="18">
        <f>AA3*AA$16*AA$17</f>
        <v>0</v>
      </c>
      <c r="AB42" s="18">
        <f>AB3*AB$16*AB$17</f>
        <v>0</v>
      </c>
      <c r="AC42" s="18">
        <f>AC3*AC$16*AC$17</f>
        <v>0</v>
      </c>
      <c r="AD42" s="18">
        <f>AD3*AD$16*AD$17</f>
        <v>0</v>
      </c>
      <c r="AE42" s="18">
        <f t="shared" si="56"/>
        <v>0</v>
      </c>
      <c r="AF42" s="18">
        <f t="shared" ref="AF42:AI42" si="86">AF3*AF$16*AF$17</f>
        <v>0</v>
      </c>
      <c r="AG42" s="18">
        <f t="shared" si="86"/>
        <v>0</v>
      </c>
      <c r="AH42" s="18">
        <f t="shared" si="86"/>
        <v>0</v>
      </c>
      <c r="AI42" s="18">
        <f t="shared" si="86"/>
        <v>0</v>
      </c>
      <c r="AJ42" s="18">
        <f t="shared" si="58"/>
        <v>0</v>
      </c>
    </row>
    <row r="43" spans="1:36" outlineLevel="1">
      <c r="F43" t="s">
        <v>408</v>
      </c>
      <c r="G43" s="18">
        <f>IFERROR(G3/G$25*G$26, 0)</f>
        <v>0</v>
      </c>
      <c r="H43" s="18">
        <f>IFERROR(H3/H$25*H$26, 0)</f>
        <v>0</v>
      </c>
      <c r="I43" s="18">
        <f>IFERROR(I3/I$25*I$26, 0)</f>
        <v>0</v>
      </c>
      <c r="J43" s="18">
        <f>IFERROR(J3/J$25*J$26, 0)</f>
        <v>0</v>
      </c>
      <c r="K43" s="18">
        <f t="shared" ref="K43:K46" si="87">SUM(G43:J43)</f>
        <v>0</v>
      </c>
      <c r="L43" s="18">
        <f>IFERROR(L3/L$25*L$26, 0)</f>
        <v>0</v>
      </c>
      <c r="M43" s="18">
        <f>IFERROR(M3/M$25*M$26, 0)</f>
        <v>0</v>
      </c>
      <c r="N43" s="18">
        <f>IFERROR(N3/N$25*N$26, 0)</f>
        <v>562.5</v>
      </c>
      <c r="O43" s="18">
        <f>IFERROR(O3/O$25*O$26, 0)</f>
        <v>562.5</v>
      </c>
      <c r="P43" s="18">
        <f t="shared" ref="P43:P46" si="88">SUM(L43:O43)</f>
        <v>1125</v>
      </c>
      <c r="Q43" s="18">
        <f>IFERROR(Q3/Q$25*Q$26, 0)</f>
        <v>300</v>
      </c>
      <c r="R43" s="18">
        <f>IFERROR(R3/R$25*R$26, 0)</f>
        <v>300</v>
      </c>
      <c r="S43" s="18">
        <f>IFERROR(S3/S$25*S$26, 0)</f>
        <v>300</v>
      </c>
      <c r="T43" s="18">
        <f>IFERROR(T3/T$25*T$26, 0)</f>
        <v>300</v>
      </c>
      <c r="U43" s="18">
        <f t="shared" ref="U43:U46" si="89">SUM(Q43:T43)</f>
        <v>1200</v>
      </c>
      <c r="V43" s="18">
        <f>IFERROR(V3/V$25*V$26, 0)</f>
        <v>300</v>
      </c>
      <c r="W43" s="18">
        <f>IFERROR(W3/W$25*W$26, 0)</f>
        <v>300</v>
      </c>
      <c r="X43" s="18">
        <f>IFERROR(X3/X$25*X$26, 0)</f>
        <v>300</v>
      </c>
      <c r="Y43" s="18">
        <f>IFERROR(Y3/Y$25*Y$26, 0)</f>
        <v>300</v>
      </c>
      <c r="Z43" s="18">
        <f t="shared" ref="Z43:Z46" si="90">SUM(V43:Y43)</f>
        <v>1200</v>
      </c>
      <c r="AA43" s="18">
        <f>IFERROR(AA3/AA$25*AA$26, 0)</f>
        <v>300</v>
      </c>
      <c r="AB43" s="18">
        <f>IFERROR(AB3/AB$25*AB$26, 0)</f>
        <v>300</v>
      </c>
      <c r="AC43" s="18">
        <f>IFERROR(AC3/AC$25*AC$26, 0)</f>
        <v>300</v>
      </c>
      <c r="AD43" s="18">
        <f>IFERROR(AD3/AD$25*AD$26, 0)</f>
        <v>300</v>
      </c>
      <c r="AE43" s="18">
        <f t="shared" si="56"/>
        <v>1200</v>
      </c>
      <c r="AF43" s="18">
        <f t="shared" ref="AF43:AI43" si="91">IFERROR(AF3/AF$25*AF$26, 0)</f>
        <v>300</v>
      </c>
      <c r="AG43" s="18">
        <f t="shared" si="91"/>
        <v>300</v>
      </c>
      <c r="AH43" s="18">
        <f t="shared" si="91"/>
        <v>300</v>
      </c>
      <c r="AI43" s="18">
        <f t="shared" si="91"/>
        <v>300</v>
      </c>
      <c r="AJ43" s="18">
        <f t="shared" si="58"/>
        <v>1200</v>
      </c>
    </row>
    <row r="44" spans="1:36" outlineLevel="1">
      <c r="F44" t="s">
        <v>409</v>
      </c>
      <c r="G44" s="18">
        <f>IFERROR(G3*G$19/G$20*G$21,0)</f>
        <v>0</v>
      </c>
      <c r="H44" s="18">
        <f>IFERROR(H3*H$19/H$20*H$21,0)</f>
        <v>0</v>
      </c>
      <c r="I44" s="18">
        <f>IFERROR(I3*I$19/I$20*I$21,0)</f>
        <v>0</v>
      </c>
      <c r="J44" s="18">
        <f>IFERROR(J3*J$19/J$20*J$21,0)</f>
        <v>0</v>
      </c>
      <c r="K44" s="18">
        <f t="shared" si="87"/>
        <v>0</v>
      </c>
      <c r="L44" s="18">
        <f>IFERROR(L3*L$19/L$20*L$21,0)</f>
        <v>0</v>
      </c>
      <c r="M44" s="18">
        <f>IFERROR(M3*M$19/M$20*M$21,0)</f>
        <v>0</v>
      </c>
      <c r="N44" s="18">
        <f>IFERROR(N3*N$19/N$20*N$21,0)</f>
        <v>1875</v>
      </c>
      <c r="O44" s="18">
        <f>IFERROR(O3*O$19/O$20*O$21,0)</f>
        <v>1875</v>
      </c>
      <c r="P44" s="18">
        <f t="shared" si="88"/>
        <v>3750</v>
      </c>
      <c r="Q44" s="18">
        <f>IFERROR(Q3*Q$19/Q$20*Q$21,0)</f>
        <v>1000.0000000000001</v>
      </c>
      <c r="R44" s="18">
        <f>IFERROR(R3*R$19/R$20*R$21,0)</f>
        <v>1000.0000000000001</v>
      </c>
      <c r="S44" s="18">
        <f>IFERROR(S3*S$19/S$20*S$21,0)</f>
        <v>1000.0000000000001</v>
      </c>
      <c r="T44" s="18">
        <f>IFERROR(T3*T$19/T$20*T$21,0)</f>
        <v>1000.0000000000001</v>
      </c>
      <c r="U44" s="18">
        <f t="shared" si="89"/>
        <v>4000.0000000000005</v>
      </c>
      <c r="V44" s="18">
        <f>IFERROR(V3*V$19/V$20*V$21,0)</f>
        <v>1000.0000000000001</v>
      </c>
      <c r="W44" s="18">
        <f>IFERROR(W3*W$19/W$20*W$21,0)</f>
        <v>1000.0000000000001</v>
      </c>
      <c r="X44" s="18">
        <f>IFERROR(X3*X$19/X$20*X$21,0)</f>
        <v>1000.0000000000001</v>
      </c>
      <c r="Y44" s="18">
        <f>IFERROR(Y3*Y$19/Y$20*Y$21,0)</f>
        <v>1000.0000000000001</v>
      </c>
      <c r="Z44" s="18">
        <f t="shared" si="90"/>
        <v>4000.0000000000005</v>
      </c>
      <c r="AA44" s="18">
        <f>IFERROR(AA3*AA$19/AA$20*AA$21,0)</f>
        <v>1000.0000000000001</v>
      </c>
      <c r="AB44" s="18">
        <f>IFERROR(AB3*AB$19/AB$20*AB$21,0)</f>
        <v>1000.0000000000001</v>
      </c>
      <c r="AC44" s="18">
        <f>IFERROR(AC3*AC$19/AC$20*AC$21,0)</f>
        <v>1000.0000000000001</v>
      </c>
      <c r="AD44" s="18">
        <f>IFERROR(AD3*AD$19/AD$20*AD$21,0)</f>
        <v>1000.0000000000001</v>
      </c>
      <c r="AE44" s="18">
        <f t="shared" si="56"/>
        <v>4000.0000000000005</v>
      </c>
      <c r="AF44" s="18">
        <f t="shared" ref="AF44:AI44" si="92">IFERROR(AF3*AF$19/AF$20*AF$21,0)</f>
        <v>1000.0000000000001</v>
      </c>
      <c r="AG44" s="18">
        <f t="shared" si="92"/>
        <v>1000.0000000000001</v>
      </c>
      <c r="AH44" s="18">
        <f t="shared" si="92"/>
        <v>1000.0000000000001</v>
      </c>
      <c r="AI44" s="18">
        <f t="shared" si="92"/>
        <v>1000.0000000000001</v>
      </c>
      <c r="AJ44" s="18">
        <f t="shared" si="58"/>
        <v>4000.0000000000005</v>
      </c>
    </row>
    <row r="45" spans="1:36" outlineLevel="1">
      <c r="F45" t="s">
        <v>410</v>
      </c>
      <c r="G45" s="18">
        <f>IFERROR(G3*G$24/G$22*G$23,0)</f>
        <v>0</v>
      </c>
      <c r="H45" s="18">
        <f t="shared" ref="H45:J45" si="93">IFERROR(H3*H$24/H$22*H$23,0)</f>
        <v>0</v>
      </c>
      <c r="I45" s="18">
        <f t="shared" si="93"/>
        <v>0</v>
      </c>
      <c r="J45" s="18">
        <f t="shared" si="93"/>
        <v>0</v>
      </c>
      <c r="K45" s="18">
        <f t="shared" si="87"/>
        <v>0</v>
      </c>
      <c r="L45" s="18">
        <f>IFERROR(L3*L$24/L$22*L$23,0)</f>
        <v>0</v>
      </c>
      <c r="M45" s="18">
        <f t="shared" ref="M45:O45" si="94">IFERROR(M3*M$24/M$22*M$23,0)</f>
        <v>0</v>
      </c>
      <c r="N45" s="18">
        <f t="shared" si="94"/>
        <v>87.890625</v>
      </c>
      <c r="O45" s="18">
        <f t="shared" si="94"/>
        <v>87.890625</v>
      </c>
      <c r="P45" s="18">
        <f t="shared" si="88"/>
        <v>175.78125</v>
      </c>
      <c r="Q45" s="18">
        <f>IFERROR(Q3*Q$24/Q$22*Q$23,0)</f>
        <v>46.875</v>
      </c>
      <c r="R45" s="18">
        <f t="shared" ref="R45:T45" si="95">IFERROR(R3*R$24/R$22*R$23,0)</f>
        <v>46.875</v>
      </c>
      <c r="S45" s="18">
        <f t="shared" si="95"/>
        <v>46.875</v>
      </c>
      <c r="T45" s="18">
        <f t="shared" si="95"/>
        <v>46.875</v>
      </c>
      <c r="U45" s="18">
        <f t="shared" si="89"/>
        <v>187.5</v>
      </c>
      <c r="V45" s="18">
        <f>IFERROR(V3*V$24/V$22*V$23,0)</f>
        <v>46.875</v>
      </c>
      <c r="W45" s="18">
        <f t="shared" ref="W45:Y45" si="96">IFERROR(W3*W$24/W$22*W$23,0)</f>
        <v>46.875</v>
      </c>
      <c r="X45" s="18">
        <f t="shared" si="96"/>
        <v>46.875</v>
      </c>
      <c r="Y45" s="18">
        <f t="shared" si="96"/>
        <v>46.875</v>
      </c>
      <c r="Z45" s="18">
        <f t="shared" si="90"/>
        <v>187.5</v>
      </c>
      <c r="AA45" s="18">
        <f>IFERROR(AA3*AA$24/AA$22*AA$23,0)</f>
        <v>46.875</v>
      </c>
      <c r="AB45" s="18">
        <f t="shared" ref="AB45:AD45" si="97">IFERROR(AB3*AB$24/AB$22*AB$23,0)</f>
        <v>46.875</v>
      </c>
      <c r="AC45" s="18">
        <f t="shared" si="97"/>
        <v>46.875</v>
      </c>
      <c r="AD45" s="18">
        <f t="shared" si="97"/>
        <v>46.875</v>
      </c>
      <c r="AE45" s="18">
        <f t="shared" si="56"/>
        <v>187.5</v>
      </c>
      <c r="AF45" s="18">
        <f t="shared" ref="AF45:AI45" si="98">IFERROR(AF3*AF$24/AF$22*AF$23,0)</f>
        <v>46.875</v>
      </c>
      <c r="AG45" s="18">
        <f t="shared" si="98"/>
        <v>46.875</v>
      </c>
      <c r="AH45" s="18">
        <f t="shared" si="98"/>
        <v>46.875</v>
      </c>
      <c r="AI45" s="18">
        <f t="shared" si="98"/>
        <v>46.875</v>
      </c>
      <c r="AJ45" s="18">
        <f t="shared" si="58"/>
        <v>187.5</v>
      </c>
    </row>
    <row r="46" spans="1:36" outlineLevel="1">
      <c r="F46" t="s">
        <v>411</v>
      </c>
      <c r="G46" s="18">
        <f>G3*G$16*G$27</f>
        <v>0</v>
      </c>
      <c r="H46" s="18">
        <f>H3*H$16*H$27</f>
        <v>0</v>
      </c>
      <c r="I46" s="18">
        <f>I3*I$16*I$27</f>
        <v>0</v>
      </c>
      <c r="J46" s="18">
        <f>J3*J$16*J$27</f>
        <v>0</v>
      </c>
      <c r="K46" s="18">
        <f t="shared" si="87"/>
        <v>0</v>
      </c>
      <c r="L46" s="18">
        <f>L3*L$16*L$27</f>
        <v>0</v>
      </c>
      <c r="M46" s="18">
        <f>M3*M$16*M$27</f>
        <v>0</v>
      </c>
      <c r="N46" s="18">
        <f>N3*N$16*N$27</f>
        <v>2812.5</v>
      </c>
      <c r="O46" s="18">
        <f>O3*O$16*O$27</f>
        <v>2812.5</v>
      </c>
      <c r="P46" s="18">
        <f t="shared" si="88"/>
        <v>5625</v>
      </c>
      <c r="Q46" s="18">
        <f>Q3*Q$16*Q$27</f>
        <v>1500</v>
      </c>
      <c r="R46" s="18">
        <f>R3*R$16*R$27</f>
        <v>1500</v>
      </c>
      <c r="S46" s="18">
        <f>S3*S$16*S$27</f>
        <v>1500</v>
      </c>
      <c r="T46" s="18">
        <f>T3*T$16*T$27</f>
        <v>1500</v>
      </c>
      <c r="U46" s="18">
        <f t="shared" si="89"/>
        <v>6000</v>
      </c>
      <c r="V46" s="18">
        <f>V3*V$16*V$27</f>
        <v>1500</v>
      </c>
      <c r="W46" s="18">
        <f>W3*W$16*W$27</f>
        <v>1500</v>
      </c>
      <c r="X46" s="18">
        <f>X3*X$16*X$27</f>
        <v>1500</v>
      </c>
      <c r="Y46" s="18">
        <f>Y3*Y$16*Y$27</f>
        <v>1500</v>
      </c>
      <c r="Z46" s="18">
        <f t="shared" si="90"/>
        <v>6000</v>
      </c>
      <c r="AA46" s="18">
        <f>AA3*AA$16*AA$27</f>
        <v>1500</v>
      </c>
      <c r="AB46" s="18">
        <f>AB3*AB$16*AB$27</f>
        <v>1500</v>
      </c>
      <c r="AC46" s="18">
        <f>AC3*AC$16*AC$27</f>
        <v>1500</v>
      </c>
      <c r="AD46" s="18">
        <f>AD3*AD$16*AD$27</f>
        <v>1500</v>
      </c>
      <c r="AE46" s="18">
        <f t="shared" si="56"/>
        <v>6000</v>
      </c>
      <c r="AF46" s="18">
        <f t="shared" ref="AF46:AI46" si="99">AF3*AF$16*AF$27</f>
        <v>1500</v>
      </c>
      <c r="AG46" s="18">
        <f t="shared" si="99"/>
        <v>1500</v>
      </c>
      <c r="AH46" s="18">
        <f t="shared" si="99"/>
        <v>1500</v>
      </c>
      <c r="AI46" s="18">
        <f t="shared" si="99"/>
        <v>1500</v>
      </c>
      <c r="AJ46" s="18">
        <f t="shared" si="58"/>
        <v>6000</v>
      </c>
    </row>
    <row r="47" spans="1:36">
      <c r="A47" t="s">
        <v>412</v>
      </c>
      <c r="B47" s="128">
        <f>'Hiring Plan'!D4</f>
        <v>3.5000000000000003E-2</v>
      </c>
      <c r="E47" t="s">
        <v>231</v>
      </c>
      <c r="G47" s="140">
        <f>SUM(G42:G46)</f>
        <v>0</v>
      </c>
      <c r="H47" s="140">
        <f t="shared" ref="H47:J47" si="100">SUM(H42:H46)</f>
        <v>0</v>
      </c>
      <c r="I47" s="140">
        <f t="shared" si="100"/>
        <v>0</v>
      </c>
      <c r="J47" s="140">
        <f t="shared" si="100"/>
        <v>0</v>
      </c>
      <c r="K47" s="18">
        <f>SUM(G47:J47)</f>
        <v>0</v>
      </c>
      <c r="L47" s="140">
        <f>SUM(L42:L46)</f>
        <v>0</v>
      </c>
      <c r="M47" s="140">
        <f t="shared" ref="M47" si="101">SUM(M42:M46)</f>
        <v>0</v>
      </c>
      <c r="N47" s="140">
        <f t="shared" ref="N47" si="102">SUM(N42:N46)</f>
        <v>8150.390625</v>
      </c>
      <c r="O47" s="140">
        <f t="shared" ref="O47" si="103">SUM(O42:O46)</f>
        <v>8150.390625</v>
      </c>
      <c r="P47" s="18">
        <f>SUM(L47:O47)</f>
        <v>16300.78125</v>
      </c>
      <c r="Q47" s="140">
        <f>SUM(Q42:Q46)</f>
        <v>4399.375</v>
      </c>
      <c r="R47" s="140">
        <f t="shared" ref="R47" si="104">SUM(R42:R46)</f>
        <v>4399.375</v>
      </c>
      <c r="S47" s="140">
        <f t="shared" ref="S47" si="105">SUM(S42:S46)</f>
        <v>4399.375</v>
      </c>
      <c r="T47" s="140">
        <f t="shared" ref="T47" si="106">SUM(T42:T46)</f>
        <v>4399.375</v>
      </c>
      <c r="U47" s="18">
        <f>SUM(Q47:T47)</f>
        <v>17597.5</v>
      </c>
      <c r="V47" s="140">
        <f>SUM(V42:V46)</f>
        <v>4453.7124999999996</v>
      </c>
      <c r="W47" s="140">
        <f t="shared" ref="W47" si="107">SUM(W42:W46)</f>
        <v>4453.7124999999996</v>
      </c>
      <c r="X47" s="140">
        <f t="shared" ref="X47" si="108">SUM(X42:X46)</f>
        <v>4453.7124999999996</v>
      </c>
      <c r="Y47" s="140">
        <f t="shared" ref="Y47" si="109">SUM(Y42:Y46)</f>
        <v>4453.7124999999996</v>
      </c>
      <c r="Z47" s="18">
        <f>SUM(V47:Y47)</f>
        <v>17814.849999999999</v>
      </c>
      <c r="AA47" s="140">
        <f>SUM(AA42:AA46)</f>
        <v>2846.875</v>
      </c>
      <c r="AB47" s="140">
        <f t="shared" ref="AB47" si="110">SUM(AB42:AB46)</f>
        <v>2846.875</v>
      </c>
      <c r="AC47" s="140">
        <f t="shared" ref="AC47" si="111">SUM(AC42:AC46)</f>
        <v>2846.875</v>
      </c>
      <c r="AD47" s="140">
        <f t="shared" ref="AD47:AI47" si="112">SUM(AD42:AD46)</f>
        <v>2846.875</v>
      </c>
      <c r="AE47" s="18">
        <f t="shared" si="56"/>
        <v>11387.5</v>
      </c>
      <c r="AF47" s="140">
        <f t="shared" si="112"/>
        <v>2846.875</v>
      </c>
      <c r="AG47" s="140">
        <f t="shared" si="112"/>
        <v>2846.875</v>
      </c>
      <c r="AH47" s="140">
        <f t="shared" si="112"/>
        <v>2846.875</v>
      </c>
      <c r="AI47" s="140">
        <f t="shared" si="112"/>
        <v>2846.875</v>
      </c>
      <c r="AJ47" s="18">
        <f t="shared" si="58"/>
        <v>11387.5</v>
      </c>
    </row>
    <row r="48" spans="1:36">
      <c r="D48" s="113" t="s">
        <v>413</v>
      </c>
      <c r="E48" s="112"/>
      <c r="F48" s="112"/>
      <c r="G48" s="112">
        <f>G40+G41+G47</f>
        <v>0</v>
      </c>
      <c r="H48" s="112">
        <f t="shared" ref="H48:AC48" si="113">H40+H41+H47</f>
        <v>0</v>
      </c>
      <c r="I48" s="112">
        <f t="shared" si="113"/>
        <v>0</v>
      </c>
      <c r="J48" s="112">
        <f t="shared" si="113"/>
        <v>0</v>
      </c>
      <c r="K48" s="112">
        <f t="shared" si="113"/>
        <v>0</v>
      </c>
      <c r="L48" s="112">
        <f t="shared" si="113"/>
        <v>0</v>
      </c>
      <c r="M48" s="112">
        <f t="shared" si="113"/>
        <v>0</v>
      </c>
      <c r="N48" s="112">
        <f t="shared" si="113"/>
        <v>46400.390625</v>
      </c>
      <c r="O48" s="112">
        <f t="shared" si="113"/>
        <v>46400.390625</v>
      </c>
      <c r="P48" s="112">
        <f t="shared" si="113"/>
        <v>92800.78125</v>
      </c>
      <c r="Q48" s="112">
        <f t="shared" si="113"/>
        <v>24799.375</v>
      </c>
      <c r="R48" s="112">
        <f t="shared" si="113"/>
        <v>24799.375</v>
      </c>
      <c r="S48" s="112">
        <f t="shared" si="113"/>
        <v>24799.375</v>
      </c>
      <c r="T48" s="112">
        <f t="shared" si="113"/>
        <v>24799.375</v>
      </c>
      <c r="U48" s="112">
        <f t="shared" si="113"/>
        <v>99197.5</v>
      </c>
      <c r="V48" s="112">
        <f t="shared" si="113"/>
        <v>11453.7125</v>
      </c>
      <c r="W48" s="112">
        <f t="shared" si="113"/>
        <v>11453.7125</v>
      </c>
      <c r="X48" s="112">
        <f t="shared" si="113"/>
        <v>11453.7125</v>
      </c>
      <c r="Y48" s="112">
        <f t="shared" si="113"/>
        <v>11453.7125</v>
      </c>
      <c r="Z48" s="112">
        <f t="shared" si="113"/>
        <v>45814.85</v>
      </c>
      <c r="AA48" s="112">
        <f t="shared" si="113"/>
        <v>7246.875</v>
      </c>
      <c r="AB48" s="112">
        <f t="shared" si="113"/>
        <v>7246.875</v>
      </c>
      <c r="AC48" s="112">
        <f t="shared" si="113"/>
        <v>7246.875</v>
      </c>
      <c r="AD48" s="112">
        <f>AD40+AD41+AD47</f>
        <v>7246.875</v>
      </c>
      <c r="AE48" s="112">
        <f t="shared" ref="AE48" si="114">AE40+AE41+AE47</f>
        <v>28987.5</v>
      </c>
      <c r="AF48" s="112">
        <f t="shared" ref="AF48:AJ48" si="115">AF40+AF41+AF47</f>
        <v>7246.875</v>
      </c>
      <c r="AG48" s="112">
        <f t="shared" si="115"/>
        <v>7246.875</v>
      </c>
      <c r="AH48" s="112">
        <f t="shared" si="115"/>
        <v>7246.875</v>
      </c>
      <c r="AI48" s="112">
        <f t="shared" si="115"/>
        <v>7246.875</v>
      </c>
      <c r="AJ48" s="112">
        <f t="shared" si="115"/>
        <v>28987.5</v>
      </c>
    </row>
    <row r="49" spans="3:36">
      <c r="F49" s="114"/>
      <c r="H49" s="118"/>
      <c r="I49" s="118"/>
      <c r="M49" s="118"/>
      <c r="N49" s="118"/>
      <c r="R49" s="118"/>
      <c r="S49" s="118"/>
      <c r="W49" s="118"/>
      <c r="X49" s="118"/>
      <c r="AB49" s="118"/>
      <c r="AC49" s="118"/>
    </row>
    <row r="50" spans="3:36">
      <c r="C50" s="125" t="s">
        <v>414</v>
      </c>
      <c r="E50" s="125"/>
      <c r="H50" s="118"/>
      <c r="I50" s="118"/>
      <c r="M50" s="118"/>
      <c r="N50" s="118"/>
      <c r="R50" s="118"/>
      <c r="S50" s="118"/>
      <c r="W50" s="118"/>
      <c r="X50" s="118"/>
      <c r="AB50" s="118"/>
      <c r="AC50" s="118"/>
    </row>
    <row r="51" spans="3:36" outlineLevel="1">
      <c r="D51" s="125"/>
      <c r="E51" s="125"/>
      <c r="F51" t="s">
        <v>376</v>
      </c>
      <c r="G51" s="135">
        <f t="shared" ref="G51:J54" si="116">G$4*G6</f>
        <v>0</v>
      </c>
      <c r="H51" s="135">
        <f t="shared" si="116"/>
        <v>0</v>
      </c>
      <c r="I51" s="135">
        <f t="shared" si="116"/>
        <v>0</v>
      </c>
      <c r="J51" s="135">
        <f t="shared" si="116"/>
        <v>0</v>
      </c>
      <c r="K51" s="135">
        <f t="shared" ref="K51:K61" si="117">SUM(G51:J51)</f>
        <v>0</v>
      </c>
      <c r="L51" s="135">
        <f t="shared" ref="L51:O54" si="118">L$4*L6</f>
        <v>0</v>
      </c>
      <c r="M51" s="135">
        <f t="shared" si="118"/>
        <v>0</v>
      </c>
      <c r="N51" s="135">
        <f t="shared" si="118"/>
        <v>450</v>
      </c>
      <c r="O51" s="135">
        <f t="shared" si="118"/>
        <v>450</v>
      </c>
      <c r="P51" s="135">
        <f t="shared" ref="P51:P61" si="119">SUM(L51:O51)</f>
        <v>900</v>
      </c>
      <c r="Q51" s="135">
        <f t="shared" ref="Q51:T54" si="120">Q$4*Q6</f>
        <v>120</v>
      </c>
      <c r="R51" s="135">
        <f t="shared" si="120"/>
        <v>120</v>
      </c>
      <c r="S51" s="135">
        <f t="shared" si="120"/>
        <v>120</v>
      </c>
      <c r="T51" s="135">
        <f t="shared" si="120"/>
        <v>120</v>
      </c>
      <c r="U51" s="135">
        <f t="shared" ref="U51:U61" si="121">SUM(Q51:T51)</f>
        <v>480</v>
      </c>
      <c r="V51" s="135">
        <f t="shared" ref="V51:Y54" si="122">V$4*V6</f>
        <v>60</v>
      </c>
      <c r="W51" s="135">
        <f t="shared" si="122"/>
        <v>60</v>
      </c>
      <c r="X51" s="135">
        <f t="shared" si="122"/>
        <v>60</v>
      </c>
      <c r="Y51" s="135">
        <f t="shared" si="122"/>
        <v>60</v>
      </c>
      <c r="Z51" s="135">
        <f t="shared" ref="Z51:Z61" si="123">SUM(V51:Y51)</f>
        <v>240</v>
      </c>
      <c r="AA51" s="135">
        <f t="shared" ref="AA51:AD54" si="124">AA$4*AA6</f>
        <v>20</v>
      </c>
      <c r="AB51" s="135">
        <f t="shared" si="124"/>
        <v>20</v>
      </c>
      <c r="AC51" s="135">
        <f t="shared" si="124"/>
        <v>20</v>
      </c>
      <c r="AD51" s="135">
        <f t="shared" si="124"/>
        <v>20</v>
      </c>
      <c r="AE51" s="135">
        <f t="shared" ref="AE51:AE67" si="125">SUM(AA51:AD51)</f>
        <v>80</v>
      </c>
      <c r="AF51" s="135">
        <f t="shared" ref="AF51:AI51" si="126">AF$4*AF6</f>
        <v>20</v>
      </c>
      <c r="AG51" s="135">
        <f t="shared" si="126"/>
        <v>20</v>
      </c>
      <c r="AH51" s="135">
        <f t="shared" si="126"/>
        <v>20</v>
      </c>
      <c r="AI51" s="135">
        <f t="shared" si="126"/>
        <v>20</v>
      </c>
      <c r="AJ51" s="135">
        <f t="shared" ref="AJ51:AJ67" si="127">SUM(AF51:AI51)</f>
        <v>80</v>
      </c>
    </row>
    <row r="52" spans="3:36" outlineLevel="1">
      <c r="D52" s="125"/>
      <c r="E52" s="125"/>
      <c r="F52" t="s">
        <v>377</v>
      </c>
      <c r="G52" s="135">
        <f t="shared" si="116"/>
        <v>0</v>
      </c>
      <c r="H52" s="135">
        <f t="shared" si="116"/>
        <v>0</v>
      </c>
      <c r="I52" s="135">
        <f t="shared" si="116"/>
        <v>0</v>
      </c>
      <c r="J52" s="135">
        <f t="shared" si="116"/>
        <v>0</v>
      </c>
      <c r="K52" s="135">
        <f t="shared" si="117"/>
        <v>0</v>
      </c>
      <c r="L52" s="135">
        <f t="shared" si="118"/>
        <v>0</v>
      </c>
      <c r="M52" s="135">
        <f t="shared" si="118"/>
        <v>0</v>
      </c>
      <c r="N52" s="135">
        <f t="shared" si="118"/>
        <v>600</v>
      </c>
      <c r="O52" s="135">
        <f t="shared" si="118"/>
        <v>600</v>
      </c>
      <c r="P52" s="135">
        <f t="shared" si="119"/>
        <v>1200</v>
      </c>
      <c r="Q52" s="135">
        <f t="shared" si="120"/>
        <v>160</v>
      </c>
      <c r="R52" s="135">
        <f t="shared" si="120"/>
        <v>160</v>
      </c>
      <c r="S52" s="135">
        <f t="shared" si="120"/>
        <v>160</v>
      </c>
      <c r="T52" s="135">
        <f t="shared" si="120"/>
        <v>160</v>
      </c>
      <c r="U52" s="135">
        <f t="shared" si="121"/>
        <v>640</v>
      </c>
      <c r="V52" s="135">
        <f t="shared" si="122"/>
        <v>120</v>
      </c>
      <c r="W52" s="135">
        <f t="shared" si="122"/>
        <v>120</v>
      </c>
      <c r="X52" s="135">
        <f t="shared" si="122"/>
        <v>120</v>
      </c>
      <c r="Y52" s="135">
        <f t="shared" si="122"/>
        <v>120</v>
      </c>
      <c r="Z52" s="135">
        <f t="shared" si="123"/>
        <v>480</v>
      </c>
      <c r="AA52" s="135">
        <f t="shared" si="124"/>
        <v>60</v>
      </c>
      <c r="AB52" s="135">
        <f t="shared" si="124"/>
        <v>60</v>
      </c>
      <c r="AC52" s="135">
        <f t="shared" si="124"/>
        <v>60</v>
      </c>
      <c r="AD52" s="135">
        <f t="shared" si="124"/>
        <v>60</v>
      </c>
      <c r="AE52" s="135">
        <f t="shared" si="125"/>
        <v>240</v>
      </c>
      <c r="AF52" s="135">
        <f t="shared" ref="AF52:AI52" si="128">AF$4*AF7</f>
        <v>60</v>
      </c>
      <c r="AG52" s="135">
        <f t="shared" si="128"/>
        <v>60</v>
      </c>
      <c r="AH52" s="135">
        <f t="shared" si="128"/>
        <v>60</v>
      </c>
      <c r="AI52" s="135">
        <f t="shared" si="128"/>
        <v>60</v>
      </c>
      <c r="AJ52" s="135">
        <f t="shared" si="127"/>
        <v>240</v>
      </c>
    </row>
    <row r="53" spans="3:36" outlineLevel="1">
      <c r="D53" s="125"/>
      <c r="E53" s="125"/>
      <c r="F53" t="s">
        <v>404</v>
      </c>
      <c r="G53" s="135">
        <f t="shared" si="116"/>
        <v>0</v>
      </c>
      <c r="H53" s="135">
        <f t="shared" si="116"/>
        <v>0</v>
      </c>
      <c r="I53" s="135">
        <f t="shared" si="116"/>
        <v>0</v>
      </c>
      <c r="J53" s="135">
        <f t="shared" si="116"/>
        <v>0</v>
      </c>
      <c r="K53" s="135">
        <f t="shared" si="117"/>
        <v>0</v>
      </c>
      <c r="L53" s="135">
        <f t="shared" si="118"/>
        <v>0</v>
      </c>
      <c r="M53" s="135">
        <f t="shared" si="118"/>
        <v>0</v>
      </c>
      <c r="N53" s="135">
        <f t="shared" si="118"/>
        <v>450</v>
      </c>
      <c r="O53" s="135">
        <f t="shared" si="118"/>
        <v>450</v>
      </c>
      <c r="P53" s="135">
        <f t="shared" si="119"/>
        <v>900</v>
      </c>
      <c r="Q53" s="135">
        <f t="shared" si="120"/>
        <v>120</v>
      </c>
      <c r="R53" s="135">
        <f t="shared" si="120"/>
        <v>120</v>
      </c>
      <c r="S53" s="135">
        <f t="shared" si="120"/>
        <v>120</v>
      </c>
      <c r="T53" s="135">
        <f t="shared" si="120"/>
        <v>120</v>
      </c>
      <c r="U53" s="135">
        <f t="shared" si="121"/>
        <v>480</v>
      </c>
      <c r="V53" s="135">
        <f t="shared" si="122"/>
        <v>20</v>
      </c>
      <c r="W53" s="135">
        <f t="shared" si="122"/>
        <v>20</v>
      </c>
      <c r="X53" s="135">
        <f t="shared" si="122"/>
        <v>20</v>
      </c>
      <c r="Y53" s="135">
        <f t="shared" si="122"/>
        <v>20</v>
      </c>
      <c r="Z53" s="135">
        <f t="shared" si="123"/>
        <v>80</v>
      </c>
      <c r="AA53" s="135">
        <f t="shared" si="124"/>
        <v>20</v>
      </c>
      <c r="AB53" s="135">
        <f t="shared" si="124"/>
        <v>20</v>
      </c>
      <c r="AC53" s="135">
        <f t="shared" si="124"/>
        <v>20</v>
      </c>
      <c r="AD53" s="135">
        <f t="shared" si="124"/>
        <v>20</v>
      </c>
      <c r="AE53" s="135">
        <f t="shared" si="125"/>
        <v>80</v>
      </c>
      <c r="AF53" s="135">
        <f t="shared" ref="AF53:AI53" si="129">AF$4*AF8</f>
        <v>20</v>
      </c>
      <c r="AG53" s="135">
        <f t="shared" si="129"/>
        <v>20</v>
      </c>
      <c r="AH53" s="135">
        <f t="shared" si="129"/>
        <v>20</v>
      </c>
      <c r="AI53" s="135">
        <f t="shared" si="129"/>
        <v>20</v>
      </c>
      <c r="AJ53" s="135">
        <f t="shared" si="127"/>
        <v>80</v>
      </c>
    </row>
    <row r="54" spans="3:36" outlineLevel="1">
      <c r="D54" s="125"/>
      <c r="E54" s="125"/>
      <c r="F54" t="s">
        <v>379</v>
      </c>
      <c r="G54" s="135">
        <f t="shared" si="116"/>
        <v>0</v>
      </c>
      <c r="H54" s="135">
        <f t="shared" si="116"/>
        <v>0</v>
      </c>
      <c r="I54" s="135">
        <f t="shared" si="116"/>
        <v>0</v>
      </c>
      <c r="J54" s="135">
        <f t="shared" si="116"/>
        <v>0</v>
      </c>
      <c r="K54" s="135">
        <f t="shared" si="117"/>
        <v>0</v>
      </c>
      <c r="L54" s="135">
        <f t="shared" si="118"/>
        <v>0</v>
      </c>
      <c r="M54" s="135">
        <f t="shared" si="118"/>
        <v>0</v>
      </c>
      <c r="N54" s="135">
        <f t="shared" si="118"/>
        <v>0</v>
      </c>
      <c r="O54" s="135">
        <f t="shared" si="118"/>
        <v>0</v>
      </c>
      <c r="P54" s="135">
        <f t="shared" si="119"/>
        <v>0</v>
      </c>
      <c r="Q54" s="135">
        <f t="shared" si="120"/>
        <v>0</v>
      </c>
      <c r="R54" s="135">
        <f t="shared" si="120"/>
        <v>0</v>
      </c>
      <c r="S54" s="135">
        <f t="shared" si="120"/>
        <v>0</v>
      </c>
      <c r="T54" s="135">
        <f t="shared" si="120"/>
        <v>0</v>
      </c>
      <c r="U54" s="135">
        <f t="shared" si="121"/>
        <v>0</v>
      </c>
      <c r="V54" s="135">
        <f t="shared" si="122"/>
        <v>200</v>
      </c>
      <c r="W54" s="135">
        <f t="shared" si="122"/>
        <v>200</v>
      </c>
      <c r="X54" s="135">
        <f t="shared" si="122"/>
        <v>200</v>
      </c>
      <c r="Y54" s="135">
        <f t="shared" si="122"/>
        <v>200</v>
      </c>
      <c r="Z54" s="135">
        <f t="shared" si="123"/>
        <v>800</v>
      </c>
      <c r="AA54" s="135">
        <f t="shared" si="124"/>
        <v>300</v>
      </c>
      <c r="AB54" s="135">
        <f t="shared" si="124"/>
        <v>300</v>
      </c>
      <c r="AC54" s="135">
        <f t="shared" si="124"/>
        <v>300</v>
      </c>
      <c r="AD54" s="135">
        <f t="shared" si="124"/>
        <v>300</v>
      </c>
      <c r="AE54" s="135">
        <f t="shared" si="125"/>
        <v>1200</v>
      </c>
      <c r="AF54" s="135">
        <f t="shared" ref="AF54:AI54" si="130">AF$4*AF9</f>
        <v>300</v>
      </c>
      <c r="AG54" s="135">
        <f t="shared" si="130"/>
        <v>300</v>
      </c>
      <c r="AH54" s="135">
        <f t="shared" si="130"/>
        <v>300</v>
      </c>
      <c r="AI54" s="135">
        <f t="shared" si="130"/>
        <v>300</v>
      </c>
      <c r="AJ54" s="135">
        <f t="shared" si="127"/>
        <v>1200</v>
      </c>
    </row>
    <row r="55" spans="3:36">
      <c r="D55" s="125" t="s">
        <v>405</v>
      </c>
      <c r="F55" s="125"/>
      <c r="G55" s="136">
        <f>SUM(G51:G54)</f>
        <v>0</v>
      </c>
      <c r="H55" s="136">
        <f t="shared" ref="H55" si="131">SUM(H51:H54)</f>
        <v>0</v>
      </c>
      <c r="I55" s="136">
        <f t="shared" ref="I55" si="132">SUM(I51:I54)</f>
        <v>0</v>
      </c>
      <c r="J55" s="136">
        <f t="shared" ref="J55" si="133">SUM(J51:J54)</f>
        <v>0</v>
      </c>
      <c r="K55" s="136">
        <f t="shared" si="117"/>
        <v>0</v>
      </c>
      <c r="L55" s="136">
        <f>SUM(L51:L54)</f>
        <v>0</v>
      </c>
      <c r="M55" s="136">
        <f t="shared" ref="M55" si="134">SUM(M51:M54)</f>
        <v>0</v>
      </c>
      <c r="N55" s="136">
        <f t="shared" ref="N55" si="135">SUM(N51:N54)</f>
        <v>1500</v>
      </c>
      <c r="O55" s="136">
        <f t="shared" ref="O55" si="136">SUM(O51:O54)</f>
        <v>1500</v>
      </c>
      <c r="P55" s="136">
        <f t="shared" si="119"/>
        <v>3000</v>
      </c>
      <c r="Q55" s="136">
        <f>SUM(Q51:Q54)</f>
        <v>400</v>
      </c>
      <c r="R55" s="136">
        <f t="shared" ref="R55" si="137">SUM(R51:R54)</f>
        <v>400</v>
      </c>
      <c r="S55" s="136">
        <f t="shared" ref="S55" si="138">SUM(S51:S54)</f>
        <v>400</v>
      </c>
      <c r="T55" s="136">
        <f t="shared" ref="T55" si="139">SUM(T51:T54)</f>
        <v>400</v>
      </c>
      <c r="U55" s="136">
        <f t="shared" si="121"/>
        <v>1600</v>
      </c>
      <c r="V55" s="136">
        <f>SUM(V51:V54)</f>
        <v>400</v>
      </c>
      <c r="W55" s="136">
        <f t="shared" ref="W55" si="140">SUM(W51:W54)</f>
        <v>400</v>
      </c>
      <c r="X55" s="136">
        <f t="shared" ref="X55" si="141">SUM(X51:X54)</f>
        <v>400</v>
      </c>
      <c r="Y55" s="136">
        <f t="shared" ref="Y55" si="142">SUM(Y51:Y54)</f>
        <v>400</v>
      </c>
      <c r="Z55" s="136">
        <f t="shared" si="123"/>
        <v>1600</v>
      </c>
      <c r="AA55" s="136">
        <f>SUM(AA51:AA54)</f>
        <v>400</v>
      </c>
      <c r="AB55" s="136">
        <f t="shared" ref="AB55" si="143">SUM(AB51:AB54)</f>
        <v>400</v>
      </c>
      <c r="AC55" s="136">
        <f t="shared" ref="AC55" si="144">SUM(AC51:AC54)</f>
        <v>400</v>
      </c>
      <c r="AD55" s="136">
        <f t="shared" ref="AD55:AI55" si="145">SUM(AD51:AD54)</f>
        <v>400</v>
      </c>
      <c r="AE55" s="136">
        <f t="shared" si="125"/>
        <v>1600</v>
      </c>
      <c r="AF55" s="136">
        <f t="shared" si="145"/>
        <v>400</v>
      </c>
      <c r="AG55" s="136">
        <f t="shared" si="145"/>
        <v>400</v>
      </c>
      <c r="AH55" s="136">
        <f t="shared" si="145"/>
        <v>400</v>
      </c>
      <c r="AI55" s="136">
        <f t="shared" si="145"/>
        <v>400</v>
      </c>
      <c r="AJ55" s="136">
        <f t="shared" si="127"/>
        <v>1600</v>
      </c>
    </row>
    <row r="56" spans="3:36" outlineLevel="1">
      <c r="D56" s="125"/>
      <c r="F56" t="s">
        <v>376</v>
      </c>
      <c r="G56" s="18">
        <f>G51*G$11*(1-G14)</f>
        <v>0</v>
      </c>
      <c r="H56" s="18">
        <f>H51*H$11*(1-H14)</f>
        <v>0</v>
      </c>
      <c r="I56" s="18">
        <f>I51*I$11*(1-I14)</f>
        <v>0</v>
      </c>
      <c r="J56" s="18">
        <f>J51*J$11*(1-J14)</f>
        <v>0</v>
      </c>
      <c r="K56" s="18">
        <f t="shared" si="117"/>
        <v>0</v>
      </c>
      <c r="L56" s="18">
        <f>L51*L$11*(1-L14)</f>
        <v>0</v>
      </c>
      <c r="M56" s="18">
        <f>M51*M$11*(1-M14)</f>
        <v>0</v>
      </c>
      <c r="N56" s="18">
        <f>N51*N$11*(1-N14)</f>
        <v>5625</v>
      </c>
      <c r="O56" s="18">
        <f>O51*O$11*(1-O14)</f>
        <v>5625</v>
      </c>
      <c r="P56" s="18">
        <f t="shared" si="119"/>
        <v>11250</v>
      </c>
      <c r="Q56" s="18">
        <f>Q51*Q$11*(1-Q14)</f>
        <v>1500</v>
      </c>
      <c r="R56" s="18">
        <f>R51*R$11*(1-R14)</f>
        <v>1500</v>
      </c>
      <c r="S56" s="18">
        <f>S51*S$11*(1-S14)</f>
        <v>1500</v>
      </c>
      <c r="T56" s="18">
        <f>T51*T$11*(1-T14)</f>
        <v>1500</v>
      </c>
      <c r="U56" s="18">
        <f t="shared" si="121"/>
        <v>6000</v>
      </c>
      <c r="V56" s="18">
        <f>V51*V$11*(1-V14)</f>
        <v>750</v>
      </c>
      <c r="W56" s="18">
        <f>W51*W$11*(1-W14)</f>
        <v>750</v>
      </c>
      <c r="X56" s="18">
        <f>X51*X$11*(1-X14)</f>
        <v>750</v>
      </c>
      <c r="Y56" s="18">
        <f>Y51*Y$11*(1-Y14)</f>
        <v>750</v>
      </c>
      <c r="Z56" s="18">
        <f t="shared" si="123"/>
        <v>3000</v>
      </c>
      <c r="AA56" s="18">
        <f>AA51*AA$11*(1-AA14)</f>
        <v>250</v>
      </c>
      <c r="AB56" s="18">
        <f>AB51*AB$11*(1-AB14)</f>
        <v>250</v>
      </c>
      <c r="AC56" s="18">
        <f>AC51*AC$11*(1-AC14)</f>
        <v>250</v>
      </c>
      <c r="AD56" s="18">
        <f>AD51*AD$11*(1-AD14)</f>
        <v>250</v>
      </c>
      <c r="AE56" s="18">
        <f t="shared" si="125"/>
        <v>1000</v>
      </c>
      <c r="AF56" s="18">
        <f t="shared" ref="AF56:AI56" si="146">AF51*AF$11*(1-AF14)</f>
        <v>250</v>
      </c>
      <c r="AG56" s="18">
        <f t="shared" si="146"/>
        <v>250</v>
      </c>
      <c r="AH56" s="18">
        <f t="shared" si="146"/>
        <v>250</v>
      </c>
      <c r="AI56" s="18">
        <f t="shared" si="146"/>
        <v>250</v>
      </c>
      <c r="AJ56" s="18">
        <f t="shared" si="127"/>
        <v>1000</v>
      </c>
    </row>
    <row r="57" spans="3:36" outlineLevel="1">
      <c r="D57" s="125"/>
      <c r="F57" t="s">
        <v>377</v>
      </c>
      <c r="G57" s="18">
        <f>G52*G$13</f>
        <v>0</v>
      </c>
      <c r="H57" s="18">
        <f t="shared" ref="H57:J57" si="147">H52*H$13</f>
        <v>0</v>
      </c>
      <c r="I57" s="18">
        <f t="shared" si="147"/>
        <v>0</v>
      </c>
      <c r="J57" s="18">
        <f t="shared" si="147"/>
        <v>0</v>
      </c>
      <c r="K57" s="18">
        <f t="shared" si="117"/>
        <v>0</v>
      </c>
      <c r="L57" s="18">
        <f>L52*L$13</f>
        <v>0</v>
      </c>
      <c r="M57" s="18">
        <f t="shared" ref="M57:O57" si="148">M52*M$13</f>
        <v>0</v>
      </c>
      <c r="N57" s="18">
        <f t="shared" si="148"/>
        <v>6000</v>
      </c>
      <c r="O57" s="18">
        <f t="shared" si="148"/>
        <v>6000</v>
      </c>
      <c r="P57" s="18">
        <f t="shared" si="119"/>
        <v>12000</v>
      </c>
      <c r="Q57" s="18">
        <f>Q52*Q$13</f>
        <v>1600</v>
      </c>
      <c r="R57" s="18">
        <f t="shared" ref="R57:T57" si="149">R52*R$13</f>
        <v>1600</v>
      </c>
      <c r="S57" s="18">
        <f t="shared" si="149"/>
        <v>1600</v>
      </c>
      <c r="T57" s="18">
        <f t="shared" si="149"/>
        <v>1600</v>
      </c>
      <c r="U57" s="18">
        <f t="shared" si="121"/>
        <v>6400</v>
      </c>
      <c r="V57" s="18">
        <f>V52*V$13</f>
        <v>1200</v>
      </c>
      <c r="W57" s="18">
        <f t="shared" ref="W57:Y57" si="150">W52*W$13</f>
        <v>1200</v>
      </c>
      <c r="X57" s="18">
        <f t="shared" si="150"/>
        <v>1200</v>
      </c>
      <c r="Y57" s="18">
        <f t="shared" si="150"/>
        <v>1200</v>
      </c>
      <c r="Z57" s="18">
        <f t="shared" si="123"/>
        <v>4800</v>
      </c>
      <c r="AA57" s="18">
        <f>AA52*AA$13</f>
        <v>600</v>
      </c>
      <c r="AB57" s="18">
        <f t="shared" ref="AB57:AD57" si="151">AB52*AB$13</f>
        <v>600</v>
      </c>
      <c r="AC57" s="18">
        <f t="shared" si="151"/>
        <v>600</v>
      </c>
      <c r="AD57" s="18">
        <f t="shared" si="151"/>
        <v>600</v>
      </c>
      <c r="AE57" s="18">
        <f t="shared" si="125"/>
        <v>2400</v>
      </c>
      <c r="AF57" s="18">
        <f t="shared" ref="AF57:AI57" si="152">AF52*AF$13</f>
        <v>600</v>
      </c>
      <c r="AG57" s="18">
        <f t="shared" si="152"/>
        <v>600</v>
      </c>
      <c r="AH57" s="18">
        <f t="shared" si="152"/>
        <v>600</v>
      </c>
      <c r="AI57" s="18">
        <f t="shared" si="152"/>
        <v>600</v>
      </c>
      <c r="AJ57" s="18">
        <f t="shared" si="127"/>
        <v>2400</v>
      </c>
    </row>
    <row r="58" spans="3:36" outlineLevel="1">
      <c r="D58" s="125"/>
      <c r="F58" t="s">
        <v>404</v>
      </c>
      <c r="G58" s="18">
        <f>G53*G$11</f>
        <v>0</v>
      </c>
      <c r="H58" s="18">
        <f t="shared" ref="H58:J58" si="153">H53*H$11</f>
        <v>0</v>
      </c>
      <c r="I58" s="18">
        <f t="shared" si="153"/>
        <v>0</v>
      </c>
      <c r="J58" s="18">
        <f t="shared" si="153"/>
        <v>0</v>
      </c>
      <c r="K58" s="18">
        <f t="shared" si="117"/>
        <v>0</v>
      </c>
      <c r="L58" s="18">
        <f>L53*L$11</f>
        <v>0</v>
      </c>
      <c r="M58" s="18">
        <f t="shared" ref="M58:O58" si="154">M53*M$11</f>
        <v>0</v>
      </c>
      <c r="N58" s="18">
        <f t="shared" si="154"/>
        <v>11250</v>
      </c>
      <c r="O58" s="18">
        <f t="shared" si="154"/>
        <v>11250</v>
      </c>
      <c r="P58" s="18">
        <f t="shared" si="119"/>
        <v>22500</v>
      </c>
      <c r="Q58" s="18">
        <f>Q53*Q$11</f>
        <v>3000</v>
      </c>
      <c r="R58" s="18">
        <f t="shared" ref="R58:T58" si="155">R53*R$11</f>
        <v>3000</v>
      </c>
      <c r="S58" s="18">
        <f t="shared" si="155"/>
        <v>3000</v>
      </c>
      <c r="T58" s="18">
        <f t="shared" si="155"/>
        <v>3000</v>
      </c>
      <c r="U58" s="18">
        <f t="shared" si="121"/>
        <v>12000</v>
      </c>
      <c r="V58" s="18">
        <f>V53*V$11</f>
        <v>500</v>
      </c>
      <c r="W58" s="18">
        <f t="shared" ref="W58:Y58" si="156">W53*W$11</f>
        <v>500</v>
      </c>
      <c r="X58" s="18">
        <f t="shared" si="156"/>
        <v>500</v>
      </c>
      <c r="Y58" s="18">
        <f t="shared" si="156"/>
        <v>500</v>
      </c>
      <c r="Z58" s="18">
        <f t="shared" si="123"/>
        <v>2000</v>
      </c>
      <c r="AA58" s="18">
        <f>AA53*AA$11</f>
        <v>500</v>
      </c>
      <c r="AB58" s="18">
        <f t="shared" ref="AB58:AD58" si="157">AB53*AB$11</f>
        <v>500</v>
      </c>
      <c r="AC58" s="18">
        <f t="shared" si="157"/>
        <v>500</v>
      </c>
      <c r="AD58" s="18">
        <f t="shared" si="157"/>
        <v>500</v>
      </c>
      <c r="AE58" s="18">
        <f t="shared" si="125"/>
        <v>2000</v>
      </c>
      <c r="AF58" s="18">
        <f t="shared" ref="AF58:AI58" si="158">AF53*AF$11</f>
        <v>500</v>
      </c>
      <c r="AG58" s="18">
        <f t="shared" si="158"/>
        <v>500</v>
      </c>
      <c r="AH58" s="18">
        <f t="shared" si="158"/>
        <v>500</v>
      </c>
      <c r="AI58" s="18">
        <f t="shared" si="158"/>
        <v>500</v>
      </c>
      <c r="AJ58" s="18">
        <f t="shared" si="127"/>
        <v>2000</v>
      </c>
    </row>
    <row r="59" spans="3:36" outlineLevel="1">
      <c r="D59" s="125"/>
      <c r="F59" t="s">
        <v>379</v>
      </c>
      <c r="G59" s="18">
        <f>G54*0</f>
        <v>0</v>
      </c>
      <c r="H59" s="18">
        <f t="shared" ref="H59:J59" si="159">H54*0</f>
        <v>0</v>
      </c>
      <c r="I59" s="18">
        <f t="shared" si="159"/>
        <v>0</v>
      </c>
      <c r="J59" s="18">
        <f t="shared" si="159"/>
        <v>0</v>
      </c>
      <c r="K59" s="18">
        <f t="shared" si="117"/>
        <v>0</v>
      </c>
      <c r="L59" s="18">
        <f>L54*0</f>
        <v>0</v>
      </c>
      <c r="M59" s="18">
        <f t="shared" ref="M59:O59" si="160">M54*0</f>
        <v>0</v>
      </c>
      <c r="N59" s="18">
        <f t="shared" si="160"/>
        <v>0</v>
      </c>
      <c r="O59" s="18">
        <f t="shared" si="160"/>
        <v>0</v>
      </c>
      <c r="P59" s="18">
        <f t="shared" si="119"/>
        <v>0</v>
      </c>
      <c r="Q59" s="18">
        <f>Q54*0</f>
        <v>0</v>
      </c>
      <c r="R59" s="18">
        <f t="shared" ref="R59:T59" si="161">R54*0</f>
        <v>0</v>
      </c>
      <c r="S59" s="18">
        <f t="shared" si="161"/>
        <v>0</v>
      </c>
      <c r="T59" s="18">
        <f t="shared" si="161"/>
        <v>0</v>
      </c>
      <c r="U59" s="18">
        <f t="shared" si="121"/>
        <v>0</v>
      </c>
      <c r="V59" s="18">
        <f>V54*0</f>
        <v>0</v>
      </c>
      <c r="W59" s="18">
        <f t="shared" ref="W59:Y59" si="162">W54*0</f>
        <v>0</v>
      </c>
      <c r="X59" s="18">
        <f t="shared" si="162"/>
        <v>0</v>
      </c>
      <c r="Y59" s="18">
        <f t="shared" si="162"/>
        <v>0</v>
      </c>
      <c r="Z59" s="18">
        <f t="shared" si="123"/>
        <v>0</v>
      </c>
      <c r="AA59" s="18">
        <f>AA54*0</f>
        <v>0</v>
      </c>
      <c r="AB59" s="18">
        <f t="shared" ref="AB59:AD59" si="163">AB54*0</f>
        <v>0</v>
      </c>
      <c r="AC59" s="18">
        <f t="shared" si="163"/>
        <v>0</v>
      </c>
      <c r="AD59" s="18">
        <f t="shared" si="163"/>
        <v>0</v>
      </c>
      <c r="AE59" s="18">
        <f t="shared" si="125"/>
        <v>0</v>
      </c>
      <c r="AF59" s="18">
        <f t="shared" ref="AF59:AI59" si="164">AF54*0</f>
        <v>0</v>
      </c>
      <c r="AG59" s="18">
        <f t="shared" si="164"/>
        <v>0</v>
      </c>
      <c r="AH59" s="18">
        <f t="shared" si="164"/>
        <v>0</v>
      </c>
      <c r="AI59" s="18">
        <f t="shared" si="164"/>
        <v>0</v>
      </c>
      <c r="AJ59" s="18">
        <f t="shared" si="127"/>
        <v>0</v>
      </c>
    </row>
    <row r="60" spans="3:36">
      <c r="E60" t="s">
        <v>406</v>
      </c>
      <c r="G60" s="18">
        <f>SUM(G56:G59)</f>
        <v>0</v>
      </c>
      <c r="H60" s="18">
        <f t="shared" ref="H60" si="165">SUM(H56:H59)</f>
        <v>0</v>
      </c>
      <c r="I60" s="18">
        <f t="shared" ref="I60" si="166">SUM(I56:I59)</f>
        <v>0</v>
      </c>
      <c r="J60" s="18">
        <f t="shared" ref="J60" si="167">SUM(J56:J59)</f>
        <v>0</v>
      </c>
      <c r="K60" s="18">
        <f t="shared" si="117"/>
        <v>0</v>
      </c>
      <c r="L60" s="18">
        <f>SUM(L56:L59)</f>
        <v>0</v>
      </c>
      <c r="M60" s="18">
        <f t="shared" ref="M60" si="168">SUM(M56:M59)</f>
        <v>0</v>
      </c>
      <c r="N60" s="18">
        <f t="shared" ref="N60" si="169">SUM(N56:N59)</f>
        <v>22875</v>
      </c>
      <c r="O60" s="18">
        <f t="shared" ref="O60" si="170">SUM(O56:O59)</f>
        <v>22875</v>
      </c>
      <c r="P60" s="18">
        <f t="shared" si="119"/>
        <v>45750</v>
      </c>
      <c r="Q60" s="18">
        <f>SUM(Q56:Q59)</f>
        <v>6100</v>
      </c>
      <c r="R60" s="18">
        <f t="shared" ref="R60" si="171">SUM(R56:R59)</f>
        <v>6100</v>
      </c>
      <c r="S60" s="18">
        <f t="shared" ref="S60" si="172">SUM(S56:S59)</f>
        <v>6100</v>
      </c>
      <c r="T60" s="18">
        <f t="shared" ref="T60" si="173">SUM(T56:T59)</f>
        <v>6100</v>
      </c>
      <c r="U60" s="18">
        <f t="shared" si="121"/>
        <v>24400</v>
      </c>
      <c r="V60" s="18">
        <f>SUM(V56:V59)</f>
        <v>2450</v>
      </c>
      <c r="W60" s="18">
        <f t="shared" ref="W60" si="174">SUM(W56:W59)</f>
        <v>2450</v>
      </c>
      <c r="X60" s="18">
        <f t="shared" ref="X60" si="175">SUM(X56:X59)</f>
        <v>2450</v>
      </c>
      <c r="Y60" s="18">
        <f t="shared" ref="Y60" si="176">SUM(Y56:Y59)</f>
        <v>2450</v>
      </c>
      <c r="Z60" s="18">
        <f t="shared" si="123"/>
        <v>9800</v>
      </c>
      <c r="AA60" s="18">
        <f>SUM(AA56:AA59)</f>
        <v>1350</v>
      </c>
      <c r="AB60" s="18">
        <f t="shared" ref="AB60" si="177">SUM(AB56:AB59)</f>
        <v>1350</v>
      </c>
      <c r="AC60" s="18">
        <f t="shared" ref="AC60" si="178">SUM(AC56:AC59)</f>
        <v>1350</v>
      </c>
      <c r="AD60" s="18">
        <f t="shared" ref="AD60:AI60" si="179">SUM(AD56:AD59)</f>
        <v>1350</v>
      </c>
      <c r="AE60" s="18">
        <f t="shared" si="125"/>
        <v>5400</v>
      </c>
      <c r="AF60" s="18">
        <f t="shared" si="179"/>
        <v>1350</v>
      </c>
      <c r="AG60" s="18">
        <f t="shared" si="179"/>
        <v>1350</v>
      </c>
      <c r="AH60" s="18">
        <f t="shared" si="179"/>
        <v>1350</v>
      </c>
      <c r="AI60" s="18">
        <f t="shared" si="179"/>
        <v>1350</v>
      </c>
      <c r="AJ60" s="18">
        <f t="shared" si="127"/>
        <v>5400</v>
      </c>
    </row>
    <row r="61" spans="3:36">
      <c r="E61" t="s">
        <v>386</v>
      </c>
      <c r="G61" s="18">
        <f>G4*G15</f>
        <v>0</v>
      </c>
      <c r="H61" s="18">
        <f>H4*H15</f>
        <v>0</v>
      </c>
      <c r="I61" s="18">
        <f>I4*I15</f>
        <v>0</v>
      </c>
      <c r="J61" s="18">
        <f>J4*J15</f>
        <v>0</v>
      </c>
      <c r="K61" s="18">
        <f t="shared" si="117"/>
        <v>0</v>
      </c>
      <c r="L61" s="18">
        <f>L4*L15</f>
        <v>0</v>
      </c>
      <c r="M61" s="18">
        <f>M4*M15</f>
        <v>0</v>
      </c>
      <c r="N61" s="18">
        <f>N4*N15</f>
        <v>3000</v>
      </c>
      <c r="O61" s="18">
        <f>O4*O15</f>
        <v>3000</v>
      </c>
      <c r="P61" s="18">
        <f t="shared" si="119"/>
        <v>6000</v>
      </c>
      <c r="Q61" s="18">
        <f>Q4*Q15</f>
        <v>800</v>
      </c>
      <c r="R61" s="18">
        <f>R4*R15</f>
        <v>800</v>
      </c>
      <c r="S61" s="18">
        <f>S4*S15</f>
        <v>800</v>
      </c>
      <c r="T61" s="18">
        <f>T4*T15</f>
        <v>800</v>
      </c>
      <c r="U61" s="18">
        <f t="shared" si="121"/>
        <v>3200</v>
      </c>
      <c r="V61" s="18">
        <f>V4*V15</f>
        <v>800</v>
      </c>
      <c r="W61" s="18">
        <f>W4*W15</f>
        <v>800</v>
      </c>
      <c r="X61" s="18">
        <f>X4*X15</f>
        <v>800</v>
      </c>
      <c r="Y61" s="18">
        <f>Y4*Y15</f>
        <v>800</v>
      </c>
      <c r="Z61" s="18">
        <f t="shared" si="123"/>
        <v>3200</v>
      </c>
      <c r="AA61" s="18">
        <f>AA4*AA15</f>
        <v>800</v>
      </c>
      <c r="AB61" s="18">
        <f>AB4*AB15</f>
        <v>800</v>
      </c>
      <c r="AC61" s="18">
        <f>AC4*AC15</f>
        <v>800</v>
      </c>
      <c r="AD61" s="18">
        <f>AD4*AD15</f>
        <v>800</v>
      </c>
      <c r="AE61" s="18">
        <f t="shared" si="125"/>
        <v>3200</v>
      </c>
      <c r="AF61" s="18">
        <f t="shared" ref="AF61:AI61" si="180">AF4*AF15</f>
        <v>800</v>
      </c>
      <c r="AG61" s="18">
        <f t="shared" si="180"/>
        <v>800</v>
      </c>
      <c r="AH61" s="18">
        <f t="shared" si="180"/>
        <v>800</v>
      </c>
      <c r="AI61" s="18">
        <f t="shared" si="180"/>
        <v>800</v>
      </c>
      <c r="AJ61" s="18">
        <f t="shared" si="127"/>
        <v>3200</v>
      </c>
    </row>
    <row r="62" spans="3:36" outlineLevel="1">
      <c r="D62" t="s">
        <v>415</v>
      </c>
      <c r="G62" s="18">
        <f>G4*G$16*G$17</f>
        <v>0</v>
      </c>
      <c r="H62" s="18">
        <f>H4*H$16*H$17</f>
        <v>0</v>
      </c>
      <c r="I62" s="18">
        <f>I4*I$16*I$17</f>
        <v>0</v>
      </c>
      <c r="J62" s="18">
        <f>J4*J$16*J$17</f>
        <v>0</v>
      </c>
      <c r="K62" s="18">
        <f>SUM(G62:J62)</f>
        <v>0</v>
      </c>
      <c r="L62" s="18">
        <f>L4*L$16*L$17</f>
        <v>0</v>
      </c>
      <c r="M62" s="18">
        <f>M4*M$16*M$17</f>
        <v>0</v>
      </c>
      <c r="N62" s="18">
        <f>N4*N$16*N$17</f>
        <v>5625</v>
      </c>
      <c r="O62" s="18">
        <f>O4*O$16*O$17</f>
        <v>5625</v>
      </c>
      <c r="P62" s="18">
        <f>SUM(L62:O62)</f>
        <v>11250</v>
      </c>
      <c r="Q62" s="18">
        <f>Q4*Q$16*Q$17</f>
        <v>1552.4999999999998</v>
      </c>
      <c r="R62" s="18">
        <f>R4*R$16*R$17</f>
        <v>1552.4999999999998</v>
      </c>
      <c r="S62" s="18">
        <f>S4*S$16*S$17</f>
        <v>1552.4999999999998</v>
      </c>
      <c r="T62" s="18">
        <f>T4*T$16*T$17</f>
        <v>1552.4999999999998</v>
      </c>
      <c r="U62" s="18">
        <f>SUM(Q62:T62)</f>
        <v>6209.9999999999991</v>
      </c>
      <c r="V62" s="18">
        <f>V4*V$16*V$17</f>
        <v>1606.8374999999999</v>
      </c>
      <c r="W62" s="18">
        <f>W4*W$16*W$17</f>
        <v>1606.8374999999999</v>
      </c>
      <c r="X62" s="18">
        <f>X4*X$16*X$17</f>
        <v>1606.8374999999999</v>
      </c>
      <c r="Y62" s="18">
        <f>Y4*Y$16*Y$17</f>
        <v>1606.8374999999999</v>
      </c>
      <c r="Z62" s="18">
        <f>SUM(V62:Y62)</f>
        <v>6427.3499999999995</v>
      </c>
      <c r="AA62" s="18">
        <f>AA4*AA$16*AA$17</f>
        <v>0</v>
      </c>
      <c r="AB62" s="18">
        <f>AB4*AB$16*AB$17</f>
        <v>0</v>
      </c>
      <c r="AC62" s="18">
        <f>AC4*AC$16*AC$17</f>
        <v>0</v>
      </c>
      <c r="AD62" s="18">
        <f>AD4*AD$16*AD$17</f>
        <v>0</v>
      </c>
      <c r="AE62" s="18">
        <f t="shared" si="125"/>
        <v>0</v>
      </c>
      <c r="AF62" s="18">
        <f t="shared" ref="AF62:AI62" si="181">AF4*AF$16*AF$17</f>
        <v>0</v>
      </c>
      <c r="AG62" s="18">
        <f t="shared" si="181"/>
        <v>0</v>
      </c>
      <c r="AH62" s="18">
        <f t="shared" si="181"/>
        <v>0</v>
      </c>
      <c r="AI62" s="18">
        <f t="shared" si="181"/>
        <v>0</v>
      </c>
      <c r="AJ62" s="18">
        <f t="shared" si="127"/>
        <v>0</v>
      </c>
    </row>
    <row r="63" spans="3:36" outlineLevel="1">
      <c r="D63" t="s">
        <v>408</v>
      </c>
      <c r="G63" s="18">
        <f>IFERROR(G4/G$25*G$26, 0)</f>
        <v>0</v>
      </c>
      <c r="H63" s="18">
        <f>IFERROR(H4/H$25*H$26, 0)</f>
        <v>0</v>
      </c>
      <c r="I63" s="18">
        <f>IFERROR(I4/I$25*I$26, 0)</f>
        <v>0</v>
      </c>
      <c r="J63" s="18">
        <f>IFERROR(J4/J$25*J$26, 0)</f>
        <v>0</v>
      </c>
      <c r="K63" s="18">
        <f t="shared" ref="K63:K66" si="182">SUM(G63:J63)</f>
        <v>0</v>
      </c>
      <c r="L63" s="18">
        <f>IFERROR(L4/L$25*L$26, 0)</f>
        <v>0</v>
      </c>
      <c r="M63" s="18">
        <f>IFERROR(M4/M$25*M$26, 0)</f>
        <v>0</v>
      </c>
      <c r="N63" s="18">
        <f>IFERROR(N4/N$25*N$26, 0)</f>
        <v>1125</v>
      </c>
      <c r="O63" s="18">
        <f>IFERROR(O4/O$25*O$26, 0)</f>
        <v>1125</v>
      </c>
      <c r="P63" s="18">
        <f t="shared" ref="P63:P66" si="183">SUM(L63:O63)</f>
        <v>2250</v>
      </c>
      <c r="Q63" s="18">
        <f>IFERROR(Q4/Q$25*Q$26, 0)</f>
        <v>300</v>
      </c>
      <c r="R63" s="18">
        <f>IFERROR(R4/R$25*R$26, 0)</f>
        <v>300</v>
      </c>
      <c r="S63" s="18">
        <f>IFERROR(S4/S$25*S$26, 0)</f>
        <v>300</v>
      </c>
      <c r="T63" s="18">
        <f>IFERROR(T4/T$25*T$26, 0)</f>
        <v>300</v>
      </c>
      <c r="U63" s="18">
        <f t="shared" ref="U63:U66" si="184">SUM(Q63:T63)</f>
        <v>1200</v>
      </c>
      <c r="V63" s="18">
        <f>IFERROR(V4/V$25*V$26, 0)</f>
        <v>300</v>
      </c>
      <c r="W63" s="18">
        <f>IFERROR(W4/W$25*W$26, 0)</f>
        <v>300</v>
      </c>
      <c r="X63" s="18">
        <f>IFERROR(X4/X$25*X$26, 0)</f>
        <v>300</v>
      </c>
      <c r="Y63" s="18">
        <f>IFERROR(Y4/Y$25*Y$26, 0)</f>
        <v>300</v>
      </c>
      <c r="Z63" s="18">
        <f t="shared" ref="Z63:Z66" si="185">SUM(V63:Y63)</f>
        <v>1200</v>
      </c>
      <c r="AA63" s="18">
        <f>IFERROR(AA4/AA$25*AA$26, 0)</f>
        <v>300</v>
      </c>
      <c r="AB63" s="18">
        <f>IFERROR(AB4/AB$25*AB$26, 0)</f>
        <v>300</v>
      </c>
      <c r="AC63" s="18">
        <f>IFERROR(AC4/AC$25*AC$26, 0)</f>
        <v>300</v>
      </c>
      <c r="AD63" s="18">
        <f>IFERROR(AD4/AD$25*AD$26, 0)</f>
        <v>300</v>
      </c>
      <c r="AE63" s="18">
        <f t="shared" si="125"/>
        <v>1200</v>
      </c>
      <c r="AF63" s="18">
        <f t="shared" ref="AF63:AI63" si="186">IFERROR(AF4/AF$25*AF$26, 0)</f>
        <v>300</v>
      </c>
      <c r="AG63" s="18">
        <f t="shared" si="186"/>
        <v>300</v>
      </c>
      <c r="AH63" s="18">
        <f t="shared" si="186"/>
        <v>300</v>
      </c>
      <c r="AI63" s="18">
        <f t="shared" si="186"/>
        <v>300</v>
      </c>
      <c r="AJ63" s="18">
        <f t="shared" si="127"/>
        <v>1200</v>
      </c>
    </row>
    <row r="64" spans="3:36" outlineLevel="1">
      <c r="D64" t="s">
        <v>409</v>
      </c>
      <c r="G64" s="18">
        <f>IFERROR(G4*G$19/G$20*G$21,0)</f>
        <v>0</v>
      </c>
      <c r="H64" s="18">
        <f>IFERROR(H4*H$19/H$20*H$21,0)</f>
        <v>0</v>
      </c>
      <c r="I64" s="18">
        <f>IFERROR(I4*I$19/I$20*I$21,0)</f>
        <v>0</v>
      </c>
      <c r="J64" s="18">
        <f>IFERROR(J4*J$19/J$20*J$21,0)</f>
        <v>0</v>
      </c>
      <c r="K64" s="18">
        <f t="shared" si="182"/>
        <v>0</v>
      </c>
      <c r="L64" s="18">
        <f>IFERROR(L4*L$19/L$20*L$21,0)</f>
        <v>0</v>
      </c>
      <c r="M64" s="18">
        <f>IFERROR(M4*M$19/M$20*M$21,0)</f>
        <v>0</v>
      </c>
      <c r="N64" s="18">
        <f>IFERROR(N4*N$19/N$20*N$21,0)</f>
        <v>3750</v>
      </c>
      <c r="O64" s="18">
        <f>IFERROR(O4*O$19/O$20*O$21,0)</f>
        <v>3750</v>
      </c>
      <c r="P64" s="18">
        <f t="shared" si="183"/>
        <v>7500</v>
      </c>
      <c r="Q64" s="18">
        <f>IFERROR(Q4*Q$19/Q$20*Q$21,0)</f>
        <v>1000.0000000000001</v>
      </c>
      <c r="R64" s="18">
        <f>IFERROR(R4*R$19/R$20*R$21,0)</f>
        <v>1000.0000000000001</v>
      </c>
      <c r="S64" s="18">
        <f>IFERROR(S4*S$19/S$20*S$21,0)</f>
        <v>1000.0000000000001</v>
      </c>
      <c r="T64" s="18">
        <f>IFERROR(T4*T$19/T$20*T$21,0)</f>
        <v>1000.0000000000001</v>
      </c>
      <c r="U64" s="18">
        <f t="shared" si="184"/>
        <v>4000.0000000000005</v>
      </c>
      <c r="V64" s="18">
        <f>IFERROR(V4*V$19/V$20*V$21,0)</f>
        <v>1000.0000000000001</v>
      </c>
      <c r="W64" s="18">
        <f>IFERROR(W4*W$19/W$20*W$21,0)</f>
        <v>1000.0000000000001</v>
      </c>
      <c r="X64" s="18">
        <f>IFERROR(X4*X$19/X$20*X$21,0)</f>
        <v>1000.0000000000001</v>
      </c>
      <c r="Y64" s="18">
        <f>IFERROR(Y4*Y$19/Y$20*Y$21,0)</f>
        <v>1000.0000000000001</v>
      </c>
      <c r="Z64" s="18">
        <f t="shared" si="185"/>
        <v>4000.0000000000005</v>
      </c>
      <c r="AA64" s="18">
        <f>IFERROR(AA4*AA$19/AA$20*AA$21,0)</f>
        <v>1000.0000000000001</v>
      </c>
      <c r="AB64" s="18">
        <f>IFERROR(AB4*AB$19/AB$20*AB$21,0)</f>
        <v>1000.0000000000001</v>
      </c>
      <c r="AC64" s="18">
        <f>IFERROR(AC4*AC$19/AC$20*AC$21,0)</f>
        <v>1000.0000000000001</v>
      </c>
      <c r="AD64" s="18">
        <f>IFERROR(AD4*AD$19/AD$20*AD$21,0)</f>
        <v>1000.0000000000001</v>
      </c>
      <c r="AE64" s="18">
        <f t="shared" si="125"/>
        <v>4000.0000000000005</v>
      </c>
      <c r="AF64" s="18">
        <f t="shared" ref="AF64:AI64" si="187">IFERROR(AF4*AF$19/AF$20*AF$21,0)</f>
        <v>1000.0000000000001</v>
      </c>
      <c r="AG64" s="18">
        <f t="shared" si="187"/>
        <v>1000.0000000000001</v>
      </c>
      <c r="AH64" s="18">
        <f t="shared" si="187"/>
        <v>1000.0000000000001</v>
      </c>
      <c r="AI64" s="18">
        <f t="shared" si="187"/>
        <v>1000.0000000000001</v>
      </c>
      <c r="AJ64" s="18">
        <f t="shared" si="127"/>
        <v>4000.0000000000005</v>
      </c>
    </row>
    <row r="65" spans="3:36" outlineLevel="1">
      <c r="D65" t="s">
        <v>410</v>
      </c>
      <c r="G65" s="18">
        <f>IFERROR(G4*G$24/G$22*G$23,0)</f>
        <v>0</v>
      </c>
      <c r="H65" s="18">
        <f t="shared" ref="H65:J65" si="188">IFERROR(H4*H$24/H$22*H$23,0)</f>
        <v>0</v>
      </c>
      <c r="I65" s="18">
        <f t="shared" si="188"/>
        <v>0</v>
      </c>
      <c r="J65" s="18">
        <f t="shared" si="188"/>
        <v>0</v>
      </c>
      <c r="K65" s="150">
        <f t="shared" si="182"/>
        <v>0</v>
      </c>
      <c r="L65" s="18">
        <f>IFERROR(L4*L$24/L$22*L$23,0)</f>
        <v>0</v>
      </c>
      <c r="M65" s="18">
        <f t="shared" ref="M65:O65" si="189">IFERROR(M4*M$24/M$22*M$23,0)</f>
        <v>0</v>
      </c>
      <c r="N65" s="18">
        <f t="shared" si="189"/>
        <v>175.78125</v>
      </c>
      <c r="O65" s="18">
        <f t="shared" si="189"/>
        <v>175.78125</v>
      </c>
      <c r="P65" s="150">
        <f t="shared" si="183"/>
        <v>351.5625</v>
      </c>
      <c r="Q65" s="18">
        <f>IFERROR(Q4*Q$24/Q$22*Q$23,0)</f>
        <v>46.875</v>
      </c>
      <c r="R65" s="18">
        <f t="shared" ref="R65:T65" si="190">IFERROR(R4*R$24/R$22*R$23,0)</f>
        <v>46.875</v>
      </c>
      <c r="S65" s="18">
        <f t="shared" si="190"/>
        <v>46.875</v>
      </c>
      <c r="T65" s="18">
        <f t="shared" si="190"/>
        <v>46.875</v>
      </c>
      <c r="U65" s="150">
        <f t="shared" si="184"/>
        <v>187.5</v>
      </c>
      <c r="V65" s="18">
        <f>IFERROR(V4*V$24/V$22*V$23,0)</f>
        <v>46.875</v>
      </c>
      <c r="W65" s="18">
        <f t="shared" ref="W65:Y65" si="191">IFERROR(W4*W$24/W$22*W$23,0)</f>
        <v>46.875</v>
      </c>
      <c r="X65" s="18">
        <f t="shared" si="191"/>
        <v>46.875</v>
      </c>
      <c r="Y65" s="18">
        <f t="shared" si="191"/>
        <v>46.875</v>
      </c>
      <c r="Z65" s="150">
        <f t="shared" si="185"/>
        <v>187.5</v>
      </c>
      <c r="AA65" s="18">
        <f>IFERROR(AA4*AA$24/AA$22*AA$23,0)</f>
        <v>46.875</v>
      </c>
      <c r="AB65" s="18">
        <f t="shared" ref="AB65:AD65" si="192">IFERROR(AB4*AB$24/AB$22*AB$23,0)</f>
        <v>46.875</v>
      </c>
      <c r="AC65" s="18">
        <f t="shared" si="192"/>
        <v>46.875</v>
      </c>
      <c r="AD65" s="18">
        <f t="shared" si="192"/>
        <v>46.875</v>
      </c>
      <c r="AE65" s="150">
        <f t="shared" si="125"/>
        <v>187.5</v>
      </c>
      <c r="AF65" s="18">
        <f t="shared" ref="AF65:AI65" si="193">IFERROR(AF4*AF$24/AF$22*AF$23,0)</f>
        <v>46.875</v>
      </c>
      <c r="AG65" s="18">
        <f t="shared" si="193"/>
        <v>46.875</v>
      </c>
      <c r="AH65" s="18">
        <f t="shared" si="193"/>
        <v>46.875</v>
      </c>
      <c r="AI65" s="18">
        <f t="shared" si="193"/>
        <v>46.875</v>
      </c>
      <c r="AJ65" s="150">
        <f t="shared" si="127"/>
        <v>187.5</v>
      </c>
    </row>
    <row r="66" spans="3:36" outlineLevel="1">
      <c r="D66" t="s">
        <v>411</v>
      </c>
      <c r="G66" s="18">
        <f>G4*G$16*G$27</f>
        <v>0</v>
      </c>
      <c r="H66" s="18">
        <f>H4*H$16*H$27</f>
        <v>0</v>
      </c>
      <c r="I66" s="18">
        <f>I4*I$16*I$27</f>
        <v>0</v>
      </c>
      <c r="J66" s="18">
        <f>J4*J$16*J$27</f>
        <v>0</v>
      </c>
      <c r="K66" s="18">
        <f t="shared" si="182"/>
        <v>0</v>
      </c>
      <c r="L66" s="18">
        <f>L4*L$16*L$27</f>
        <v>0</v>
      </c>
      <c r="M66" s="18">
        <f>M4*M$16*M$27</f>
        <v>0</v>
      </c>
      <c r="N66" s="18">
        <f>N4*N$16*N$27</f>
        <v>5625</v>
      </c>
      <c r="O66" s="18">
        <f>O4*O$16*O$27</f>
        <v>5625</v>
      </c>
      <c r="P66" s="18">
        <f t="shared" si="183"/>
        <v>11250</v>
      </c>
      <c r="Q66" s="18">
        <f>Q4*Q$16*Q$27</f>
        <v>1500</v>
      </c>
      <c r="R66" s="18">
        <f>R4*R$16*R$27</f>
        <v>1500</v>
      </c>
      <c r="S66" s="18">
        <f>S4*S$16*S$27</f>
        <v>1500</v>
      </c>
      <c r="T66" s="18">
        <f>T4*T$16*T$27</f>
        <v>1500</v>
      </c>
      <c r="U66" s="18">
        <f t="shared" si="184"/>
        <v>6000</v>
      </c>
      <c r="V66" s="18">
        <f>V4*V$16*V$27</f>
        <v>1500</v>
      </c>
      <c r="W66" s="18">
        <f>W4*W$16*W$27</f>
        <v>1500</v>
      </c>
      <c r="X66" s="18">
        <f>X4*X$16*X$27</f>
        <v>1500</v>
      </c>
      <c r="Y66" s="18">
        <f>Y4*Y$16*Y$27</f>
        <v>1500</v>
      </c>
      <c r="Z66" s="18">
        <f t="shared" si="185"/>
        <v>6000</v>
      </c>
      <c r="AA66" s="18">
        <f>AA4*AA$16*AA$27</f>
        <v>1500</v>
      </c>
      <c r="AB66" s="18">
        <f>AB4*AB$16*AB$27</f>
        <v>1500</v>
      </c>
      <c r="AC66" s="18">
        <f>AC4*AC$16*AC$27</f>
        <v>1500</v>
      </c>
      <c r="AD66" s="18">
        <f>AD4*AD$16*AD$27</f>
        <v>1500</v>
      </c>
      <c r="AE66" s="18">
        <f t="shared" si="125"/>
        <v>6000</v>
      </c>
      <c r="AF66" s="18">
        <f t="shared" ref="AF66:AI66" si="194">AF4*AF$16*AF$27</f>
        <v>1500</v>
      </c>
      <c r="AG66" s="18">
        <f t="shared" si="194"/>
        <v>1500</v>
      </c>
      <c r="AH66" s="18">
        <f t="shared" si="194"/>
        <v>1500</v>
      </c>
      <c r="AI66" s="18">
        <f t="shared" si="194"/>
        <v>1500</v>
      </c>
      <c r="AJ66" s="18">
        <f t="shared" si="127"/>
        <v>6000</v>
      </c>
    </row>
    <row r="67" spans="3:36">
      <c r="E67" t="s">
        <v>231</v>
      </c>
      <c r="G67" s="140">
        <f>SUM(G62:G66)</f>
        <v>0</v>
      </c>
      <c r="H67" s="140">
        <f t="shared" ref="H67" si="195">SUM(H62:H66)</f>
        <v>0</v>
      </c>
      <c r="I67" s="140">
        <f t="shared" ref="I67" si="196">SUM(I62:I66)</f>
        <v>0</v>
      </c>
      <c r="J67" s="140">
        <f t="shared" ref="J67" si="197">SUM(J62:J66)</f>
        <v>0</v>
      </c>
      <c r="K67" s="18">
        <f>SUM(G67:J67)</f>
        <v>0</v>
      </c>
      <c r="L67" s="140">
        <f>SUM(L62:L66)</f>
        <v>0</v>
      </c>
      <c r="M67" s="140">
        <f t="shared" ref="M67" si="198">SUM(M62:M66)</f>
        <v>0</v>
      </c>
      <c r="N67" s="140">
        <f t="shared" ref="N67" si="199">SUM(N62:N66)</f>
        <v>16300.78125</v>
      </c>
      <c r="O67" s="140">
        <f t="shared" ref="O67" si="200">SUM(O62:O66)</f>
        <v>16300.78125</v>
      </c>
      <c r="P67" s="18">
        <f>SUM(L67:O67)</f>
        <v>32601.5625</v>
      </c>
      <c r="Q67" s="140">
        <f>SUM(Q62:Q66)</f>
        <v>4399.375</v>
      </c>
      <c r="R67" s="140">
        <f t="shared" ref="R67" si="201">SUM(R62:R66)</f>
        <v>4399.375</v>
      </c>
      <c r="S67" s="140">
        <f t="shared" ref="S67" si="202">SUM(S62:S66)</f>
        <v>4399.375</v>
      </c>
      <c r="T67" s="140">
        <f t="shared" ref="T67" si="203">SUM(T62:T66)</f>
        <v>4399.375</v>
      </c>
      <c r="U67" s="18">
        <f>SUM(Q67:T67)</f>
        <v>17597.5</v>
      </c>
      <c r="V67" s="140">
        <f>SUM(V62:V66)</f>
        <v>4453.7124999999996</v>
      </c>
      <c r="W67" s="140">
        <f t="shared" ref="W67" si="204">SUM(W62:W66)</f>
        <v>4453.7124999999996</v>
      </c>
      <c r="X67" s="140">
        <f t="shared" ref="X67" si="205">SUM(X62:X66)</f>
        <v>4453.7124999999996</v>
      </c>
      <c r="Y67" s="140">
        <f t="shared" ref="Y67" si="206">SUM(Y62:Y66)</f>
        <v>4453.7124999999996</v>
      </c>
      <c r="Z67" s="18">
        <f>SUM(V67:Y67)</f>
        <v>17814.849999999999</v>
      </c>
      <c r="AA67" s="140">
        <f>SUM(AA62:AA66)</f>
        <v>2846.875</v>
      </c>
      <c r="AB67" s="140">
        <f t="shared" ref="AB67" si="207">SUM(AB62:AB66)</f>
        <v>2846.875</v>
      </c>
      <c r="AC67" s="140">
        <f t="shared" ref="AC67" si="208">SUM(AC62:AC66)</f>
        <v>2846.875</v>
      </c>
      <c r="AD67" s="140">
        <f t="shared" ref="AD67:AI67" si="209">SUM(AD62:AD66)</f>
        <v>2846.875</v>
      </c>
      <c r="AE67" s="18">
        <f t="shared" si="125"/>
        <v>11387.5</v>
      </c>
      <c r="AF67" s="140">
        <f t="shared" si="209"/>
        <v>2846.875</v>
      </c>
      <c r="AG67" s="140">
        <f t="shared" si="209"/>
        <v>2846.875</v>
      </c>
      <c r="AH67" s="140">
        <f t="shared" si="209"/>
        <v>2846.875</v>
      </c>
      <c r="AI67" s="140">
        <f t="shared" si="209"/>
        <v>2846.875</v>
      </c>
      <c r="AJ67" s="18">
        <f t="shared" si="127"/>
        <v>11387.5</v>
      </c>
    </row>
    <row r="68" spans="3:36">
      <c r="D68" s="113" t="s">
        <v>416</v>
      </c>
      <c r="E68" s="112"/>
      <c r="F68" s="112"/>
      <c r="G68" s="112">
        <f>G60+G61+G67</f>
        <v>0</v>
      </c>
      <c r="H68" s="112">
        <f t="shared" ref="H68" si="210">H60+H61+H67</f>
        <v>0</v>
      </c>
      <c r="I68" s="112">
        <f t="shared" ref="I68" si="211">I60+I61+I67</f>
        <v>0</v>
      </c>
      <c r="J68" s="112">
        <f t="shared" ref="J68" si="212">J60+J61+J67</f>
        <v>0</v>
      </c>
      <c r="K68" s="112">
        <f t="shared" ref="K68" si="213">K60+K61+K67</f>
        <v>0</v>
      </c>
      <c r="L68" s="112">
        <f t="shared" ref="L68" si="214">L60+L61+L67</f>
        <v>0</v>
      </c>
      <c r="M68" s="112">
        <f t="shared" ref="M68" si="215">M60+M61+M67</f>
        <v>0</v>
      </c>
      <c r="N68" s="112">
        <f t="shared" ref="N68" si="216">N60+N61+N67</f>
        <v>42175.78125</v>
      </c>
      <c r="O68" s="112">
        <f t="shared" ref="O68" si="217">O60+O61+O67</f>
        <v>42175.78125</v>
      </c>
      <c r="P68" s="112">
        <f t="shared" ref="P68" si="218">P60+P61+P67</f>
        <v>84351.5625</v>
      </c>
      <c r="Q68" s="112">
        <f t="shared" ref="Q68" si="219">Q60+Q61+Q67</f>
        <v>11299.375</v>
      </c>
      <c r="R68" s="112">
        <f t="shared" ref="R68" si="220">R60+R61+R67</f>
        <v>11299.375</v>
      </c>
      <c r="S68" s="112">
        <f t="shared" ref="S68" si="221">S60+S61+S67</f>
        <v>11299.375</v>
      </c>
      <c r="T68" s="112">
        <f t="shared" ref="T68" si="222">T60+T61+T67</f>
        <v>11299.375</v>
      </c>
      <c r="U68" s="112">
        <f t="shared" ref="U68" si="223">U60+U61+U67</f>
        <v>45197.5</v>
      </c>
      <c r="V68" s="112">
        <f t="shared" ref="V68" si="224">V60+V61+V67</f>
        <v>7703.7124999999996</v>
      </c>
      <c r="W68" s="112">
        <f t="shared" ref="W68" si="225">W60+W61+W67</f>
        <v>7703.7124999999996</v>
      </c>
      <c r="X68" s="112">
        <f t="shared" ref="X68" si="226">X60+X61+X67</f>
        <v>7703.7124999999996</v>
      </c>
      <c r="Y68" s="112">
        <f t="shared" ref="Y68" si="227">Y60+Y61+Y67</f>
        <v>7703.7124999999996</v>
      </c>
      <c r="Z68" s="112">
        <f t="shared" ref="Z68" si="228">Z60+Z61+Z67</f>
        <v>30814.85</v>
      </c>
      <c r="AA68" s="112">
        <f t="shared" ref="AA68" si="229">AA60+AA61+AA67</f>
        <v>4996.875</v>
      </c>
      <c r="AB68" s="112">
        <f t="shared" ref="AB68" si="230">AB60+AB61+AB67</f>
        <v>4996.875</v>
      </c>
      <c r="AC68" s="112">
        <f t="shared" ref="AC68" si="231">AC60+AC61+AC67</f>
        <v>4996.875</v>
      </c>
      <c r="AD68" s="112">
        <f>AD60+AD61+AD67</f>
        <v>4996.875</v>
      </c>
      <c r="AE68" s="112">
        <f t="shared" ref="AE68" si="232">AE60+AE61+AE67</f>
        <v>19987.5</v>
      </c>
      <c r="AF68" s="112">
        <f t="shared" ref="AF68:AJ68" si="233">AF60+AF61+AF67</f>
        <v>4996.875</v>
      </c>
      <c r="AG68" s="112">
        <f t="shared" si="233"/>
        <v>4996.875</v>
      </c>
      <c r="AH68" s="112">
        <f t="shared" si="233"/>
        <v>4996.875</v>
      </c>
      <c r="AI68" s="112">
        <f t="shared" si="233"/>
        <v>4996.875</v>
      </c>
      <c r="AJ68" s="112">
        <f t="shared" si="233"/>
        <v>19987.5</v>
      </c>
    </row>
    <row r="69" spans="3:36">
      <c r="H69" s="118"/>
      <c r="I69" s="118"/>
      <c r="M69" s="118"/>
      <c r="N69" s="118"/>
      <c r="R69" s="118"/>
      <c r="S69" s="118"/>
      <c r="W69" s="118"/>
      <c r="X69" s="118"/>
      <c r="AB69" s="118"/>
      <c r="AC69" s="118"/>
    </row>
    <row r="70" spans="3:36">
      <c r="C70" s="125" t="s">
        <v>417</v>
      </c>
      <c r="E70" s="125"/>
      <c r="H70" s="118"/>
      <c r="I70" s="118"/>
      <c r="M70" s="118"/>
      <c r="N70" s="118"/>
      <c r="R70" s="118"/>
      <c r="S70" s="118"/>
      <c r="W70" s="118"/>
      <c r="X70" s="118"/>
      <c r="AB70" s="118"/>
      <c r="AC70" s="118"/>
    </row>
    <row r="71" spans="3:36" outlineLevel="1">
      <c r="D71" s="125"/>
      <c r="E71" s="133"/>
      <c r="F71" s="134" t="s">
        <v>376</v>
      </c>
      <c r="G71" s="135">
        <f t="shared" ref="G71:J74" si="234">G$5*G6</f>
        <v>0</v>
      </c>
      <c r="H71" s="135">
        <f t="shared" si="234"/>
        <v>0</v>
      </c>
      <c r="I71" s="135">
        <f t="shared" si="234"/>
        <v>0</v>
      </c>
      <c r="J71" s="135">
        <f t="shared" si="234"/>
        <v>0</v>
      </c>
      <c r="K71" s="135">
        <f t="shared" ref="K71:K81" si="235">SUM(G71:J71)</f>
        <v>0</v>
      </c>
      <c r="L71" s="135">
        <f t="shared" ref="L71:O74" si="236">L$5*L6</f>
        <v>0</v>
      </c>
      <c r="M71" s="135">
        <f t="shared" si="236"/>
        <v>0</v>
      </c>
      <c r="N71">
        <f t="shared" si="236"/>
        <v>225</v>
      </c>
      <c r="O71">
        <f t="shared" si="236"/>
        <v>225</v>
      </c>
      <c r="P71" s="118">
        <f t="shared" ref="P71:P81" si="237">SUM(L71:O71)</f>
        <v>450</v>
      </c>
      <c r="Q71">
        <f t="shared" ref="Q71:T74" si="238">Q$5*Q6</f>
        <v>120</v>
      </c>
      <c r="R71">
        <f t="shared" si="238"/>
        <v>120</v>
      </c>
      <c r="S71">
        <f t="shared" si="238"/>
        <v>120</v>
      </c>
      <c r="T71">
        <f t="shared" si="238"/>
        <v>120</v>
      </c>
      <c r="U71" s="118">
        <f t="shared" ref="U71:U81" si="239">SUM(Q71:T71)</f>
        <v>480</v>
      </c>
      <c r="V71">
        <f t="shared" ref="V71:Y74" si="240">V$5*V6</f>
        <v>60</v>
      </c>
      <c r="W71">
        <f t="shared" si="240"/>
        <v>60</v>
      </c>
      <c r="X71">
        <f t="shared" si="240"/>
        <v>60</v>
      </c>
      <c r="Y71">
        <f t="shared" si="240"/>
        <v>60</v>
      </c>
      <c r="Z71" s="118">
        <f t="shared" ref="Z71:Z81" si="241">SUM(V71:Y71)</f>
        <v>240</v>
      </c>
      <c r="AA71">
        <f t="shared" ref="AA71:AD74" si="242">AA$5*AA6</f>
        <v>20</v>
      </c>
      <c r="AB71">
        <f t="shared" si="242"/>
        <v>20</v>
      </c>
      <c r="AC71">
        <f t="shared" si="242"/>
        <v>20</v>
      </c>
      <c r="AD71">
        <f t="shared" si="242"/>
        <v>20</v>
      </c>
      <c r="AE71" s="118">
        <f t="shared" ref="AE71:AE87" si="243">SUM(AA71:AD71)</f>
        <v>80</v>
      </c>
      <c r="AF71">
        <f t="shared" ref="AF71:AI71" si="244">AF$5*AF6</f>
        <v>20</v>
      </c>
      <c r="AG71">
        <f t="shared" si="244"/>
        <v>20</v>
      </c>
      <c r="AH71">
        <f t="shared" si="244"/>
        <v>20</v>
      </c>
      <c r="AI71">
        <f t="shared" si="244"/>
        <v>20</v>
      </c>
      <c r="AJ71" s="118">
        <f t="shared" ref="AJ71:AJ87" si="245">SUM(AF71:AI71)</f>
        <v>80</v>
      </c>
    </row>
    <row r="72" spans="3:36" outlineLevel="1">
      <c r="D72" s="125"/>
      <c r="E72" s="133"/>
      <c r="F72" s="134" t="s">
        <v>377</v>
      </c>
      <c r="G72" s="135">
        <f t="shared" si="234"/>
        <v>0</v>
      </c>
      <c r="H72" s="135">
        <f t="shared" si="234"/>
        <v>0</v>
      </c>
      <c r="I72" s="135">
        <f t="shared" si="234"/>
        <v>0</v>
      </c>
      <c r="J72" s="135">
        <f t="shared" si="234"/>
        <v>0</v>
      </c>
      <c r="K72" s="135">
        <f t="shared" si="235"/>
        <v>0</v>
      </c>
      <c r="L72" s="135">
        <f t="shared" si="236"/>
        <v>0</v>
      </c>
      <c r="M72" s="135">
        <f t="shared" si="236"/>
        <v>0</v>
      </c>
      <c r="N72">
        <f t="shared" si="236"/>
        <v>300</v>
      </c>
      <c r="O72">
        <f t="shared" si="236"/>
        <v>300</v>
      </c>
      <c r="P72" s="118">
        <f t="shared" si="237"/>
        <v>600</v>
      </c>
      <c r="Q72">
        <f t="shared" si="238"/>
        <v>160</v>
      </c>
      <c r="R72">
        <f t="shared" si="238"/>
        <v>160</v>
      </c>
      <c r="S72">
        <f t="shared" si="238"/>
        <v>160</v>
      </c>
      <c r="T72">
        <f t="shared" si="238"/>
        <v>160</v>
      </c>
      <c r="U72" s="118">
        <f t="shared" si="239"/>
        <v>640</v>
      </c>
      <c r="V72">
        <f t="shared" si="240"/>
        <v>120</v>
      </c>
      <c r="W72">
        <f t="shared" si="240"/>
        <v>120</v>
      </c>
      <c r="X72">
        <f t="shared" si="240"/>
        <v>120</v>
      </c>
      <c r="Y72">
        <f t="shared" si="240"/>
        <v>120</v>
      </c>
      <c r="Z72" s="118">
        <f t="shared" si="241"/>
        <v>480</v>
      </c>
      <c r="AA72">
        <f t="shared" si="242"/>
        <v>60</v>
      </c>
      <c r="AB72">
        <f t="shared" si="242"/>
        <v>60</v>
      </c>
      <c r="AC72">
        <f t="shared" si="242"/>
        <v>60</v>
      </c>
      <c r="AD72">
        <f t="shared" si="242"/>
        <v>60</v>
      </c>
      <c r="AE72" s="118">
        <f t="shared" si="243"/>
        <v>240</v>
      </c>
      <c r="AF72">
        <f t="shared" ref="AF72:AI72" si="246">AF$5*AF7</f>
        <v>60</v>
      </c>
      <c r="AG72">
        <f t="shared" si="246"/>
        <v>60</v>
      </c>
      <c r="AH72">
        <f t="shared" si="246"/>
        <v>60</v>
      </c>
      <c r="AI72">
        <f t="shared" si="246"/>
        <v>60</v>
      </c>
      <c r="AJ72" s="118">
        <f t="shared" si="245"/>
        <v>240</v>
      </c>
    </row>
    <row r="73" spans="3:36" outlineLevel="1">
      <c r="D73" s="125"/>
      <c r="E73" s="133"/>
      <c r="F73" s="134" t="s">
        <v>404</v>
      </c>
      <c r="G73" s="135">
        <f t="shared" si="234"/>
        <v>0</v>
      </c>
      <c r="H73" s="135">
        <f t="shared" si="234"/>
        <v>0</v>
      </c>
      <c r="I73" s="135">
        <f t="shared" si="234"/>
        <v>0</v>
      </c>
      <c r="J73" s="135">
        <f t="shared" si="234"/>
        <v>0</v>
      </c>
      <c r="K73" s="135">
        <f t="shared" si="235"/>
        <v>0</v>
      </c>
      <c r="L73" s="135">
        <f t="shared" si="236"/>
        <v>0</v>
      </c>
      <c r="M73" s="135">
        <f t="shared" si="236"/>
        <v>0</v>
      </c>
      <c r="N73">
        <f t="shared" si="236"/>
        <v>225</v>
      </c>
      <c r="O73">
        <f t="shared" si="236"/>
        <v>225</v>
      </c>
      <c r="P73" s="118">
        <f t="shared" si="237"/>
        <v>450</v>
      </c>
      <c r="Q73">
        <f t="shared" si="238"/>
        <v>120</v>
      </c>
      <c r="R73">
        <f t="shared" si="238"/>
        <v>120</v>
      </c>
      <c r="S73">
        <f t="shared" si="238"/>
        <v>120</v>
      </c>
      <c r="T73">
        <f t="shared" si="238"/>
        <v>120</v>
      </c>
      <c r="U73" s="118">
        <f t="shared" si="239"/>
        <v>480</v>
      </c>
      <c r="V73">
        <f t="shared" si="240"/>
        <v>20</v>
      </c>
      <c r="W73">
        <f t="shared" si="240"/>
        <v>20</v>
      </c>
      <c r="X73">
        <f t="shared" si="240"/>
        <v>20</v>
      </c>
      <c r="Y73">
        <f t="shared" si="240"/>
        <v>20</v>
      </c>
      <c r="Z73" s="118">
        <f t="shared" si="241"/>
        <v>80</v>
      </c>
      <c r="AA73">
        <f t="shared" si="242"/>
        <v>20</v>
      </c>
      <c r="AB73">
        <f t="shared" si="242"/>
        <v>20</v>
      </c>
      <c r="AC73">
        <f t="shared" si="242"/>
        <v>20</v>
      </c>
      <c r="AD73">
        <f t="shared" si="242"/>
        <v>20</v>
      </c>
      <c r="AE73" s="118">
        <f t="shared" si="243"/>
        <v>80</v>
      </c>
      <c r="AF73">
        <f t="shared" ref="AF73:AI73" si="247">AF$5*AF8</f>
        <v>20</v>
      </c>
      <c r="AG73">
        <f t="shared" si="247"/>
        <v>20</v>
      </c>
      <c r="AH73">
        <f t="shared" si="247"/>
        <v>20</v>
      </c>
      <c r="AI73">
        <f t="shared" si="247"/>
        <v>20</v>
      </c>
      <c r="AJ73" s="118">
        <f t="shared" si="245"/>
        <v>80</v>
      </c>
    </row>
    <row r="74" spans="3:36" outlineLevel="1">
      <c r="D74" s="125"/>
      <c r="E74" s="133"/>
      <c r="F74" s="134" t="s">
        <v>379</v>
      </c>
      <c r="G74" s="135">
        <f t="shared" si="234"/>
        <v>0</v>
      </c>
      <c r="H74" s="135">
        <f t="shared" si="234"/>
        <v>0</v>
      </c>
      <c r="I74" s="135">
        <f t="shared" si="234"/>
        <v>0</v>
      </c>
      <c r="J74" s="135">
        <f t="shared" si="234"/>
        <v>0</v>
      </c>
      <c r="K74" s="135">
        <f t="shared" si="235"/>
        <v>0</v>
      </c>
      <c r="L74" s="135">
        <f t="shared" si="236"/>
        <v>0</v>
      </c>
      <c r="M74" s="135">
        <f t="shared" si="236"/>
        <v>0</v>
      </c>
      <c r="N74">
        <f t="shared" si="236"/>
        <v>0</v>
      </c>
      <c r="O74">
        <f t="shared" si="236"/>
        <v>0</v>
      </c>
      <c r="P74" s="118">
        <f t="shared" si="237"/>
        <v>0</v>
      </c>
      <c r="Q74">
        <f t="shared" si="238"/>
        <v>0</v>
      </c>
      <c r="R74">
        <f t="shared" si="238"/>
        <v>0</v>
      </c>
      <c r="S74">
        <f t="shared" si="238"/>
        <v>0</v>
      </c>
      <c r="T74">
        <f t="shared" si="238"/>
        <v>0</v>
      </c>
      <c r="U74" s="118">
        <f t="shared" si="239"/>
        <v>0</v>
      </c>
      <c r="V74">
        <f t="shared" si="240"/>
        <v>200</v>
      </c>
      <c r="W74">
        <f t="shared" si="240"/>
        <v>200</v>
      </c>
      <c r="X74">
        <f t="shared" si="240"/>
        <v>200</v>
      </c>
      <c r="Y74">
        <f t="shared" si="240"/>
        <v>200</v>
      </c>
      <c r="Z74" s="118">
        <f t="shared" si="241"/>
        <v>800</v>
      </c>
      <c r="AA74">
        <f t="shared" si="242"/>
        <v>300</v>
      </c>
      <c r="AB74">
        <f t="shared" si="242"/>
        <v>300</v>
      </c>
      <c r="AC74">
        <f t="shared" si="242"/>
        <v>300</v>
      </c>
      <c r="AD74">
        <f t="shared" si="242"/>
        <v>300</v>
      </c>
      <c r="AE74" s="118">
        <f t="shared" si="243"/>
        <v>1200</v>
      </c>
      <c r="AF74">
        <f t="shared" ref="AF74:AI74" si="248">AF$5*AF9</f>
        <v>300</v>
      </c>
      <c r="AG74">
        <f t="shared" si="248"/>
        <v>300</v>
      </c>
      <c r="AH74">
        <f t="shared" si="248"/>
        <v>300</v>
      </c>
      <c r="AI74">
        <f t="shared" si="248"/>
        <v>300</v>
      </c>
      <c r="AJ74" s="118">
        <f t="shared" si="245"/>
        <v>1200</v>
      </c>
    </row>
    <row r="75" spans="3:36">
      <c r="D75" s="133" t="s">
        <v>405</v>
      </c>
      <c r="E75" s="133"/>
      <c r="F75" s="133"/>
      <c r="G75" s="136">
        <f>SUM(G71:G74)</f>
        <v>0</v>
      </c>
      <c r="H75" s="136">
        <f t="shared" ref="H75" si="249">SUM(H71:H74)</f>
        <v>0</v>
      </c>
      <c r="I75" s="136">
        <f t="shared" ref="I75" si="250">SUM(I71:I74)</f>
        <v>0</v>
      </c>
      <c r="J75" s="136">
        <f t="shared" ref="J75" si="251">SUM(J71:J74)</f>
        <v>0</v>
      </c>
      <c r="K75" s="136">
        <f t="shared" si="235"/>
        <v>0</v>
      </c>
      <c r="L75" s="136">
        <f>SUM(L71:L74)</f>
        <v>0</v>
      </c>
      <c r="M75" s="136">
        <f t="shared" ref="M75" si="252">SUM(M71:M74)</f>
        <v>0</v>
      </c>
      <c r="N75" s="136">
        <f t="shared" ref="N75" si="253">SUM(N71:N74)</f>
        <v>750</v>
      </c>
      <c r="O75" s="136">
        <f t="shared" ref="O75" si="254">SUM(O71:O74)</f>
        <v>750</v>
      </c>
      <c r="P75" s="136">
        <f t="shared" si="237"/>
        <v>1500</v>
      </c>
      <c r="Q75" s="136">
        <f>SUM(Q71:Q74)</f>
        <v>400</v>
      </c>
      <c r="R75" s="136">
        <f t="shared" ref="R75" si="255">SUM(R71:R74)</f>
        <v>400</v>
      </c>
      <c r="S75" s="136">
        <f t="shared" ref="S75" si="256">SUM(S71:S74)</f>
        <v>400</v>
      </c>
      <c r="T75" s="136">
        <f t="shared" ref="T75" si="257">SUM(T71:T74)</f>
        <v>400</v>
      </c>
      <c r="U75" s="136">
        <f t="shared" si="239"/>
        <v>1600</v>
      </c>
      <c r="V75" s="136">
        <f>SUM(V71:V74)</f>
        <v>400</v>
      </c>
      <c r="W75" s="136">
        <f t="shared" ref="W75" si="258">SUM(W71:W74)</f>
        <v>400</v>
      </c>
      <c r="X75" s="136">
        <f t="shared" ref="X75" si="259">SUM(X71:X74)</f>
        <v>400</v>
      </c>
      <c r="Y75" s="136">
        <f t="shared" ref="Y75" si="260">SUM(Y71:Y74)</f>
        <v>400</v>
      </c>
      <c r="Z75" s="136">
        <f t="shared" si="241"/>
        <v>1600</v>
      </c>
      <c r="AA75" s="136">
        <f>SUM(AA71:AA74)</f>
        <v>400</v>
      </c>
      <c r="AB75" s="136">
        <f t="shared" ref="AB75" si="261">SUM(AB71:AB74)</f>
        <v>400</v>
      </c>
      <c r="AC75" s="136">
        <f t="shared" ref="AC75" si="262">SUM(AC71:AC74)</f>
        <v>400</v>
      </c>
      <c r="AD75" s="136">
        <f t="shared" ref="AD75:AI75" si="263">SUM(AD71:AD74)</f>
        <v>400</v>
      </c>
      <c r="AE75" s="136">
        <f t="shared" si="243"/>
        <v>1600</v>
      </c>
      <c r="AF75" s="136">
        <f t="shared" si="263"/>
        <v>400</v>
      </c>
      <c r="AG75" s="136">
        <f t="shared" si="263"/>
        <v>400</v>
      </c>
      <c r="AH75" s="136">
        <f t="shared" si="263"/>
        <v>400</v>
      </c>
      <c r="AI75" s="136">
        <f t="shared" si="263"/>
        <v>400</v>
      </c>
      <c r="AJ75" s="136">
        <f t="shared" si="245"/>
        <v>1600</v>
      </c>
    </row>
    <row r="76" spans="3:36" outlineLevel="1">
      <c r="D76" s="125"/>
      <c r="E76" s="134"/>
      <c r="F76" s="134" t="s">
        <v>376</v>
      </c>
      <c r="G76" s="18">
        <f>G71*G12*(1-G14)</f>
        <v>0</v>
      </c>
      <c r="H76" s="18">
        <f>H71*H12*(1-H14)</f>
        <v>0</v>
      </c>
      <c r="I76" s="18">
        <f>I71*I12*(1-I14)</f>
        <v>0</v>
      </c>
      <c r="J76" s="18">
        <f>J71*J12*(1-J14)</f>
        <v>0</v>
      </c>
      <c r="K76" s="18">
        <f t="shared" si="235"/>
        <v>0</v>
      </c>
      <c r="L76" s="18">
        <f>L71*L12*(1-L14)</f>
        <v>0</v>
      </c>
      <c r="M76" s="18">
        <f>M71*M12*(1-M14)</f>
        <v>0</v>
      </c>
      <c r="N76" s="18">
        <f>N71*N12*(1-N14)</f>
        <v>5625</v>
      </c>
      <c r="O76" s="18">
        <f>O71*O12*(1-O14)</f>
        <v>8437.5</v>
      </c>
      <c r="P76" s="18">
        <f t="shared" si="237"/>
        <v>14062.5</v>
      </c>
      <c r="Q76" s="18">
        <f>Q71*Q12*(1-Q14)</f>
        <v>3000</v>
      </c>
      <c r="R76" s="18">
        <f>R71*R12*(1-R14)</f>
        <v>3000</v>
      </c>
      <c r="S76" s="18">
        <f>S71*S12*(1-S14)</f>
        <v>3000</v>
      </c>
      <c r="T76" s="18">
        <f>T71*T12*(1-T14)</f>
        <v>3000</v>
      </c>
      <c r="U76" s="18">
        <f t="shared" si="239"/>
        <v>12000</v>
      </c>
      <c r="V76" s="18">
        <f>V71*V12*(1-V14)</f>
        <v>1500</v>
      </c>
      <c r="W76" s="18">
        <f>W71*W12*(1-W14)</f>
        <v>1500</v>
      </c>
      <c r="X76" s="18">
        <f>X71*X12*(1-X14)</f>
        <v>1500</v>
      </c>
      <c r="Y76" s="18">
        <f>Y71*Y12*(1-Y14)</f>
        <v>1500</v>
      </c>
      <c r="Z76" s="18">
        <f t="shared" si="241"/>
        <v>6000</v>
      </c>
      <c r="AA76" s="18">
        <f>AA71*AA12*(1-AA14)</f>
        <v>500</v>
      </c>
      <c r="AB76" s="18">
        <f>AB71*AB12*(1-AB14)</f>
        <v>500</v>
      </c>
      <c r="AC76" s="18">
        <f>AC71*AC12*(1-AC14)</f>
        <v>500</v>
      </c>
      <c r="AD76" s="18">
        <f>AD71*AD12*(1-AD14)</f>
        <v>500</v>
      </c>
      <c r="AE76" s="18">
        <f t="shared" si="243"/>
        <v>2000</v>
      </c>
      <c r="AF76" s="18">
        <f t="shared" ref="AF76:AI76" si="264">AF71*AF12*(1-AF14)</f>
        <v>500</v>
      </c>
      <c r="AG76" s="18">
        <f t="shared" si="264"/>
        <v>500</v>
      </c>
      <c r="AH76" s="18">
        <f t="shared" si="264"/>
        <v>500</v>
      </c>
      <c r="AI76" s="18">
        <f t="shared" si="264"/>
        <v>500</v>
      </c>
      <c r="AJ76" s="18">
        <f t="shared" si="245"/>
        <v>2000</v>
      </c>
    </row>
    <row r="77" spans="3:36" outlineLevel="1">
      <c r="D77" s="125"/>
      <c r="E77" s="134"/>
      <c r="F77" s="134" t="s">
        <v>377</v>
      </c>
      <c r="G77" s="18">
        <f>G72*G13</f>
        <v>0</v>
      </c>
      <c r="H77" s="18">
        <f>H72*H13</f>
        <v>0</v>
      </c>
      <c r="I77" s="18">
        <f>I72*I13</f>
        <v>0</v>
      </c>
      <c r="J77" s="18">
        <f>J72*J13</f>
        <v>0</v>
      </c>
      <c r="K77" s="18">
        <f t="shared" si="235"/>
        <v>0</v>
      </c>
      <c r="L77" s="18">
        <f>L72*L13</f>
        <v>0</v>
      </c>
      <c r="M77" s="18">
        <f>M72*M13</f>
        <v>0</v>
      </c>
      <c r="N77" s="18">
        <f>N72*N13</f>
        <v>3000</v>
      </c>
      <c r="O77" s="18">
        <f>O72*O13</f>
        <v>3000</v>
      </c>
      <c r="P77" s="18">
        <f t="shared" si="237"/>
        <v>6000</v>
      </c>
      <c r="Q77" s="18">
        <f>Q72*Q13</f>
        <v>1600</v>
      </c>
      <c r="R77" s="18">
        <f>R72*R13</f>
        <v>1600</v>
      </c>
      <c r="S77" s="18">
        <f>S72*S13</f>
        <v>1600</v>
      </c>
      <c r="T77" s="18">
        <f>T72*T13</f>
        <v>1600</v>
      </c>
      <c r="U77" s="18">
        <f t="shared" si="239"/>
        <v>6400</v>
      </c>
      <c r="V77" s="18">
        <f>V72*V13</f>
        <v>1200</v>
      </c>
      <c r="W77" s="18">
        <f>W72*W13</f>
        <v>1200</v>
      </c>
      <c r="X77" s="18">
        <f>X72*X13</f>
        <v>1200</v>
      </c>
      <c r="Y77" s="18">
        <f>Y72*Y13</f>
        <v>1200</v>
      </c>
      <c r="Z77" s="18">
        <f t="shared" si="241"/>
        <v>4800</v>
      </c>
      <c r="AA77" s="18">
        <f>AA72*AA13</f>
        <v>600</v>
      </c>
      <c r="AB77" s="18">
        <f>AB72*AB13</f>
        <v>600</v>
      </c>
      <c r="AC77" s="18">
        <f>AC72*AC13</f>
        <v>600</v>
      </c>
      <c r="AD77" s="18">
        <f>AD72*AD13</f>
        <v>600</v>
      </c>
      <c r="AE77" s="18">
        <f t="shared" si="243"/>
        <v>2400</v>
      </c>
      <c r="AF77" s="18">
        <f t="shared" ref="AF77:AI77" si="265">AF72*AF13</f>
        <v>600</v>
      </c>
      <c r="AG77" s="18">
        <f t="shared" si="265"/>
        <v>600</v>
      </c>
      <c r="AH77" s="18">
        <f t="shared" si="265"/>
        <v>600</v>
      </c>
      <c r="AI77" s="18">
        <f t="shared" si="265"/>
        <v>600</v>
      </c>
      <c r="AJ77" s="18">
        <f t="shared" si="245"/>
        <v>2400</v>
      </c>
    </row>
    <row r="78" spans="3:36" outlineLevel="1">
      <c r="D78" s="125"/>
      <c r="E78" s="134"/>
      <c r="F78" s="134" t="s">
        <v>404</v>
      </c>
      <c r="G78" s="18">
        <f>G73*G12</f>
        <v>0</v>
      </c>
      <c r="H78" s="18">
        <f>H73*H12</f>
        <v>0</v>
      </c>
      <c r="I78" s="18">
        <f>I73*I12</f>
        <v>0</v>
      </c>
      <c r="J78" s="18">
        <f>J73*J12</f>
        <v>0</v>
      </c>
      <c r="K78" s="18">
        <f t="shared" si="235"/>
        <v>0</v>
      </c>
      <c r="L78" s="18">
        <f>L73*L12</f>
        <v>0</v>
      </c>
      <c r="M78" s="18">
        <f>M73*M12</f>
        <v>0</v>
      </c>
      <c r="N78" s="18">
        <f>N73*N12</f>
        <v>11250</v>
      </c>
      <c r="O78" s="18">
        <f>O73*O12</f>
        <v>16875</v>
      </c>
      <c r="P78" s="18">
        <f t="shared" si="237"/>
        <v>28125</v>
      </c>
      <c r="Q78" s="18">
        <f>Q73*Q12</f>
        <v>6000</v>
      </c>
      <c r="R78" s="18">
        <f>R73*R12</f>
        <v>6000</v>
      </c>
      <c r="S78" s="18">
        <f>S73*S12</f>
        <v>6000</v>
      </c>
      <c r="T78" s="18">
        <f>T73*T12</f>
        <v>6000</v>
      </c>
      <c r="U78" s="18">
        <f t="shared" si="239"/>
        <v>24000</v>
      </c>
      <c r="V78" s="18">
        <f>V73*V12</f>
        <v>1000</v>
      </c>
      <c r="W78" s="18">
        <f>W73*W12</f>
        <v>1000</v>
      </c>
      <c r="X78" s="18">
        <f>X73*X12</f>
        <v>1000</v>
      </c>
      <c r="Y78" s="18">
        <f>Y73*Y12</f>
        <v>1000</v>
      </c>
      <c r="Z78" s="18">
        <f t="shared" si="241"/>
        <v>4000</v>
      </c>
      <c r="AA78" s="18">
        <f>AA73*AA12</f>
        <v>1000</v>
      </c>
      <c r="AB78" s="18">
        <f>AB73*AB12</f>
        <v>1000</v>
      </c>
      <c r="AC78" s="18">
        <f>AC73*AC12</f>
        <v>1000</v>
      </c>
      <c r="AD78" s="18">
        <f>AD73*AD12</f>
        <v>1000</v>
      </c>
      <c r="AE78" s="18">
        <f t="shared" si="243"/>
        <v>4000</v>
      </c>
      <c r="AF78" s="18">
        <f t="shared" ref="AF78:AI78" si="266">AF73*AF12</f>
        <v>1000</v>
      </c>
      <c r="AG78" s="18">
        <f t="shared" si="266"/>
        <v>1000</v>
      </c>
      <c r="AH78" s="18">
        <f t="shared" si="266"/>
        <v>1000</v>
      </c>
      <c r="AI78" s="18">
        <f t="shared" si="266"/>
        <v>1000</v>
      </c>
      <c r="AJ78" s="18">
        <f t="shared" si="245"/>
        <v>4000</v>
      </c>
    </row>
    <row r="79" spans="3:36" outlineLevel="1">
      <c r="D79" s="125"/>
      <c r="E79" s="134"/>
      <c r="F79" s="134" t="s">
        <v>379</v>
      </c>
      <c r="G79" s="18">
        <f>G74*0</f>
        <v>0</v>
      </c>
      <c r="H79" s="18">
        <f t="shared" ref="H79:J79" si="267">H74*0</f>
        <v>0</v>
      </c>
      <c r="I79" s="18">
        <f t="shared" si="267"/>
        <v>0</v>
      </c>
      <c r="J79" s="18">
        <f t="shared" si="267"/>
        <v>0</v>
      </c>
      <c r="K79" s="18">
        <f t="shared" si="235"/>
        <v>0</v>
      </c>
      <c r="L79" s="18">
        <f>L74*0</f>
        <v>0</v>
      </c>
      <c r="M79" s="18">
        <f t="shared" ref="M79:O79" si="268">M74*0</f>
        <v>0</v>
      </c>
      <c r="N79" s="18">
        <f t="shared" si="268"/>
        <v>0</v>
      </c>
      <c r="O79" s="18">
        <f t="shared" si="268"/>
        <v>0</v>
      </c>
      <c r="P79" s="18">
        <f t="shared" si="237"/>
        <v>0</v>
      </c>
      <c r="Q79" s="18">
        <f>Q74*0</f>
        <v>0</v>
      </c>
      <c r="R79" s="18">
        <f t="shared" ref="R79:T79" si="269">R74*0</f>
        <v>0</v>
      </c>
      <c r="S79" s="18">
        <f t="shared" si="269"/>
        <v>0</v>
      </c>
      <c r="T79" s="18">
        <f t="shared" si="269"/>
        <v>0</v>
      </c>
      <c r="U79" s="18">
        <f t="shared" si="239"/>
        <v>0</v>
      </c>
      <c r="V79" s="18">
        <f>V74*0</f>
        <v>0</v>
      </c>
      <c r="W79" s="18">
        <f t="shared" ref="W79:Y79" si="270">W74*0</f>
        <v>0</v>
      </c>
      <c r="X79" s="18">
        <f t="shared" si="270"/>
        <v>0</v>
      </c>
      <c r="Y79" s="18">
        <f t="shared" si="270"/>
        <v>0</v>
      </c>
      <c r="Z79" s="18">
        <f t="shared" si="241"/>
        <v>0</v>
      </c>
      <c r="AA79" s="18">
        <f>AA74*0</f>
        <v>0</v>
      </c>
      <c r="AB79" s="18">
        <f t="shared" ref="AB79:AD79" si="271">AB74*0</f>
        <v>0</v>
      </c>
      <c r="AC79" s="18">
        <f t="shared" si="271"/>
        <v>0</v>
      </c>
      <c r="AD79" s="18">
        <f t="shared" si="271"/>
        <v>0</v>
      </c>
      <c r="AE79" s="18">
        <f t="shared" si="243"/>
        <v>0</v>
      </c>
      <c r="AF79" s="18">
        <f t="shared" ref="AF79:AI79" si="272">AF74*0</f>
        <v>0</v>
      </c>
      <c r="AG79" s="18">
        <f t="shared" si="272"/>
        <v>0</v>
      </c>
      <c r="AH79" s="18">
        <f t="shared" si="272"/>
        <v>0</v>
      </c>
      <c r="AI79" s="18">
        <f t="shared" si="272"/>
        <v>0</v>
      </c>
      <c r="AJ79" s="18">
        <f t="shared" si="245"/>
        <v>0</v>
      </c>
    </row>
    <row r="80" spans="3:36">
      <c r="E80" s="134" t="s">
        <v>406</v>
      </c>
      <c r="F80" s="134"/>
      <c r="G80" s="18">
        <f>SUM(G76:G79)</f>
        <v>0</v>
      </c>
      <c r="H80" s="18">
        <f t="shared" ref="H80:J80" si="273">SUM(H76:H79)</f>
        <v>0</v>
      </c>
      <c r="I80" s="18">
        <f t="shared" si="273"/>
        <v>0</v>
      </c>
      <c r="J80" s="18">
        <f t="shared" si="273"/>
        <v>0</v>
      </c>
      <c r="K80" s="18">
        <f t="shared" si="235"/>
        <v>0</v>
      </c>
      <c r="L80" s="18">
        <f>SUM(L76:L79)</f>
        <v>0</v>
      </c>
      <c r="M80" s="18">
        <f t="shared" ref="M80" si="274">SUM(M76:M79)</f>
        <v>0</v>
      </c>
      <c r="N80" s="18">
        <f t="shared" ref="N80" si="275">SUM(N76:N79)</f>
        <v>19875</v>
      </c>
      <c r="O80" s="18">
        <f t="shared" ref="O80" si="276">SUM(O76:O79)</f>
        <v>28312.5</v>
      </c>
      <c r="P80" s="18">
        <f t="shared" si="237"/>
        <v>48187.5</v>
      </c>
      <c r="Q80" s="18">
        <f>SUM(Q76:Q79)</f>
        <v>10600</v>
      </c>
      <c r="R80" s="18">
        <f t="shared" ref="R80" si="277">SUM(R76:R79)</f>
        <v>10600</v>
      </c>
      <c r="S80" s="18">
        <f t="shared" ref="S80" si="278">SUM(S76:S79)</f>
        <v>10600</v>
      </c>
      <c r="T80" s="18">
        <f t="shared" ref="T80" si="279">SUM(T76:T79)</f>
        <v>10600</v>
      </c>
      <c r="U80" s="18">
        <f t="shared" si="239"/>
        <v>42400</v>
      </c>
      <c r="V80" s="18">
        <f>SUM(V76:V79)</f>
        <v>3700</v>
      </c>
      <c r="W80" s="18">
        <f t="shared" ref="W80" si="280">SUM(W76:W79)</f>
        <v>3700</v>
      </c>
      <c r="X80" s="18">
        <f t="shared" ref="X80" si="281">SUM(X76:X79)</f>
        <v>3700</v>
      </c>
      <c r="Y80" s="18">
        <f t="shared" ref="Y80" si="282">SUM(Y76:Y79)</f>
        <v>3700</v>
      </c>
      <c r="Z80" s="18">
        <f t="shared" si="241"/>
        <v>14800</v>
      </c>
      <c r="AA80" s="18">
        <f>SUM(AA76:AA79)</f>
        <v>2100</v>
      </c>
      <c r="AB80" s="18">
        <f t="shared" ref="AB80" si="283">SUM(AB76:AB79)</f>
        <v>2100</v>
      </c>
      <c r="AC80" s="18">
        <f t="shared" ref="AC80" si="284">SUM(AC76:AC79)</f>
        <v>2100</v>
      </c>
      <c r="AD80" s="18">
        <f t="shared" ref="AD80:AI80" si="285">SUM(AD76:AD79)</f>
        <v>2100</v>
      </c>
      <c r="AE80" s="18">
        <f t="shared" si="243"/>
        <v>8400</v>
      </c>
      <c r="AF80" s="18">
        <f t="shared" si="285"/>
        <v>2100</v>
      </c>
      <c r="AG80" s="18">
        <f t="shared" si="285"/>
        <v>2100</v>
      </c>
      <c r="AH80" s="18">
        <f t="shared" si="285"/>
        <v>2100</v>
      </c>
      <c r="AI80" s="18">
        <f t="shared" si="285"/>
        <v>2100</v>
      </c>
      <c r="AJ80" s="18">
        <f t="shared" si="245"/>
        <v>8400</v>
      </c>
    </row>
    <row r="81" spans="1:36">
      <c r="E81" s="134" t="s">
        <v>386</v>
      </c>
      <c r="F81" s="134"/>
      <c r="G81" s="18">
        <f>G5*G15</f>
        <v>0</v>
      </c>
      <c r="H81" s="18">
        <f>H5*H15</f>
        <v>0</v>
      </c>
      <c r="I81" s="18">
        <f>I5*I15</f>
        <v>0</v>
      </c>
      <c r="J81" s="18">
        <f>J5*J15</f>
        <v>0</v>
      </c>
      <c r="K81" s="18">
        <f t="shared" si="235"/>
        <v>0</v>
      </c>
      <c r="L81" s="18">
        <f>L5*L15</f>
        <v>0</v>
      </c>
      <c r="M81" s="18">
        <f>M5*M15</f>
        <v>0</v>
      </c>
      <c r="N81" s="18">
        <f>N5*N15</f>
        <v>1500</v>
      </c>
      <c r="O81" s="18">
        <f>O5*O15</f>
        <v>1500</v>
      </c>
      <c r="P81" s="18">
        <f t="shared" si="237"/>
        <v>3000</v>
      </c>
      <c r="Q81" s="18">
        <f>Q5*Q15</f>
        <v>800</v>
      </c>
      <c r="R81" s="18">
        <f>R5*R15</f>
        <v>800</v>
      </c>
      <c r="S81" s="18">
        <f>S5*S15</f>
        <v>800</v>
      </c>
      <c r="T81" s="18">
        <f>T5*T15</f>
        <v>800</v>
      </c>
      <c r="U81" s="18">
        <f t="shared" si="239"/>
        <v>3200</v>
      </c>
      <c r="V81" s="18">
        <f>V5*V15</f>
        <v>800</v>
      </c>
      <c r="W81" s="18">
        <f>W5*W15</f>
        <v>800</v>
      </c>
      <c r="X81" s="18">
        <f>X5*X15</f>
        <v>800</v>
      </c>
      <c r="Y81" s="18">
        <f>Y5*Y15</f>
        <v>800</v>
      </c>
      <c r="Z81" s="18">
        <f t="shared" si="241"/>
        <v>3200</v>
      </c>
      <c r="AA81" s="18">
        <f>AA5*AA15</f>
        <v>800</v>
      </c>
      <c r="AB81" s="18">
        <f>AB5*AB15</f>
        <v>800</v>
      </c>
      <c r="AC81" s="18">
        <f>AC5*AC15</f>
        <v>800</v>
      </c>
      <c r="AD81" s="18">
        <f>AD5*AD15</f>
        <v>800</v>
      </c>
      <c r="AE81" s="18">
        <f t="shared" si="243"/>
        <v>3200</v>
      </c>
      <c r="AF81" s="18">
        <f t="shared" ref="AF81:AI81" si="286">AF5*AF15</f>
        <v>800</v>
      </c>
      <c r="AG81" s="18">
        <f t="shared" si="286"/>
        <v>800</v>
      </c>
      <c r="AH81" s="18">
        <f t="shared" si="286"/>
        <v>800</v>
      </c>
      <c r="AI81" s="18">
        <f t="shared" si="286"/>
        <v>800</v>
      </c>
      <c r="AJ81" s="18">
        <f t="shared" si="245"/>
        <v>3200</v>
      </c>
    </row>
    <row r="82" spans="1:36" outlineLevel="1">
      <c r="D82" t="s">
        <v>415</v>
      </c>
      <c r="E82" s="134"/>
      <c r="F82" s="134"/>
      <c r="G82" s="18">
        <f>G5*G$16*G$17</f>
        <v>0</v>
      </c>
      <c r="H82" s="18">
        <f>H5*H$16*H$17</f>
        <v>0</v>
      </c>
      <c r="I82" s="18">
        <f>I5*I$16*I$17</f>
        <v>0</v>
      </c>
      <c r="J82" s="18">
        <f>J5*J$16*J$17</f>
        <v>0</v>
      </c>
      <c r="K82" s="18">
        <f>SUM(G82:J82)</f>
        <v>0</v>
      </c>
      <c r="L82" s="18">
        <f>L5*L$16*L$17</f>
        <v>0</v>
      </c>
      <c r="M82" s="18">
        <f>M5*M$16*M$17</f>
        <v>0</v>
      </c>
      <c r="N82" s="18">
        <f>N5*N$16*N$17</f>
        <v>2812.5</v>
      </c>
      <c r="O82" s="18">
        <f>O5*O$16*O$17</f>
        <v>2812.5</v>
      </c>
      <c r="P82" s="18">
        <f>SUM(L82:O82)</f>
        <v>5625</v>
      </c>
      <c r="Q82" s="18">
        <f>Q5*Q$16*Q$17</f>
        <v>1552.4999999999998</v>
      </c>
      <c r="R82" s="18">
        <f>R5*R$16*R$17</f>
        <v>1552.4999999999998</v>
      </c>
      <c r="S82" s="18">
        <f>S5*S$16*S$17</f>
        <v>1552.4999999999998</v>
      </c>
      <c r="T82" s="18">
        <f>T5*T$16*T$17</f>
        <v>1552.4999999999998</v>
      </c>
      <c r="U82" s="18">
        <f>SUM(Q82:T82)</f>
        <v>6209.9999999999991</v>
      </c>
      <c r="V82" s="18">
        <f>V5*V$16*V$17</f>
        <v>1606.8374999999999</v>
      </c>
      <c r="W82" s="18">
        <f>W5*W$16*W$17</f>
        <v>1606.8374999999999</v>
      </c>
      <c r="X82" s="18">
        <f>X5*X$16*X$17</f>
        <v>1606.8374999999999</v>
      </c>
      <c r="Y82" s="18">
        <f>Y5*Y$16*Y$17</f>
        <v>1606.8374999999999</v>
      </c>
      <c r="Z82" s="18">
        <f>SUM(V82:Y82)</f>
        <v>6427.3499999999995</v>
      </c>
      <c r="AA82" s="18">
        <f>AA5*AA$16*AA$17</f>
        <v>0</v>
      </c>
      <c r="AB82" s="18">
        <f>AB5*AB$16*AB$17</f>
        <v>0</v>
      </c>
      <c r="AC82" s="18">
        <f>AC5*AC$16*AC$17</f>
        <v>0</v>
      </c>
      <c r="AD82" s="18">
        <f>AD5*AD$16*AD$17</f>
        <v>0</v>
      </c>
      <c r="AE82" s="18">
        <f t="shared" si="243"/>
        <v>0</v>
      </c>
      <c r="AF82" s="18">
        <f t="shared" ref="AF82:AI82" si="287">AF5*AF$16*AF$17</f>
        <v>0</v>
      </c>
      <c r="AG82" s="18">
        <f t="shared" si="287"/>
        <v>0</v>
      </c>
      <c r="AH82" s="18">
        <f t="shared" si="287"/>
        <v>0</v>
      </c>
      <c r="AI82" s="18">
        <f t="shared" si="287"/>
        <v>0</v>
      </c>
      <c r="AJ82" s="18">
        <f t="shared" si="245"/>
        <v>0</v>
      </c>
    </row>
    <row r="83" spans="1:36" outlineLevel="1">
      <c r="D83" t="s">
        <v>408</v>
      </c>
      <c r="E83" s="134"/>
      <c r="F83" s="134"/>
      <c r="G83" s="18">
        <f>IFERROR(G5/G$25*G$26, 0)</f>
        <v>0</v>
      </c>
      <c r="H83" s="18">
        <f>IFERROR(H5/H$25*H$26, 0)</f>
        <v>0</v>
      </c>
      <c r="I83" s="18">
        <f>IFERROR(I5/I$25*I$26, 0)</f>
        <v>0</v>
      </c>
      <c r="J83" s="18">
        <f>IFERROR(J5/J$25*J$26, 0)</f>
        <v>0</v>
      </c>
      <c r="K83" s="18">
        <f t="shared" ref="K83:K86" si="288">SUM(G83:J83)</f>
        <v>0</v>
      </c>
      <c r="L83" s="18">
        <f>IFERROR(L5/L$25*L$26, 0)</f>
        <v>0</v>
      </c>
      <c r="M83" s="18">
        <f>IFERROR(M5/M$25*M$26, 0)</f>
        <v>0</v>
      </c>
      <c r="N83" s="18">
        <f>IFERROR(N5/N$25*N$26, 0)</f>
        <v>562.5</v>
      </c>
      <c r="O83" s="18">
        <f>IFERROR(O5/O$25*O$26, 0)</f>
        <v>562.5</v>
      </c>
      <c r="P83" s="18">
        <f t="shared" ref="P83:P86" si="289">SUM(L83:O83)</f>
        <v>1125</v>
      </c>
      <c r="Q83" s="18">
        <f>IFERROR(Q5/Q$25*Q$26, 0)</f>
        <v>300</v>
      </c>
      <c r="R83" s="18">
        <f>IFERROR(R5/R$25*R$26, 0)</f>
        <v>300</v>
      </c>
      <c r="S83" s="18">
        <f>IFERROR(S5/S$25*S$26, 0)</f>
        <v>300</v>
      </c>
      <c r="T83" s="18">
        <f>IFERROR(T5/T$25*T$26, 0)</f>
        <v>300</v>
      </c>
      <c r="U83" s="18">
        <f t="shared" ref="U83:U86" si="290">SUM(Q83:T83)</f>
        <v>1200</v>
      </c>
      <c r="V83" s="18">
        <f>IFERROR(V5/V$25*V$26, 0)</f>
        <v>300</v>
      </c>
      <c r="W83" s="18">
        <f>IFERROR(W5/W$25*W$26, 0)</f>
        <v>300</v>
      </c>
      <c r="X83" s="18">
        <f>IFERROR(X5/X$25*X$26, 0)</f>
        <v>300</v>
      </c>
      <c r="Y83" s="18">
        <f>IFERROR(Y5/Y$25*Y$26, 0)</f>
        <v>300</v>
      </c>
      <c r="Z83" s="18">
        <f t="shared" ref="Z83:Z86" si="291">SUM(V83:Y83)</f>
        <v>1200</v>
      </c>
      <c r="AA83" s="18">
        <f>IFERROR(AA5/AA$25*AA$26, 0)</f>
        <v>300</v>
      </c>
      <c r="AB83" s="18">
        <f>IFERROR(AB5/AB$25*AB$26, 0)</f>
        <v>300</v>
      </c>
      <c r="AC83" s="18">
        <f>IFERROR(AC5/AC$25*AC$26, 0)</f>
        <v>300</v>
      </c>
      <c r="AD83" s="18">
        <f>IFERROR(AD5/AD$25*AD$26, 0)</f>
        <v>300</v>
      </c>
      <c r="AE83" s="18">
        <f t="shared" si="243"/>
        <v>1200</v>
      </c>
      <c r="AF83" s="18">
        <f t="shared" ref="AF83:AI83" si="292">IFERROR(AF5/AF$25*AF$26, 0)</f>
        <v>300</v>
      </c>
      <c r="AG83" s="18">
        <f t="shared" si="292"/>
        <v>300</v>
      </c>
      <c r="AH83" s="18">
        <f t="shared" si="292"/>
        <v>300</v>
      </c>
      <c r="AI83" s="18">
        <f t="shared" si="292"/>
        <v>300</v>
      </c>
      <c r="AJ83" s="18">
        <f t="shared" si="245"/>
        <v>1200</v>
      </c>
    </row>
    <row r="84" spans="1:36" outlineLevel="1">
      <c r="D84" t="s">
        <v>409</v>
      </c>
      <c r="F84" s="134"/>
      <c r="G84" s="18">
        <f>IFERROR(G5*G$19/G$20*G$21,0)</f>
        <v>0</v>
      </c>
      <c r="H84" s="18">
        <f>IFERROR(H5*H$19/H$20*H$21,0)</f>
        <v>0</v>
      </c>
      <c r="I84" s="18">
        <f>IFERROR(I5*I$19/I$20*I$21,0)</f>
        <v>0</v>
      </c>
      <c r="J84" s="18">
        <f>IFERROR(J5*J$19/J$20*J$21,0)</f>
        <v>0</v>
      </c>
      <c r="K84" s="18">
        <f t="shared" si="288"/>
        <v>0</v>
      </c>
      <c r="L84" s="18">
        <f>IFERROR(L5*L$19/L$20*L$21,0)</f>
        <v>0</v>
      </c>
      <c r="M84" s="18">
        <f>IFERROR(M5*M$19/M$20*M$21,0)</f>
        <v>0</v>
      </c>
      <c r="N84" s="18">
        <f>IFERROR(N5*N$19/N$20*N$21,0)</f>
        <v>1875</v>
      </c>
      <c r="O84" s="18">
        <f>IFERROR(O5*O$19/O$20*O$21,0)</f>
        <v>1875</v>
      </c>
      <c r="P84" s="18">
        <f t="shared" si="289"/>
        <v>3750</v>
      </c>
      <c r="Q84" s="18">
        <f>IFERROR(Q5*Q$19/Q$20*Q$21,0)</f>
        <v>1000.0000000000001</v>
      </c>
      <c r="R84" s="18">
        <f>IFERROR(R5*R$19/R$20*R$21,0)</f>
        <v>1000.0000000000001</v>
      </c>
      <c r="S84" s="18">
        <f>IFERROR(S5*S$19/S$20*S$21,0)</f>
        <v>1000.0000000000001</v>
      </c>
      <c r="T84" s="18">
        <f>IFERROR(T5*T$19/T$20*T$21,0)</f>
        <v>1000.0000000000001</v>
      </c>
      <c r="U84" s="18">
        <f t="shared" si="290"/>
        <v>4000.0000000000005</v>
      </c>
      <c r="V84" s="18">
        <f>IFERROR(V5*V$19/V$20*V$21,0)</f>
        <v>1000.0000000000001</v>
      </c>
      <c r="W84" s="18">
        <f>IFERROR(W5*W$19/W$20*W$21,0)</f>
        <v>1000.0000000000001</v>
      </c>
      <c r="X84" s="18">
        <f>IFERROR(X5*X$19/X$20*X$21,0)</f>
        <v>1000.0000000000001</v>
      </c>
      <c r="Y84" s="18">
        <f>IFERROR(Y5*Y$19/Y$20*Y$21,0)</f>
        <v>1000.0000000000001</v>
      </c>
      <c r="Z84" s="18">
        <f t="shared" si="291"/>
        <v>4000.0000000000005</v>
      </c>
      <c r="AA84" s="18">
        <f>IFERROR(AA5*AA$19/AA$20*AA$21,0)</f>
        <v>1000.0000000000001</v>
      </c>
      <c r="AB84" s="18">
        <f>IFERROR(AB5*AB$19/AB$20*AB$21,0)</f>
        <v>1000.0000000000001</v>
      </c>
      <c r="AC84" s="18">
        <f>IFERROR(AC5*AC$19/AC$20*AC$21,0)</f>
        <v>1000.0000000000001</v>
      </c>
      <c r="AD84" s="18">
        <f>IFERROR(AD5*AD$19/AD$20*AD$21,0)</f>
        <v>1000.0000000000001</v>
      </c>
      <c r="AE84" s="18">
        <f t="shared" si="243"/>
        <v>4000.0000000000005</v>
      </c>
      <c r="AF84" s="18">
        <f t="shared" ref="AF84:AI84" si="293">IFERROR(AF5*AF$19/AF$20*AF$21,0)</f>
        <v>1000.0000000000001</v>
      </c>
      <c r="AG84" s="18">
        <f t="shared" si="293"/>
        <v>1000.0000000000001</v>
      </c>
      <c r="AH84" s="18">
        <f t="shared" si="293"/>
        <v>1000.0000000000001</v>
      </c>
      <c r="AI84" s="18">
        <f t="shared" si="293"/>
        <v>1000.0000000000001</v>
      </c>
      <c r="AJ84" s="18">
        <f t="shared" si="245"/>
        <v>4000.0000000000005</v>
      </c>
    </row>
    <row r="85" spans="1:36" outlineLevel="1">
      <c r="D85" t="s">
        <v>410</v>
      </c>
      <c r="F85" s="134"/>
      <c r="G85" s="18">
        <f>IFERROR(G5*G$24/G$22*G$23,0)</f>
        <v>0</v>
      </c>
      <c r="H85" s="18">
        <f t="shared" ref="H85:J85" si="294">IFERROR(H5*H$24/H$22*H$23,0)</f>
        <v>0</v>
      </c>
      <c r="I85" s="18">
        <f t="shared" si="294"/>
        <v>0</v>
      </c>
      <c r="J85" s="18">
        <f t="shared" si="294"/>
        <v>0</v>
      </c>
      <c r="K85" s="18">
        <f t="shared" si="288"/>
        <v>0</v>
      </c>
      <c r="L85" s="18">
        <f>IFERROR(L5*L$24/L$22*L$23,0)</f>
        <v>0</v>
      </c>
      <c r="M85" s="18">
        <f t="shared" ref="M85:O85" si="295">IFERROR(M5*M$24/M$22*M$23,0)</f>
        <v>0</v>
      </c>
      <c r="N85" s="18">
        <f t="shared" si="295"/>
        <v>87.890625</v>
      </c>
      <c r="O85" s="18">
        <f t="shared" si="295"/>
        <v>87.890625</v>
      </c>
      <c r="P85" s="18">
        <f t="shared" si="289"/>
        <v>175.78125</v>
      </c>
      <c r="Q85" s="18">
        <f>IFERROR(Q5*Q$24/Q$22*Q$23,0)</f>
        <v>46.875</v>
      </c>
      <c r="R85" s="18">
        <f t="shared" ref="R85:T85" si="296">IFERROR(R5*R$24/R$22*R$23,0)</f>
        <v>46.875</v>
      </c>
      <c r="S85" s="18">
        <f t="shared" si="296"/>
        <v>46.875</v>
      </c>
      <c r="T85" s="18">
        <f t="shared" si="296"/>
        <v>46.875</v>
      </c>
      <c r="U85" s="18">
        <f t="shared" si="290"/>
        <v>187.5</v>
      </c>
      <c r="V85" s="18">
        <f>IFERROR(V5*V$24/V$22*V$23,0)</f>
        <v>46.875</v>
      </c>
      <c r="W85" s="18">
        <f t="shared" ref="W85:Y85" si="297">IFERROR(W5*W$24/W$22*W$23,0)</f>
        <v>46.875</v>
      </c>
      <c r="X85" s="18">
        <f t="shared" si="297"/>
        <v>46.875</v>
      </c>
      <c r="Y85" s="18">
        <f t="shared" si="297"/>
        <v>46.875</v>
      </c>
      <c r="Z85" s="18">
        <f t="shared" si="291"/>
        <v>187.5</v>
      </c>
      <c r="AA85" s="18">
        <f>IFERROR(AA5*AA$24/AA$22*AA$23,0)</f>
        <v>46.875</v>
      </c>
      <c r="AB85" s="18">
        <f t="shared" ref="AB85:AD85" si="298">IFERROR(AB5*AB$24/AB$22*AB$23,0)</f>
        <v>46.875</v>
      </c>
      <c r="AC85" s="18">
        <f t="shared" si="298"/>
        <v>46.875</v>
      </c>
      <c r="AD85" s="18">
        <f t="shared" si="298"/>
        <v>46.875</v>
      </c>
      <c r="AE85" s="18">
        <f t="shared" si="243"/>
        <v>187.5</v>
      </c>
      <c r="AF85" s="18">
        <f t="shared" ref="AF85:AI85" si="299">IFERROR(AF5*AF$24/AF$22*AF$23,0)</f>
        <v>46.875</v>
      </c>
      <c r="AG85" s="18">
        <f t="shared" si="299"/>
        <v>46.875</v>
      </c>
      <c r="AH85" s="18">
        <f t="shared" si="299"/>
        <v>46.875</v>
      </c>
      <c r="AI85" s="18">
        <f t="shared" si="299"/>
        <v>46.875</v>
      </c>
      <c r="AJ85" s="18">
        <f t="shared" si="245"/>
        <v>187.5</v>
      </c>
    </row>
    <row r="86" spans="1:36" outlineLevel="1">
      <c r="D86" t="s">
        <v>411</v>
      </c>
      <c r="F86" s="134"/>
      <c r="G86" s="18">
        <f>G5*G$16*G$27</f>
        <v>0</v>
      </c>
      <c r="H86" s="18">
        <f>H5*H$16*H$27</f>
        <v>0</v>
      </c>
      <c r="I86" s="18">
        <f>I5*I$16*I$27</f>
        <v>0</v>
      </c>
      <c r="J86" s="18">
        <f>J5*J$16*J$27</f>
        <v>0</v>
      </c>
      <c r="K86" s="18">
        <f t="shared" si="288"/>
        <v>0</v>
      </c>
      <c r="L86" s="18">
        <f>L5*L$16*L$27</f>
        <v>0</v>
      </c>
      <c r="M86" s="18">
        <f>M5*M$16*M$27</f>
        <v>0</v>
      </c>
      <c r="N86" s="18">
        <f>N5*N$16*N$27</f>
        <v>2812.5</v>
      </c>
      <c r="O86" s="18">
        <f>O5*O$16*O$27</f>
        <v>2812.5</v>
      </c>
      <c r="P86" s="18">
        <f t="shared" si="289"/>
        <v>5625</v>
      </c>
      <c r="Q86" s="18">
        <f>Q5*Q$16*Q$27</f>
        <v>1500</v>
      </c>
      <c r="R86" s="18">
        <f>R5*R$16*R$27</f>
        <v>1500</v>
      </c>
      <c r="S86" s="18">
        <f>S5*S$16*S$27</f>
        <v>1500</v>
      </c>
      <c r="T86" s="18">
        <f>T5*T$16*T$27</f>
        <v>1500</v>
      </c>
      <c r="U86" s="18">
        <f t="shared" si="290"/>
        <v>6000</v>
      </c>
      <c r="V86" s="18">
        <f>V5*V$16*V$27</f>
        <v>1500</v>
      </c>
      <c r="W86" s="18">
        <f>W5*W$16*W$27</f>
        <v>1500</v>
      </c>
      <c r="X86" s="18">
        <f>X5*X$16*X$27</f>
        <v>1500</v>
      </c>
      <c r="Y86" s="18">
        <f>Y5*Y$16*Y$27</f>
        <v>1500</v>
      </c>
      <c r="Z86" s="18">
        <f t="shared" si="291"/>
        <v>6000</v>
      </c>
      <c r="AA86" s="18">
        <f>AA5*AA$16*AA$27</f>
        <v>1500</v>
      </c>
      <c r="AB86" s="18">
        <f>AB5*AB$16*AB$27</f>
        <v>1500</v>
      </c>
      <c r="AC86" s="18">
        <f>AC5*AC$16*AC$27</f>
        <v>1500</v>
      </c>
      <c r="AD86" s="18">
        <f>AD5*AD$16*AD$27</f>
        <v>1500</v>
      </c>
      <c r="AE86" s="18">
        <f t="shared" si="243"/>
        <v>6000</v>
      </c>
      <c r="AF86" s="18">
        <f t="shared" ref="AF86:AI86" si="300">AF5*AF$16*AF$27</f>
        <v>1500</v>
      </c>
      <c r="AG86" s="18">
        <f t="shared" si="300"/>
        <v>1500</v>
      </c>
      <c r="AH86" s="18">
        <f t="shared" si="300"/>
        <v>1500</v>
      </c>
      <c r="AI86" s="18">
        <f t="shared" si="300"/>
        <v>1500</v>
      </c>
      <c r="AJ86" s="18">
        <f t="shared" si="245"/>
        <v>6000</v>
      </c>
    </row>
    <row r="87" spans="1:36">
      <c r="E87" t="s">
        <v>231</v>
      </c>
      <c r="G87" s="140">
        <f>SUM(G82:G86)</f>
        <v>0</v>
      </c>
      <c r="H87" s="140">
        <f t="shared" ref="H87" si="301">SUM(H82:H86)</f>
        <v>0</v>
      </c>
      <c r="I87" s="140">
        <f t="shared" ref="I87" si="302">SUM(I82:I86)</f>
        <v>0</v>
      </c>
      <c r="J87" s="140">
        <f t="shared" ref="J87" si="303">SUM(J82:J86)</f>
        <v>0</v>
      </c>
      <c r="K87" s="18">
        <f>SUM(G87:J87)</f>
        <v>0</v>
      </c>
      <c r="L87" s="140">
        <f>SUM(L82:L86)</f>
        <v>0</v>
      </c>
      <c r="M87" s="140">
        <f t="shared" ref="M87" si="304">SUM(M82:M86)</f>
        <v>0</v>
      </c>
      <c r="N87" s="140">
        <f t="shared" ref="N87" si="305">SUM(N82:N86)</f>
        <v>8150.390625</v>
      </c>
      <c r="O87" s="140">
        <f t="shared" ref="O87" si="306">SUM(O82:O86)</f>
        <v>8150.390625</v>
      </c>
      <c r="P87" s="18">
        <f>SUM(L87:O87)</f>
        <v>16300.78125</v>
      </c>
      <c r="Q87" s="140">
        <f>SUM(Q82:Q86)</f>
        <v>4399.375</v>
      </c>
      <c r="R87" s="140">
        <f t="shared" ref="R87" si="307">SUM(R82:R86)</f>
        <v>4399.375</v>
      </c>
      <c r="S87" s="140">
        <f t="shared" ref="S87" si="308">SUM(S82:S86)</f>
        <v>4399.375</v>
      </c>
      <c r="T87" s="140">
        <f t="shared" ref="T87" si="309">SUM(T82:T86)</f>
        <v>4399.375</v>
      </c>
      <c r="U87" s="18">
        <f>SUM(Q87:T87)</f>
        <v>17597.5</v>
      </c>
      <c r="V87" s="140">
        <f>SUM(V82:V86)</f>
        <v>4453.7124999999996</v>
      </c>
      <c r="W87" s="140">
        <f t="shared" ref="W87" si="310">SUM(W82:W86)</f>
        <v>4453.7124999999996</v>
      </c>
      <c r="X87" s="140">
        <f t="shared" ref="X87" si="311">SUM(X82:X86)</f>
        <v>4453.7124999999996</v>
      </c>
      <c r="Y87" s="140">
        <f t="shared" ref="Y87" si="312">SUM(Y82:Y86)</f>
        <v>4453.7124999999996</v>
      </c>
      <c r="Z87" s="18">
        <f>SUM(V87:Y87)</f>
        <v>17814.849999999999</v>
      </c>
      <c r="AA87" s="140">
        <f>SUM(AA82:AA86)</f>
        <v>2846.875</v>
      </c>
      <c r="AB87" s="140">
        <f t="shared" ref="AB87" si="313">SUM(AB82:AB86)</f>
        <v>2846.875</v>
      </c>
      <c r="AC87" s="140">
        <f t="shared" ref="AC87" si="314">SUM(AC82:AC86)</f>
        <v>2846.875</v>
      </c>
      <c r="AD87" s="140">
        <f t="shared" ref="AD87:AI87" si="315">SUM(AD82:AD86)</f>
        <v>2846.875</v>
      </c>
      <c r="AE87" s="18">
        <f t="shared" si="243"/>
        <v>11387.5</v>
      </c>
      <c r="AF87" s="140">
        <f t="shared" si="315"/>
        <v>2846.875</v>
      </c>
      <c r="AG87" s="140">
        <f t="shared" si="315"/>
        <v>2846.875</v>
      </c>
      <c r="AH87" s="140">
        <f t="shared" si="315"/>
        <v>2846.875</v>
      </c>
      <c r="AI87" s="140">
        <f t="shared" si="315"/>
        <v>2846.875</v>
      </c>
      <c r="AJ87" s="18">
        <f t="shared" si="245"/>
        <v>11387.5</v>
      </c>
    </row>
    <row r="88" spans="1:36">
      <c r="D88" s="113" t="s">
        <v>418</v>
      </c>
      <c r="E88" s="112"/>
      <c r="F88" s="112"/>
      <c r="G88" s="112">
        <f>G80+G81+G87</f>
        <v>0</v>
      </c>
      <c r="H88" s="112">
        <f t="shared" ref="H88" si="316">H80+H81+H87</f>
        <v>0</v>
      </c>
      <c r="I88" s="112">
        <f t="shared" ref="I88" si="317">I80+I81+I87</f>
        <v>0</v>
      </c>
      <c r="J88" s="112">
        <f t="shared" ref="J88" si="318">J80+J81+J87</f>
        <v>0</v>
      </c>
      <c r="K88" s="112">
        <f t="shared" ref="K88" si="319">K80+K81+K87</f>
        <v>0</v>
      </c>
      <c r="L88" s="112">
        <f t="shared" ref="L88" si="320">L80+L81+L87</f>
        <v>0</v>
      </c>
      <c r="M88" s="112">
        <f t="shared" ref="M88" si="321">M80+M81+M87</f>
        <v>0</v>
      </c>
      <c r="N88" s="112">
        <f t="shared" ref="N88" si="322">N80+N81+N87</f>
        <v>29525.390625</v>
      </c>
      <c r="O88" s="112">
        <f t="shared" ref="O88" si="323">O80+O81+O87</f>
        <v>37962.890625</v>
      </c>
      <c r="P88" s="112">
        <f t="shared" ref="P88" si="324">P80+P81+P87</f>
        <v>67488.28125</v>
      </c>
      <c r="Q88" s="112">
        <f t="shared" ref="Q88" si="325">Q80+Q81+Q87</f>
        <v>15799.375</v>
      </c>
      <c r="R88" s="112">
        <f t="shared" ref="R88" si="326">R80+R81+R87</f>
        <v>15799.375</v>
      </c>
      <c r="S88" s="112">
        <f t="shared" ref="S88" si="327">S80+S81+S87</f>
        <v>15799.375</v>
      </c>
      <c r="T88" s="112">
        <f t="shared" ref="T88" si="328">T80+T81+T87</f>
        <v>15799.375</v>
      </c>
      <c r="U88" s="112">
        <f t="shared" ref="U88" si="329">U80+U81+U87</f>
        <v>63197.5</v>
      </c>
      <c r="V88" s="112">
        <f t="shared" ref="V88" si="330">V80+V81+V87</f>
        <v>8953.7124999999996</v>
      </c>
      <c r="W88" s="112">
        <f t="shared" ref="W88" si="331">W80+W81+W87</f>
        <v>8953.7124999999996</v>
      </c>
      <c r="X88" s="112">
        <f t="shared" ref="X88" si="332">X80+X81+X87</f>
        <v>8953.7124999999996</v>
      </c>
      <c r="Y88" s="112">
        <f t="shared" ref="Y88" si="333">Y80+Y81+Y87</f>
        <v>8953.7124999999996</v>
      </c>
      <c r="Z88" s="112">
        <f t="shared" ref="Z88" si="334">Z80+Z81+Z87</f>
        <v>35814.85</v>
      </c>
      <c r="AA88" s="112">
        <f t="shared" ref="AA88" si="335">AA80+AA81+AA87</f>
        <v>5746.875</v>
      </c>
      <c r="AB88" s="112">
        <f t="shared" ref="AB88" si="336">AB80+AB81+AB87</f>
        <v>5746.875</v>
      </c>
      <c r="AC88" s="112">
        <f t="shared" ref="AC88" si="337">AC80+AC81+AC87</f>
        <v>5746.875</v>
      </c>
      <c r="AD88" s="112">
        <f>AD80+AD81+AD87</f>
        <v>5746.875</v>
      </c>
      <c r="AE88" s="112">
        <f t="shared" ref="AE88" si="338">AE80+AE81+AE87</f>
        <v>22987.5</v>
      </c>
      <c r="AF88" s="112">
        <f t="shared" ref="AF88:AJ88" si="339">AF80+AF81+AF87</f>
        <v>5746.875</v>
      </c>
      <c r="AG88" s="112">
        <f t="shared" si="339"/>
        <v>5746.875</v>
      </c>
      <c r="AH88" s="112">
        <f t="shared" si="339"/>
        <v>5746.875</v>
      </c>
      <c r="AI88" s="112">
        <f t="shared" si="339"/>
        <v>5746.875</v>
      </c>
      <c r="AJ88" s="112">
        <f t="shared" si="339"/>
        <v>22987.5</v>
      </c>
    </row>
    <row r="89" spans="1:36">
      <c r="D89" s="114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</row>
    <row r="90" spans="1:36" ht="15.95" thickBot="1">
      <c r="D90" s="97" t="s">
        <v>419</v>
      </c>
      <c r="E90" s="97"/>
      <c r="F90" s="97"/>
      <c r="G90" s="98">
        <f t="shared" ref="G90:AD90" si="340">G48+G68+G88</f>
        <v>0</v>
      </c>
      <c r="H90" s="98">
        <f t="shared" si="340"/>
        <v>0</v>
      </c>
      <c r="I90" s="98">
        <f t="shared" si="340"/>
        <v>0</v>
      </c>
      <c r="J90" s="98">
        <f t="shared" si="340"/>
        <v>0</v>
      </c>
      <c r="K90" s="98">
        <f t="shared" si="340"/>
        <v>0</v>
      </c>
      <c r="L90" s="98">
        <f t="shared" si="340"/>
        <v>0</v>
      </c>
      <c r="M90" s="98">
        <f t="shared" si="340"/>
        <v>0</v>
      </c>
      <c r="N90" s="98">
        <f t="shared" si="340"/>
        <v>118101.5625</v>
      </c>
      <c r="O90" s="98">
        <f t="shared" si="340"/>
        <v>126539.0625</v>
      </c>
      <c r="P90" s="98">
        <f t="shared" si="340"/>
        <v>244640.625</v>
      </c>
      <c r="Q90" s="98">
        <f t="shared" si="340"/>
        <v>51898.125</v>
      </c>
      <c r="R90" s="98">
        <f t="shared" si="340"/>
        <v>51898.125</v>
      </c>
      <c r="S90" s="98">
        <f t="shared" si="340"/>
        <v>51898.125</v>
      </c>
      <c r="T90" s="98">
        <f t="shared" si="340"/>
        <v>51898.125</v>
      </c>
      <c r="U90" s="98">
        <f t="shared" si="340"/>
        <v>207592.5</v>
      </c>
      <c r="V90" s="98">
        <f t="shared" si="340"/>
        <v>28111.137499999997</v>
      </c>
      <c r="W90" s="98">
        <f t="shared" si="340"/>
        <v>28111.137499999997</v>
      </c>
      <c r="X90" s="98">
        <f t="shared" si="340"/>
        <v>28111.137499999997</v>
      </c>
      <c r="Y90" s="98">
        <f t="shared" si="340"/>
        <v>28111.137499999997</v>
      </c>
      <c r="Z90" s="98">
        <f t="shared" si="340"/>
        <v>112444.54999999999</v>
      </c>
      <c r="AA90" s="98">
        <f t="shared" si="340"/>
        <v>17990.625</v>
      </c>
      <c r="AB90" s="98">
        <f t="shared" si="340"/>
        <v>17990.625</v>
      </c>
      <c r="AC90" s="98">
        <f t="shared" si="340"/>
        <v>17990.625</v>
      </c>
      <c r="AD90" s="98">
        <f t="shared" si="340"/>
        <v>17990.625</v>
      </c>
      <c r="AE90" s="98">
        <f>AE48+AE68+AE88</f>
        <v>71962.5</v>
      </c>
      <c r="AF90" s="98">
        <f t="shared" ref="AF90:AI90" si="341">AF48+AF68+AF88</f>
        <v>17990.625</v>
      </c>
      <c r="AG90" s="98">
        <f t="shared" si="341"/>
        <v>17990.625</v>
      </c>
      <c r="AH90" s="98">
        <f t="shared" si="341"/>
        <v>17990.625</v>
      </c>
      <c r="AI90" s="98">
        <f t="shared" si="341"/>
        <v>17990.625</v>
      </c>
      <c r="AJ90" s="98">
        <f>AJ48+AJ68+AJ88</f>
        <v>71962.5</v>
      </c>
    </row>
    <row r="91" spans="1:36">
      <c r="A91" t="s">
        <v>420</v>
      </c>
      <c r="B91" s="128">
        <v>4.4999999999999998E-2</v>
      </c>
    </row>
    <row r="92" spans="1:36">
      <c r="A92" t="s">
        <v>421</v>
      </c>
      <c r="B92" s="122">
        <v>5000</v>
      </c>
      <c r="C92" s="125" t="s">
        <v>422</v>
      </c>
      <c r="E92" s="125"/>
    </row>
    <row r="93" spans="1:36">
      <c r="A93" t="s">
        <v>423</v>
      </c>
      <c r="B93" s="127">
        <v>1.5</v>
      </c>
      <c r="E93" t="s">
        <v>422</v>
      </c>
      <c r="G93" s="18">
        <v>0</v>
      </c>
      <c r="H93" s="18">
        <v>0</v>
      </c>
      <c r="I93" s="18">
        <v>0</v>
      </c>
      <c r="J93" s="18">
        <v>0</v>
      </c>
      <c r="K93" s="18">
        <f t="shared" ref="K93:K95" si="342">SUM(G93:J93)</f>
        <v>0</v>
      </c>
      <c r="L93" s="18">
        <v>0</v>
      </c>
      <c r="M93" s="18">
        <v>0</v>
      </c>
      <c r="N93" s="18">
        <f>($B$92*$B$93)*3</f>
        <v>22500</v>
      </c>
      <c r="O93" s="18">
        <f>($B$92*$B$93)*3</f>
        <v>22500</v>
      </c>
      <c r="P93" s="18">
        <f t="shared" ref="P93:P95" si="343">SUM(L93:O93)</f>
        <v>45000</v>
      </c>
      <c r="Q93" s="18">
        <f>($B$92*$B$93*(1+$B$91))*3</f>
        <v>23512.499999999996</v>
      </c>
      <c r="R93" s="18">
        <f>($B$92*$B$93*(1+$B$91))*3</f>
        <v>23512.499999999996</v>
      </c>
      <c r="S93" s="18">
        <f>($B$92*$B$93*(1+$B$91))*3</f>
        <v>23512.499999999996</v>
      </c>
      <c r="T93" s="18">
        <f>($B$92*$B$93*(1+$B$91))*3</f>
        <v>23512.499999999996</v>
      </c>
      <c r="U93" s="18">
        <f t="shared" ref="U93:U95" si="344">SUM(Q93:T93)</f>
        <v>94049.999999999985</v>
      </c>
      <c r="V93" s="18">
        <f>($B$92*$B$93*(1+$B$91)^2)*3</f>
        <v>24570.562499999993</v>
      </c>
      <c r="W93" s="18">
        <f>($B$92*$B$93*(1+$B$91)^2)*3</f>
        <v>24570.562499999993</v>
      </c>
      <c r="X93" s="18">
        <f>($B$92*$B$93*(1+$B$91)^2)*3</f>
        <v>24570.562499999993</v>
      </c>
      <c r="Y93" s="18">
        <f>($B$92*$B$93*(1+$B$91)^2)*3</f>
        <v>24570.562499999993</v>
      </c>
      <c r="Z93" s="18">
        <f t="shared" ref="Z93:Z95" si="345">SUM(V93:Y93)</f>
        <v>98282.249999999971</v>
      </c>
      <c r="AA93" s="18">
        <f>($B$92*$B$93*(1+$B$91)^2)*3</f>
        <v>24570.562499999993</v>
      </c>
      <c r="AB93" s="18">
        <f>($B$92*$B$93*(1+$B$91)^2)*3</f>
        <v>24570.562499999993</v>
      </c>
      <c r="AC93" s="18">
        <f>($B$92*$B$93*(1+$B$91)^2)*3</f>
        <v>24570.562499999993</v>
      </c>
      <c r="AD93" s="18">
        <f>($B$92*$B$93*(1+$B$91)^2)*3</f>
        <v>24570.562499999993</v>
      </c>
      <c r="AE93" s="18">
        <f>SUM(AA93:AD93)</f>
        <v>98282.249999999971</v>
      </c>
      <c r="AF93" s="18">
        <f t="shared" ref="AF93:AI93" si="346">($B$92*$B$93*(1+$B$91)^2)*3</f>
        <v>24570.562499999993</v>
      </c>
      <c r="AG93" s="18">
        <f t="shared" si="346"/>
        <v>24570.562499999993</v>
      </c>
      <c r="AH93" s="18">
        <f t="shared" si="346"/>
        <v>24570.562499999993</v>
      </c>
      <c r="AI93" s="18">
        <f t="shared" si="346"/>
        <v>24570.562499999993</v>
      </c>
      <c r="AJ93" s="18">
        <f>SUM(AF93:AI93)</f>
        <v>98282.249999999971</v>
      </c>
    </row>
    <row r="94" spans="1:36">
      <c r="A94" t="s">
        <v>117</v>
      </c>
      <c r="B94" s="126">
        <v>0.12</v>
      </c>
      <c r="E94" t="s">
        <v>424</v>
      </c>
      <c r="G94" s="18">
        <v>0</v>
      </c>
      <c r="H94" s="18">
        <v>0</v>
      </c>
      <c r="I94" s="18">
        <v>0</v>
      </c>
      <c r="J94" s="18">
        <v>0</v>
      </c>
      <c r="K94" s="18">
        <f t="shared" si="342"/>
        <v>0</v>
      </c>
      <c r="L94" s="18">
        <v>0</v>
      </c>
      <c r="M94" s="18">
        <f>M93*$B$94</f>
        <v>0</v>
      </c>
      <c r="N94" s="18">
        <f>N93*$B$94</f>
        <v>2700</v>
      </c>
      <c r="O94" s="18">
        <f>O93*$B$94</f>
        <v>2700</v>
      </c>
      <c r="P94" s="18">
        <f t="shared" si="343"/>
        <v>5400</v>
      </c>
      <c r="Q94" s="18">
        <f>Q93*$B$94</f>
        <v>2821.4999999999995</v>
      </c>
      <c r="R94" s="18">
        <f>R93*$B$94</f>
        <v>2821.4999999999995</v>
      </c>
      <c r="S94" s="18">
        <f>S93*$B$94</f>
        <v>2821.4999999999995</v>
      </c>
      <c r="T94" s="18">
        <f>T93*$B$94</f>
        <v>2821.4999999999995</v>
      </c>
      <c r="U94" s="18">
        <f t="shared" si="344"/>
        <v>11285.999999999998</v>
      </c>
      <c r="V94" s="18">
        <f>V93*$B$94</f>
        <v>2948.4674999999988</v>
      </c>
      <c r="W94" s="18">
        <f>W93*$B$94</f>
        <v>2948.4674999999988</v>
      </c>
      <c r="X94" s="18">
        <f>X93*$B$94</f>
        <v>2948.4674999999988</v>
      </c>
      <c r="Y94" s="18">
        <f>Y93*$B$94</f>
        <v>2948.4674999999988</v>
      </c>
      <c r="Z94" s="18">
        <f t="shared" si="345"/>
        <v>11793.869999999995</v>
      </c>
      <c r="AA94" s="18">
        <f>AA93*$B$94</f>
        <v>2948.4674999999988</v>
      </c>
      <c r="AB94" s="18">
        <f>AB93*$B$94</f>
        <v>2948.4674999999988</v>
      </c>
      <c r="AC94" s="18">
        <f>AC93*$B$94</f>
        <v>2948.4674999999988</v>
      </c>
      <c r="AD94" s="18">
        <f>AD93*$B$94</f>
        <v>2948.4674999999988</v>
      </c>
      <c r="AE94" s="18">
        <f>SUM(AA94:AD94)</f>
        <v>11793.869999999995</v>
      </c>
      <c r="AF94" s="18">
        <f t="shared" ref="AF94:AI94" si="347">AF93*$B$94</f>
        <v>2948.4674999999988</v>
      </c>
      <c r="AG94" s="18">
        <f t="shared" si="347"/>
        <v>2948.4674999999988</v>
      </c>
      <c r="AH94" s="18">
        <f t="shared" si="347"/>
        <v>2948.4674999999988</v>
      </c>
      <c r="AI94" s="18">
        <f t="shared" si="347"/>
        <v>2948.4674999999988</v>
      </c>
      <c r="AJ94" s="18">
        <f>SUM(AF94:AI94)</f>
        <v>11793.869999999995</v>
      </c>
    </row>
    <row r="95" spans="1:36">
      <c r="A95" t="s">
        <v>115</v>
      </c>
      <c r="B95" s="126">
        <v>7.0000000000000007E-2</v>
      </c>
      <c r="E95" t="s">
        <v>425</v>
      </c>
      <c r="G95" s="18">
        <v>0</v>
      </c>
      <c r="H95" s="18">
        <v>0</v>
      </c>
      <c r="I95" s="18">
        <v>0</v>
      </c>
      <c r="J95" s="18">
        <v>0</v>
      </c>
      <c r="K95" s="18">
        <f t="shared" si="342"/>
        <v>0</v>
      </c>
      <c r="L95" s="18">
        <v>0</v>
      </c>
      <c r="M95" s="18">
        <f>M93*$B$95</f>
        <v>0</v>
      </c>
      <c r="N95" s="18">
        <f>N93*$B$95</f>
        <v>1575.0000000000002</v>
      </c>
      <c r="O95" s="18">
        <f>O93*$B$95</f>
        <v>1575.0000000000002</v>
      </c>
      <c r="P95" s="18">
        <f t="shared" si="343"/>
        <v>3150.0000000000005</v>
      </c>
      <c r="Q95" s="18">
        <f>Q93*$B$95</f>
        <v>1645.875</v>
      </c>
      <c r="R95" s="18">
        <f>R93*$B$95</f>
        <v>1645.875</v>
      </c>
      <c r="S95" s="18">
        <f>S93*$B$95</f>
        <v>1645.875</v>
      </c>
      <c r="T95" s="18">
        <f>T93*$B$95</f>
        <v>1645.875</v>
      </c>
      <c r="U95" s="18">
        <f t="shared" si="344"/>
        <v>6583.5</v>
      </c>
      <c r="V95" s="18">
        <f>V93*$B$95</f>
        <v>1719.9393749999997</v>
      </c>
      <c r="W95" s="18">
        <f>W93*$B$95</f>
        <v>1719.9393749999997</v>
      </c>
      <c r="X95" s="18">
        <f>X93*$B$95</f>
        <v>1719.9393749999997</v>
      </c>
      <c r="Y95" s="18">
        <f>Y93*$B$95</f>
        <v>1719.9393749999997</v>
      </c>
      <c r="Z95" s="18">
        <f t="shared" si="345"/>
        <v>6879.7574999999988</v>
      </c>
      <c r="AA95" s="18">
        <f>AA93*$B$95</f>
        <v>1719.9393749999997</v>
      </c>
      <c r="AB95" s="18">
        <f>AB93*$B$95</f>
        <v>1719.9393749999997</v>
      </c>
      <c r="AC95" s="18">
        <f>AC93*$B$95</f>
        <v>1719.9393749999997</v>
      </c>
      <c r="AD95" s="18">
        <f>AD93*$B$95</f>
        <v>1719.9393749999997</v>
      </c>
      <c r="AE95" s="18">
        <f>SUM(AA95:AD95)</f>
        <v>6879.7574999999988</v>
      </c>
      <c r="AF95" s="18">
        <f t="shared" ref="AF95:AI95" si="348">AF93*$B$95</f>
        <v>1719.9393749999997</v>
      </c>
      <c r="AG95" s="18">
        <f t="shared" si="348"/>
        <v>1719.9393749999997</v>
      </c>
      <c r="AH95" s="18">
        <f t="shared" si="348"/>
        <v>1719.9393749999997</v>
      </c>
      <c r="AI95" s="18">
        <f t="shared" si="348"/>
        <v>1719.9393749999997</v>
      </c>
      <c r="AJ95" s="18">
        <f>SUM(AF95:AI95)</f>
        <v>6879.7574999999988</v>
      </c>
    </row>
    <row r="96" spans="1:36">
      <c r="D96" s="113" t="s">
        <v>426</v>
      </c>
      <c r="E96" s="112"/>
      <c r="F96" s="112"/>
      <c r="G96" s="112">
        <f>SUM(G93:G95)</f>
        <v>0</v>
      </c>
      <c r="H96" s="112">
        <f t="shared" ref="H96:J96" si="349">SUM(H93:H95)</f>
        <v>0</v>
      </c>
      <c r="I96" s="112">
        <f t="shared" si="349"/>
        <v>0</v>
      </c>
      <c r="J96" s="112">
        <f t="shared" si="349"/>
        <v>0</v>
      </c>
      <c r="K96" s="112">
        <f>SUM(G96:J96)</f>
        <v>0</v>
      </c>
      <c r="L96" s="112">
        <f>SUM(H96:K96)</f>
        <v>0</v>
      </c>
      <c r="M96" s="112">
        <f>SUM(M93:M95)</f>
        <v>0</v>
      </c>
      <c r="N96" s="112">
        <f t="shared" ref="N96" si="350">SUM(N93:N95)</f>
        <v>26775</v>
      </c>
      <c r="O96" s="112">
        <f t="shared" ref="O96" si="351">SUM(O93:O95)</f>
        <v>26775</v>
      </c>
      <c r="P96" s="112">
        <f>SUM(L96:O96)</f>
        <v>53550</v>
      </c>
      <c r="Q96" s="112">
        <f>SUM(Q93:Q95)</f>
        <v>27979.874999999996</v>
      </c>
      <c r="R96" s="112">
        <f t="shared" ref="R96:V96" si="352">SUM(R93:R95)</f>
        <v>27979.874999999996</v>
      </c>
      <c r="S96" s="112">
        <f t="shared" si="352"/>
        <v>27979.874999999996</v>
      </c>
      <c r="T96" s="112">
        <f t="shared" si="352"/>
        <v>27979.874999999996</v>
      </c>
      <c r="U96" s="112">
        <f>SUM(Q96:T96)</f>
        <v>111919.49999999999</v>
      </c>
      <c r="V96" s="112">
        <f t="shared" si="352"/>
        <v>29238.96937499999</v>
      </c>
      <c r="W96" s="112">
        <f t="shared" ref="W96" si="353">SUM(W93:W95)</f>
        <v>29238.96937499999</v>
      </c>
      <c r="X96" s="112">
        <f t="shared" ref="X96" si="354">SUM(X93:X95)</f>
        <v>29238.96937499999</v>
      </c>
      <c r="Y96" s="112">
        <f t="shared" ref="Y96:AA96" si="355">SUM(Y93:Y95)</f>
        <v>29238.96937499999</v>
      </c>
      <c r="Z96" s="112">
        <f>SUM(V96:Y96)</f>
        <v>116955.87749999996</v>
      </c>
      <c r="AA96" s="112">
        <f t="shared" si="355"/>
        <v>29238.96937499999</v>
      </c>
      <c r="AB96" s="112">
        <f t="shared" ref="AB96" si="356">SUM(AB93:AB95)</f>
        <v>29238.96937499999</v>
      </c>
      <c r="AC96" s="112">
        <f t="shared" ref="AC96" si="357">SUM(AC93:AC95)</f>
        <v>29238.96937499999</v>
      </c>
      <c r="AD96" s="112">
        <f t="shared" ref="AD96:AI96" si="358">SUM(AD93:AD95)</f>
        <v>29238.96937499999</v>
      </c>
      <c r="AE96" s="112">
        <f>SUM(AA96:AD96)</f>
        <v>116955.87749999996</v>
      </c>
      <c r="AF96" s="112">
        <f t="shared" si="358"/>
        <v>29238.96937499999</v>
      </c>
      <c r="AG96" s="112">
        <f t="shared" si="358"/>
        <v>29238.96937499999</v>
      </c>
      <c r="AH96" s="112">
        <f t="shared" si="358"/>
        <v>29238.96937499999</v>
      </c>
      <c r="AI96" s="112">
        <f t="shared" si="358"/>
        <v>29238.96937499999</v>
      </c>
      <c r="AJ96" s="112">
        <f>SUM(AF96:AI96)</f>
        <v>116955.87749999996</v>
      </c>
    </row>
    <row r="97" spans="4:36">
      <c r="M97" s="118"/>
      <c r="N97" s="118"/>
      <c r="O97" s="118"/>
    </row>
    <row r="98" spans="4:36" ht="15.95" thickBot="1">
      <c r="D98" s="97" t="s">
        <v>427</v>
      </c>
      <c r="E98" s="97"/>
      <c r="F98" s="97"/>
      <c r="G98" s="98">
        <f>G90+G96</f>
        <v>0</v>
      </c>
      <c r="H98" s="98">
        <f t="shared" ref="H98:AD98" si="359">H90+H96</f>
        <v>0</v>
      </c>
      <c r="I98" s="98">
        <f t="shared" si="359"/>
        <v>0</v>
      </c>
      <c r="J98" s="98">
        <f t="shared" si="359"/>
        <v>0</v>
      </c>
      <c r="K98" s="98">
        <f t="shared" si="359"/>
        <v>0</v>
      </c>
      <c r="L98" s="98">
        <f t="shared" si="359"/>
        <v>0</v>
      </c>
      <c r="M98" s="98">
        <f t="shared" si="359"/>
        <v>0</v>
      </c>
      <c r="N98" s="98">
        <f t="shared" si="359"/>
        <v>144876.5625</v>
      </c>
      <c r="O98" s="98">
        <f t="shared" si="359"/>
        <v>153314.0625</v>
      </c>
      <c r="P98" s="98">
        <f t="shared" si="359"/>
        <v>298190.625</v>
      </c>
      <c r="Q98" s="98">
        <f t="shared" si="359"/>
        <v>79878</v>
      </c>
      <c r="R98" s="98">
        <f t="shared" si="359"/>
        <v>79878</v>
      </c>
      <c r="S98" s="98">
        <f t="shared" si="359"/>
        <v>79878</v>
      </c>
      <c r="T98" s="98">
        <f t="shared" si="359"/>
        <v>79878</v>
      </c>
      <c r="U98" s="98">
        <f t="shared" si="359"/>
        <v>319512</v>
      </c>
      <c r="V98" s="98">
        <f t="shared" si="359"/>
        <v>57350.106874999983</v>
      </c>
      <c r="W98" s="98">
        <f t="shared" si="359"/>
        <v>57350.106874999983</v>
      </c>
      <c r="X98" s="98">
        <f t="shared" si="359"/>
        <v>57350.106874999983</v>
      </c>
      <c r="Y98" s="98">
        <f t="shared" si="359"/>
        <v>57350.106874999983</v>
      </c>
      <c r="Z98" s="98">
        <f t="shared" si="359"/>
        <v>229400.42749999993</v>
      </c>
      <c r="AA98" s="98">
        <f t="shared" si="359"/>
        <v>47229.594374999986</v>
      </c>
      <c r="AB98" s="98">
        <f t="shared" si="359"/>
        <v>47229.594374999986</v>
      </c>
      <c r="AC98" s="98">
        <f t="shared" si="359"/>
        <v>47229.594374999986</v>
      </c>
      <c r="AD98" s="98">
        <f t="shared" si="359"/>
        <v>47229.594374999986</v>
      </c>
      <c r="AE98" s="98">
        <f>AE90+AE96</f>
        <v>188918.37749999994</v>
      </c>
      <c r="AF98" s="98">
        <f t="shared" ref="AF98:AI98" si="360">AF90+AF96</f>
        <v>47229.594374999986</v>
      </c>
      <c r="AG98" s="98">
        <f t="shared" si="360"/>
        <v>47229.594374999986</v>
      </c>
      <c r="AH98" s="98">
        <f t="shared" si="360"/>
        <v>47229.594374999986</v>
      </c>
      <c r="AI98" s="98">
        <f t="shared" si="360"/>
        <v>47229.594374999986</v>
      </c>
      <c r="AJ98" s="98">
        <f>AJ90+AJ96</f>
        <v>188918.37749999994</v>
      </c>
    </row>
    <row r="99" spans="4:36">
      <c r="D99" s="129"/>
      <c r="E99" s="129"/>
      <c r="F99" s="12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4:36">
      <c r="E100" t="s">
        <v>428</v>
      </c>
      <c r="G100" s="140">
        <f>G40+G41+G60+G61+G80+G81</f>
        <v>0</v>
      </c>
      <c r="H100" s="140">
        <f t="shared" ref="H100:AD100" si="361">H40+H41+H60+H61+H80+H81</f>
        <v>0</v>
      </c>
      <c r="I100" s="140">
        <f t="shared" si="361"/>
        <v>0</v>
      </c>
      <c r="J100" s="140">
        <f t="shared" si="361"/>
        <v>0</v>
      </c>
      <c r="K100" s="140">
        <f t="shared" si="361"/>
        <v>0</v>
      </c>
      <c r="L100" s="140">
        <f t="shared" si="361"/>
        <v>0</v>
      </c>
      <c r="M100" s="140">
        <f t="shared" si="361"/>
        <v>0</v>
      </c>
      <c r="N100" s="140">
        <f t="shared" si="361"/>
        <v>85500</v>
      </c>
      <c r="O100" s="140">
        <f t="shared" si="361"/>
        <v>93937.5</v>
      </c>
      <c r="P100" s="140">
        <f t="shared" si="361"/>
        <v>179437.5</v>
      </c>
      <c r="Q100" s="140">
        <f t="shared" si="361"/>
        <v>38700</v>
      </c>
      <c r="R100" s="140">
        <f t="shared" si="361"/>
        <v>38700</v>
      </c>
      <c r="S100" s="140">
        <f t="shared" si="361"/>
        <v>38700</v>
      </c>
      <c r="T100" s="140">
        <f t="shared" si="361"/>
        <v>38700</v>
      </c>
      <c r="U100" s="140">
        <f t="shared" si="361"/>
        <v>154800</v>
      </c>
      <c r="V100" s="140">
        <f t="shared" si="361"/>
        <v>14750</v>
      </c>
      <c r="W100" s="140">
        <f t="shared" si="361"/>
        <v>14750</v>
      </c>
      <c r="X100" s="140">
        <f t="shared" si="361"/>
        <v>14750</v>
      </c>
      <c r="Y100" s="140">
        <f t="shared" si="361"/>
        <v>14750</v>
      </c>
      <c r="Z100" s="140">
        <f t="shared" si="361"/>
        <v>59000</v>
      </c>
      <c r="AA100" s="140">
        <f t="shared" si="361"/>
        <v>9450</v>
      </c>
      <c r="AB100" s="140">
        <f t="shared" si="361"/>
        <v>9450</v>
      </c>
      <c r="AC100" s="140">
        <f t="shared" si="361"/>
        <v>9450</v>
      </c>
      <c r="AD100" s="140">
        <f t="shared" si="361"/>
        <v>9450</v>
      </c>
      <c r="AE100" s="140">
        <f>AE40+AE41+AE60+AE61+AE80+AE81</f>
        <v>37800</v>
      </c>
      <c r="AF100" s="140">
        <f t="shared" ref="AF100:AI100" si="362">AF40+AF41+AF60+AF61+AF80+AF81</f>
        <v>9450</v>
      </c>
      <c r="AG100" s="140">
        <f t="shared" si="362"/>
        <v>9450</v>
      </c>
      <c r="AH100" s="140">
        <f t="shared" si="362"/>
        <v>9450</v>
      </c>
      <c r="AI100" s="140">
        <f t="shared" si="362"/>
        <v>9450</v>
      </c>
      <c r="AJ100" s="140">
        <f>AJ40+AJ41+AJ60+AJ61+AJ80+AJ81</f>
        <v>37800</v>
      </c>
    </row>
    <row r="101" spans="4:36">
      <c r="E101" t="s">
        <v>231</v>
      </c>
      <c r="G101" s="140">
        <f>G47+G67+G87</f>
        <v>0</v>
      </c>
      <c r="H101" s="140">
        <f t="shared" ref="H101:AD101" si="363">H47+H67+H87</f>
        <v>0</v>
      </c>
      <c r="I101" s="140">
        <f t="shared" si="363"/>
        <v>0</v>
      </c>
      <c r="J101" s="140">
        <f t="shared" si="363"/>
        <v>0</v>
      </c>
      <c r="K101" s="140">
        <f t="shared" si="363"/>
        <v>0</v>
      </c>
      <c r="L101" s="140">
        <f t="shared" si="363"/>
        <v>0</v>
      </c>
      <c r="M101" s="140">
        <f t="shared" si="363"/>
        <v>0</v>
      </c>
      <c r="N101" s="140">
        <f t="shared" si="363"/>
        <v>32601.5625</v>
      </c>
      <c r="O101" s="140">
        <f t="shared" si="363"/>
        <v>32601.5625</v>
      </c>
      <c r="P101" s="140">
        <f t="shared" si="363"/>
        <v>65203.125</v>
      </c>
      <c r="Q101" s="140">
        <f t="shared" si="363"/>
        <v>13198.125</v>
      </c>
      <c r="R101" s="140">
        <f t="shared" si="363"/>
        <v>13198.125</v>
      </c>
      <c r="S101" s="140">
        <f t="shared" si="363"/>
        <v>13198.125</v>
      </c>
      <c r="T101" s="140">
        <f t="shared" si="363"/>
        <v>13198.125</v>
      </c>
      <c r="U101" s="140">
        <f t="shared" si="363"/>
        <v>52792.5</v>
      </c>
      <c r="V101" s="140">
        <f t="shared" si="363"/>
        <v>13361.137499999999</v>
      </c>
      <c r="W101" s="140">
        <f t="shared" si="363"/>
        <v>13361.137499999999</v>
      </c>
      <c r="X101" s="140">
        <f t="shared" si="363"/>
        <v>13361.137499999999</v>
      </c>
      <c r="Y101" s="140">
        <f t="shared" si="363"/>
        <v>13361.137499999999</v>
      </c>
      <c r="Z101" s="140">
        <f t="shared" si="363"/>
        <v>53444.549999999996</v>
      </c>
      <c r="AA101" s="140">
        <f t="shared" si="363"/>
        <v>8540.625</v>
      </c>
      <c r="AB101" s="140">
        <f t="shared" si="363"/>
        <v>8540.625</v>
      </c>
      <c r="AC101" s="140">
        <f t="shared" si="363"/>
        <v>8540.625</v>
      </c>
      <c r="AD101" s="140">
        <f t="shared" si="363"/>
        <v>8540.625</v>
      </c>
      <c r="AE101" s="140">
        <f>AE47+AE67+AE87</f>
        <v>34162.5</v>
      </c>
      <c r="AF101" s="140">
        <f t="shared" ref="AF101:AI101" si="364">AF47+AF67+AF87</f>
        <v>8540.625</v>
      </c>
      <c r="AG101" s="140">
        <f t="shared" si="364"/>
        <v>8540.625</v>
      </c>
      <c r="AH101" s="140">
        <f t="shared" si="364"/>
        <v>8540.625</v>
      </c>
      <c r="AI101" s="140">
        <f t="shared" si="364"/>
        <v>8540.625</v>
      </c>
      <c r="AJ101" s="140">
        <f>AJ47+AJ67+AJ87</f>
        <v>34162.5</v>
      </c>
    </row>
    <row r="102" spans="4:36">
      <c r="E102" t="s">
        <v>422</v>
      </c>
      <c r="G102" s="140">
        <f>G96</f>
        <v>0</v>
      </c>
      <c r="H102" s="140">
        <f t="shared" ref="H102:AD102" si="365">H96</f>
        <v>0</v>
      </c>
      <c r="I102" s="140">
        <f t="shared" si="365"/>
        <v>0</v>
      </c>
      <c r="J102" s="140">
        <f t="shared" si="365"/>
        <v>0</v>
      </c>
      <c r="K102" s="140">
        <f t="shared" si="365"/>
        <v>0</v>
      </c>
      <c r="L102" s="140">
        <f t="shared" si="365"/>
        <v>0</v>
      </c>
      <c r="M102" s="140">
        <f t="shared" si="365"/>
        <v>0</v>
      </c>
      <c r="N102" s="140">
        <f t="shared" si="365"/>
        <v>26775</v>
      </c>
      <c r="O102" s="140">
        <f t="shared" si="365"/>
        <v>26775</v>
      </c>
      <c r="P102" s="140">
        <f t="shared" si="365"/>
        <v>53550</v>
      </c>
      <c r="Q102" s="140">
        <f t="shared" si="365"/>
        <v>27979.874999999996</v>
      </c>
      <c r="R102" s="140">
        <f t="shared" si="365"/>
        <v>27979.874999999996</v>
      </c>
      <c r="S102" s="140">
        <f t="shared" si="365"/>
        <v>27979.874999999996</v>
      </c>
      <c r="T102" s="140">
        <f t="shared" si="365"/>
        <v>27979.874999999996</v>
      </c>
      <c r="U102" s="140">
        <f t="shared" si="365"/>
        <v>111919.49999999999</v>
      </c>
      <c r="V102" s="140">
        <f t="shared" si="365"/>
        <v>29238.96937499999</v>
      </c>
      <c r="W102" s="140">
        <f t="shared" si="365"/>
        <v>29238.96937499999</v>
      </c>
      <c r="X102" s="140">
        <f t="shared" si="365"/>
        <v>29238.96937499999</v>
      </c>
      <c r="Y102" s="140">
        <f t="shared" si="365"/>
        <v>29238.96937499999</v>
      </c>
      <c r="Z102" s="140">
        <f t="shared" si="365"/>
        <v>116955.87749999996</v>
      </c>
      <c r="AA102" s="140">
        <f t="shared" si="365"/>
        <v>29238.96937499999</v>
      </c>
      <c r="AB102" s="140">
        <f t="shared" si="365"/>
        <v>29238.96937499999</v>
      </c>
      <c r="AC102" s="140">
        <f t="shared" si="365"/>
        <v>29238.96937499999</v>
      </c>
      <c r="AD102" s="140">
        <f t="shared" si="365"/>
        <v>29238.96937499999</v>
      </c>
      <c r="AE102" s="140">
        <f>AE96</f>
        <v>116955.87749999996</v>
      </c>
      <c r="AF102" s="140">
        <f t="shared" ref="AF102:AI102" si="366">AF96</f>
        <v>29238.96937499999</v>
      </c>
      <c r="AG102" s="140">
        <f t="shared" si="366"/>
        <v>29238.96937499999</v>
      </c>
      <c r="AH102" s="140">
        <f t="shared" si="366"/>
        <v>29238.96937499999</v>
      </c>
      <c r="AI102" s="140">
        <f t="shared" si="366"/>
        <v>29238.96937499999</v>
      </c>
      <c r="AJ102" s="140">
        <f>AJ96</f>
        <v>116955.87749999996</v>
      </c>
    </row>
    <row r="104" spans="4:36">
      <c r="E104" t="s">
        <v>415</v>
      </c>
      <c r="G104" s="140">
        <f>G42+G62+G82</f>
        <v>0</v>
      </c>
      <c r="H104" s="140">
        <f t="shared" ref="H104:AD108" si="367">H42+H62+H82</f>
        <v>0</v>
      </c>
      <c r="I104" s="140">
        <f t="shared" si="367"/>
        <v>0</v>
      </c>
      <c r="J104" s="140">
        <f t="shared" si="367"/>
        <v>0</v>
      </c>
      <c r="K104" s="140">
        <f t="shared" si="367"/>
        <v>0</v>
      </c>
      <c r="L104" s="140">
        <f t="shared" si="367"/>
        <v>0</v>
      </c>
      <c r="M104" s="140">
        <f t="shared" si="367"/>
        <v>0</v>
      </c>
      <c r="N104" s="140">
        <f t="shared" si="367"/>
        <v>11250</v>
      </c>
      <c r="O104" s="140">
        <f t="shared" si="367"/>
        <v>11250</v>
      </c>
      <c r="P104" s="140">
        <f t="shared" si="367"/>
        <v>22500</v>
      </c>
      <c r="Q104" s="140">
        <f t="shared" si="367"/>
        <v>4657.4999999999991</v>
      </c>
      <c r="R104" s="140">
        <f t="shared" si="367"/>
        <v>4657.4999999999991</v>
      </c>
      <c r="S104" s="140">
        <f t="shared" si="367"/>
        <v>4657.4999999999991</v>
      </c>
      <c r="T104" s="140">
        <f t="shared" si="367"/>
        <v>4657.4999999999991</v>
      </c>
      <c r="U104" s="140">
        <f t="shared" si="367"/>
        <v>18629.999999999996</v>
      </c>
      <c r="V104" s="140">
        <f t="shared" si="367"/>
        <v>4820.5124999999998</v>
      </c>
      <c r="W104" s="140">
        <f t="shared" si="367"/>
        <v>4820.5124999999998</v>
      </c>
      <c r="X104" s="140">
        <f t="shared" si="367"/>
        <v>4820.5124999999998</v>
      </c>
      <c r="Y104" s="140">
        <f t="shared" si="367"/>
        <v>4820.5124999999998</v>
      </c>
      <c r="Z104" s="140">
        <f t="shared" si="367"/>
        <v>19282.05</v>
      </c>
      <c r="AA104" s="140">
        <f t="shared" si="367"/>
        <v>0</v>
      </c>
      <c r="AB104" s="140">
        <f t="shared" si="367"/>
        <v>0</v>
      </c>
      <c r="AC104" s="140">
        <f t="shared" si="367"/>
        <v>0</v>
      </c>
      <c r="AD104" s="140">
        <f t="shared" si="367"/>
        <v>0</v>
      </c>
      <c r="AE104" s="140">
        <f>AE42+AE62+AE82</f>
        <v>0</v>
      </c>
      <c r="AF104" s="140">
        <f t="shared" ref="AF104:AI104" si="368">AF42+AF62+AF82</f>
        <v>0</v>
      </c>
      <c r="AG104" s="140">
        <f t="shared" si="368"/>
        <v>0</v>
      </c>
      <c r="AH104" s="140">
        <f t="shared" si="368"/>
        <v>0</v>
      </c>
      <c r="AI104" s="140">
        <f t="shared" si="368"/>
        <v>0</v>
      </c>
      <c r="AJ104" s="140">
        <f>AJ42+AJ62+AJ82</f>
        <v>0</v>
      </c>
    </row>
    <row r="105" spans="4:36">
      <c r="E105" t="s">
        <v>408</v>
      </c>
      <c r="G105" s="140">
        <f t="shared" ref="G105:V108" si="369">G43+G63+G83</f>
        <v>0</v>
      </c>
      <c r="H105" s="140">
        <f t="shared" si="369"/>
        <v>0</v>
      </c>
      <c r="I105" s="140">
        <f t="shared" si="369"/>
        <v>0</v>
      </c>
      <c r="J105" s="140">
        <f t="shared" si="369"/>
        <v>0</v>
      </c>
      <c r="K105" s="140">
        <f t="shared" si="369"/>
        <v>0</v>
      </c>
      <c r="L105" s="140">
        <f t="shared" si="369"/>
        <v>0</v>
      </c>
      <c r="M105" s="140">
        <f t="shared" si="369"/>
        <v>0</v>
      </c>
      <c r="N105" s="140">
        <f t="shared" si="369"/>
        <v>2250</v>
      </c>
      <c r="O105" s="140">
        <f t="shared" si="369"/>
        <v>2250</v>
      </c>
      <c r="P105" s="140">
        <f t="shared" si="369"/>
        <v>4500</v>
      </c>
      <c r="Q105" s="140">
        <f t="shared" si="369"/>
        <v>900</v>
      </c>
      <c r="R105" s="140">
        <f t="shared" si="369"/>
        <v>900</v>
      </c>
      <c r="S105" s="140">
        <f t="shared" si="369"/>
        <v>900</v>
      </c>
      <c r="T105" s="140">
        <f t="shared" si="369"/>
        <v>900</v>
      </c>
      <c r="U105" s="140">
        <f t="shared" si="369"/>
        <v>3600</v>
      </c>
      <c r="V105" s="140">
        <f t="shared" si="369"/>
        <v>900</v>
      </c>
      <c r="W105" s="140">
        <f t="shared" si="367"/>
        <v>900</v>
      </c>
      <c r="X105" s="140">
        <f t="shared" si="367"/>
        <v>900</v>
      </c>
      <c r="Y105" s="140">
        <f t="shared" si="367"/>
        <v>900</v>
      </c>
      <c r="Z105" s="140">
        <f t="shared" si="367"/>
        <v>3600</v>
      </c>
      <c r="AA105" s="140">
        <f t="shared" si="367"/>
        <v>900</v>
      </c>
      <c r="AB105" s="140">
        <f t="shared" si="367"/>
        <v>900</v>
      </c>
      <c r="AC105" s="140">
        <f t="shared" si="367"/>
        <v>900</v>
      </c>
      <c r="AD105" s="140">
        <f t="shared" si="367"/>
        <v>900</v>
      </c>
      <c r="AE105" s="140">
        <f>AE43+AE63+AE83</f>
        <v>3600</v>
      </c>
      <c r="AF105" s="140">
        <f t="shared" ref="AF105:AI105" si="370">AF43+AF63+AF83</f>
        <v>900</v>
      </c>
      <c r="AG105" s="140">
        <f t="shared" si="370"/>
        <v>900</v>
      </c>
      <c r="AH105" s="140">
        <f t="shared" si="370"/>
        <v>900</v>
      </c>
      <c r="AI105" s="140">
        <f t="shared" si="370"/>
        <v>900</v>
      </c>
      <c r="AJ105" s="140">
        <f>AJ43+AJ63+AJ83</f>
        <v>3600</v>
      </c>
    </row>
    <row r="106" spans="4:36">
      <c r="E106" t="s">
        <v>409</v>
      </c>
      <c r="G106" s="140">
        <f t="shared" si="369"/>
        <v>0</v>
      </c>
      <c r="H106" s="140">
        <f t="shared" si="367"/>
        <v>0</v>
      </c>
      <c r="I106" s="140">
        <f t="shared" si="367"/>
        <v>0</v>
      </c>
      <c r="J106" s="140">
        <f t="shared" si="367"/>
        <v>0</v>
      </c>
      <c r="K106" s="140">
        <f t="shared" si="367"/>
        <v>0</v>
      </c>
      <c r="L106" s="140">
        <f t="shared" si="367"/>
        <v>0</v>
      </c>
      <c r="M106" s="140">
        <f t="shared" si="367"/>
        <v>0</v>
      </c>
      <c r="N106" s="140">
        <f t="shared" si="367"/>
        <v>7500</v>
      </c>
      <c r="O106" s="140">
        <f t="shared" si="367"/>
        <v>7500</v>
      </c>
      <c r="P106" s="140">
        <f t="shared" si="367"/>
        <v>15000</v>
      </c>
      <c r="Q106" s="140">
        <f t="shared" si="367"/>
        <v>3000.0000000000005</v>
      </c>
      <c r="R106" s="140">
        <f t="shared" si="367"/>
        <v>3000.0000000000005</v>
      </c>
      <c r="S106" s="140">
        <f t="shared" si="367"/>
        <v>3000.0000000000005</v>
      </c>
      <c r="T106" s="140">
        <f t="shared" si="367"/>
        <v>3000.0000000000005</v>
      </c>
      <c r="U106" s="140">
        <f t="shared" si="367"/>
        <v>12000.000000000002</v>
      </c>
      <c r="V106" s="140">
        <f t="shared" si="367"/>
        <v>3000.0000000000005</v>
      </c>
      <c r="W106" s="140">
        <f t="shared" si="367"/>
        <v>3000.0000000000005</v>
      </c>
      <c r="X106" s="140">
        <f t="shared" si="367"/>
        <v>3000.0000000000005</v>
      </c>
      <c r="Y106" s="140">
        <f t="shared" si="367"/>
        <v>3000.0000000000005</v>
      </c>
      <c r="Z106" s="140">
        <f t="shared" si="367"/>
        <v>12000.000000000002</v>
      </c>
      <c r="AA106" s="140">
        <f t="shared" si="367"/>
        <v>3000.0000000000005</v>
      </c>
      <c r="AB106" s="140">
        <f t="shared" si="367"/>
        <v>3000.0000000000005</v>
      </c>
      <c r="AC106" s="140">
        <f t="shared" si="367"/>
        <v>3000.0000000000005</v>
      </c>
      <c r="AD106" s="140">
        <f t="shared" si="367"/>
        <v>3000.0000000000005</v>
      </c>
      <c r="AE106" s="140">
        <f>AE44+AE64+AE84</f>
        <v>12000.000000000002</v>
      </c>
      <c r="AF106" s="140">
        <f t="shared" ref="AF106:AI106" si="371">AF44+AF64+AF84</f>
        <v>3000.0000000000005</v>
      </c>
      <c r="AG106" s="140">
        <f t="shared" si="371"/>
        <v>3000.0000000000005</v>
      </c>
      <c r="AH106" s="140">
        <f t="shared" si="371"/>
        <v>3000.0000000000005</v>
      </c>
      <c r="AI106" s="140">
        <f t="shared" si="371"/>
        <v>3000.0000000000005</v>
      </c>
      <c r="AJ106" s="140">
        <f>AJ44+AJ64+AJ84</f>
        <v>12000.000000000002</v>
      </c>
    </row>
    <row r="107" spans="4:36">
      <c r="E107" t="s">
        <v>410</v>
      </c>
      <c r="G107" s="140">
        <f t="shared" si="369"/>
        <v>0</v>
      </c>
      <c r="H107" s="140">
        <f t="shared" si="367"/>
        <v>0</v>
      </c>
      <c r="I107" s="140">
        <f t="shared" si="367"/>
        <v>0</v>
      </c>
      <c r="J107" s="140">
        <f t="shared" si="367"/>
        <v>0</v>
      </c>
      <c r="K107" s="140">
        <f t="shared" si="367"/>
        <v>0</v>
      </c>
      <c r="L107" s="140">
        <f t="shared" si="367"/>
        <v>0</v>
      </c>
      <c r="M107" s="140">
        <f t="shared" si="367"/>
        <v>0</v>
      </c>
      <c r="N107" s="140">
        <f t="shared" si="367"/>
        <v>351.5625</v>
      </c>
      <c r="O107" s="140">
        <f t="shared" si="367"/>
        <v>351.5625</v>
      </c>
      <c r="P107" s="140">
        <f t="shared" si="367"/>
        <v>703.125</v>
      </c>
      <c r="Q107" s="140">
        <f t="shared" si="367"/>
        <v>140.625</v>
      </c>
      <c r="R107" s="140">
        <f t="shared" si="367"/>
        <v>140.625</v>
      </c>
      <c r="S107" s="140">
        <f t="shared" si="367"/>
        <v>140.625</v>
      </c>
      <c r="T107" s="140">
        <f t="shared" si="367"/>
        <v>140.625</v>
      </c>
      <c r="U107" s="140">
        <f t="shared" si="367"/>
        <v>562.5</v>
      </c>
      <c r="V107" s="140">
        <f t="shared" si="367"/>
        <v>140.625</v>
      </c>
      <c r="W107" s="140">
        <f t="shared" si="367"/>
        <v>140.625</v>
      </c>
      <c r="X107" s="140">
        <f t="shared" si="367"/>
        <v>140.625</v>
      </c>
      <c r="Y107" s="140">
        <f t="shared" si="367"/>
        <v>140.625</v>
      </c>
      <c r="Z107" s="140">
        <f t="shared" si="367"/>
        <v>562.5</v>
      </c>
      <c r="AA107" s="140">
        <f t="shared" si="367"/>
        <v>140.625</v>
      </c>
      <c r="AB107" s="140">
        <f t="shared" si="367"/>
        <v>140.625</v>
      </c>
      <c r="AC107" s="140">
        <f t="shared" si="367"/>
        <v>140.625</v>
      </c>
      <c r="AD107" s="140">
        <f t="shared" si="367"/>
        <v>140.625</v>
      </c>
      <c r="AE107" s="140">
        <f>AE45+AE65+AE85</f>
        <v>562.5</v>
      </c>
      <c r="AF107" s="140">
        <f t="shared" ref="AF107:AI107" si="372">AF45+AF65+AF85</f>
        <v>140.625</v>
      </c>
      <c r="AG107" s="140">
        <f t="shared" si="372"/>
        <v>140.625</v>
      </c>
      <c r="AH107" s="140">
        <f t="shared" si="372"/>
        <v>140.625</v>
      </c>
      <c r="AI107" s="140">
        <f t="shared" si="372"/>
        <v>140.625</v>
      </c>
      <c r="AJ107" s="140">
        <f>AJ45+AJ65+AJ85</f>
        <v>562.5</v>
      </c>
    </row>
    <row r="108" spans="4:36">
      <c r="E108" t="s">
        <v>411</v>
      </c>
      <c r="G108" s="140">
        <f t="shared" si="369"/>
        <v>0</v>
      </c>
      <c r="H108" s="140">
        <f t="shared" si="367"/>
        <v>0</v>
      </c>
      <c r="I108" s="140">
        <f t="shared" si="367"/>
        <v>0</v>
      </c>
      <c r="J108" s="140">
        <f t="shared" si="367"/>
        <v>0</v>
      </c>
      <c r="K108" s="140">
        <f t="shared" si="367"/>
        <v>0</v>
      </c>
      <c r="L108" s="140">
        <f t="shared" si="367"/>
        <v>0</v>
      </c>
      <c r="M108" s="140">
        <f t="shared" si="367"/>
        <v>0</v>
      </c>
      <c r="N108" s="140">
        <f t="shared" si="367"/>
        <v>11250</v>
      </c>
      <c r="O108" s="140">
        <f t="shared" si="367"/>
        <v>11250</v>
      </c>
      <c r="P108" s="140">
        <f t="shared" si="367"/>
        <v>22500</v>
      </c>
      <c r="Q108" s="140">
        <f t="shared" si="367"/>
        <v>4500</v>
      </c>
      <c r="R108" s="140">
        <f t="shared" si="367"/>
        <v>4500</v>
      </c>
      <c r="S108" s="140">
        <f t="shared" si="367"/>
        <v>4500</v>
      </c>
      <c r="T108" s="140">
        <f t="shared" si="367"/>
        <v>4500</v>
      </c>
      <c r="U108" s="140">
        <f t="shared" si="367"/>
        <v>18000</v>
      </c>
      <c r="V108" s="140">
        <f t="shared" si="367"/>
        <v>4500</v>
      </c>
      <c r="W108" s="140">
        <f t="shared" si="367"/>
        <v>4500</v>
      </c>
      <c r="X108" s="140">
        <f t="shared" si="367"/>
        <v>4500</v>
      </c>
      <c r="Y108" s="140">
        <f t="shared" si="367"/>
        <v>4500</v>
      </c>
      <c r="Z108" s="140">
        <f t="shared" si="367"/>
        <v>18000</v>
      </c>
      <c r="AA108" s="140">
        <f t="shared" si="367"/>
        <v>4500</v>
      </c>
      <c r="AB108" s="140">
        <f t="shared" si="367"/>
        <v>4500</v>
      </c>
      <c r="AC108" s="140">
        <f t="shared" si="367"/>
        <v>4500</v>
      </c>
      <c r="AD108" s="140">
        <f t="shared" si="367"/>
        <v>4500</v>
      </c>
      <c r="AE108" s="140">
        <f>AE46+AE66+AE86</f>
        <v>18000</v>
      </c>
      <c r="AF108" s="140">
        <f t="shared" ref="AF108:AI108" si="373">AF46+AF66+AF86</f>
        <v>4500</v>
      </c>
      <c r="AG108" s="140">
        <f t="shared" si="373"/>
        <v>4500</v>
      </c>
      <c r="AH108" s="140">
        <f t="shared" si="373"/>
        <v>4500</v>
      </c>
      <c r="AI108" s="140">
        <f t="shared" si="373"/>
        <v>4500</v>
      </c>
      <c r="AJ108" s="140">
        <f>AJ46+AJ66+AJ86</f>
        <v>18000</v>
      </c>
    </row>
    <row r="111" spans="4:36">
      <c r="D111" t="s">
        <v>429</v>
      </c>
    </row>
    <row r="112" spans="4:36">
      <c r="D112" t="s">
        <v>430</v>
      </c>
    </row>
  </sheetData>
  <pageMargins left="0.7" right="0.7" top="0.75" bottom="0.75" header="0.3" footer="0.3"/>
  <pageSetup orientation="portrait" r:id="rId1"/>
  <ignoredErrors>
    <ignoredError sqref="P15:AD16 K49:O50 K35:O35 K54:O55 K69:O75 K89:O92 L40:M41 P3:AD9 K39:O39 K36 K56 K76 AC76:AD76 K94:O98 K93:L93 O93 AC31:AD31 O31 K31:M34 O32:O34 K37:M38 O37:O38 O40:O41 K51:M53 O51:O53 K57:O61 K77:O81 K41 K40 K42:K44 K62:K66 K82:O84 AC49:AD50 AC35:AD35 AC54:AD55 AC69:AD75 AC89:AD92 AC39:AD39 AC94:AD98 AC93:AD93 AC32:AD34 AC37:AD38 AC40:AD41 AC51:AD53 AC57:AD61 AC77:AD81 P82:AB84 P77:AB81 P57:AB61 P51:AB53 P40:AB41 P37:AB38 P32:AB34 Q31:AB31 P93:AB93 P94:AB98 P76:AB76 Z56 U56 P56 Z36 U36 P36 P39:AB39 P89:AB92 P69:AB75 P54:AB55 P35:AB35 P49:AB50 P62:AB64 P42:AB44 Q36:T36 V36:Y36 AA36:AB36 Q56:T56 V56:Y56 AA56:AB56 P99:AB99 P31 K67:AD67 K87:AD87 P46:AB47 K46:K47 P66:AB66 K86:O86 K85 P86:AB86 AE3:AF30 AE31:AE108" formula="1"/>
    <ignoredError sqref="P28:AB28" numberStoredAsText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9"/>
  <sheetViews>
    <sheetView zoomScale="125" zoomScaleNormal="125" zoomScalePageLayoutView="125" workbookViewId="0">
      <selection activeCell="F6" sqref="F6"/>
    </sheetView>
  </sheetViews>
  <sheetFormatPr defaultColWidth="10.85546875" defaultRowHeight="12.95"/>
  <cols>
    <col min="1" max="1" width="17.7109375" style="1" customWidth="1"/>
    <col min="2" max="2" width="9.140625" style="1" bestFit="1" customWidth="1"/>
    <col min="3" max="7" width="9.85546875" style="1" customWidth="1"/>
    <col min="8" max="20" width="6" style="1" bestFit="1" customWidth="1"/>
    <col min="21" max="22" width="6.42578125" style="1" bestFit="1" customWidth="1"/>
    <col min="23" max="36" width="6.85546875" style="1" bestFit="1" customWidth="1"/>
    <col min="37" max="16384" width="10.85546875" style="1"/>
  </cols>
  <sheetData>
    <row r="1" spans="1:36">
      <c r="A1" s="1" t="s">
        <v>431</v>
      </c>
    </row>
    <row r="5" spans="1:36">
      <c r="A5" s="1" t="s">
        <v>432</v>
      </c>
      <c r="B5" s="102" t="s">
        <v>433</v>
      </c>
      <c r="C5" s="102" t="s">
        <v>434</v>
      </c>
      <c r="D5" s="102" t="s">
        <v>435</v>
      </c>
      <c r="E5" s="102" t="s">
        <v>436</v>
      </c>
      <c r="F5" s="102" t="s">
        <v>437</v>
      </c>
      <c r="G5" s="102" t="s">
        <v>438</v>
      </c>
      <c r="H5" s="102" t="s">
        <v>439</v>
      </c>
      <c r="I5" s="102" t="s">
        <v>440</v>
      </c>
      <c r="J5" s="102" t="s">
        <v>441</v>
      </c>
      <c r="K5" s="102" t="s">
        <v>442</v>
      </c>
      <c r="L5" s="102" t="s">
        <v>443</v>
      </c>
      <c r="M5" s="102" t="s">
        <v>444</v>
      </c>
      <c r="N5" s="102" t="s">
        <v>445</v>
      </c>
      <c r="O5" s="102" t="s">
        <v>446</v>
      </c>
      <c r="P5" s="102" t="s">
        <v>447</v>
      </c>
      <c r="Q5" s="102" t="s">
        <v>448</v>
      </c>
      <c r="R5" s="102" t="s">
        <v>449</v>
      </c>
      <c r="S5" s="102" t="s">
        <v>450</v>
      </c>
      <c r="T5" s="102" t="s">
        <v>451</v>
      </c>
      <c r="U5" s="102" t="s">
        <v>452</v>
      </c>
      <c r="V5" s="102" t="s">
        <v>453</v>
      </c>
      <c r="W5" s="102" t="s">
        <v>454</v>
      </c>
      <c r="X5" s="102" t="s">
        <v>455</v>
      </c>
      <c r="Y5" s="102" t="s">
        <v>456</v>
      </c>
      <c r="Z5" s="102" t="s">
        <v>457</v>
      </c>
      <c r="AA5" s="102" t="s">
        <v>458</v>
      </c>
      <c r="AB5" s="102" t="s">
        <v>459</v>
      </c>
      <c r="AC5" s="102" t="s">
        <v>460</v>
      </c>
      <c r="AD5" s="102" t="s">
        <v>461</v>
      </c>
      <c r="AE5" s="102" t="s">
        <v>462</v>
      </c>
      <c r="AF5" s="102" t="s">
        <v>463</v>
      </c>
      <c r="AG5" s="102" t="s">
        <v>464</v>
      </c>
      <c r="AH5" s="102" t="s">
        <v>465</v>
      </c>
      <c r="AI5" s="102" t="s">
        <v>466</v>
      </c>
      <c r="AJ5" s="102" t="s">
        <v>467</v>
      </c>
    </row>
    <row r="6" spans="1:36">
      <c r="A6" s="103" t="s">
        <v>468</v>
      </c>
      <c r="B6" s="100">
        <v>1</v>
      </c>
      <c r="C6" s="100">
        <v>6</v>
      </c>
      <c r="D6" s="100">
        <v>12</v>
      </c>
      <c r="E6" s="100">
        <v>58</v>
      </c>
      <c r="F6" s="100">
        <v>145</v>
      </c>
      <c r="G6" s="100">
        <v>197</v>
      </c>
      <c r="H6" s="100">
        <v>242</v>
      </c>
      <c r="I6" s="100">
        <v>305</v>
      </c>
      <c r="J6" s="100">
        <v>360</v>
      </c>
      <c r="K6" s="100">
        <v>431</v>
      </c>
      <c r="L6" s="100">
        <v>482</v>
      </c>
      <c r="M6" s="100">
        <v>550</v>
      </c>
      <c r="N6" s="100">
        <v>608</v>
      </c>
      <c r="O6" s="100">
        <v>680</v>
      </c>
      <c r="P6" s="100">
        <v>739</v>
      </c>
      <c r="Q6" s="100">
        <v>800</v>
      </c>
      <c r="R6" s="100">
        <v>845</v>
      </c>
      <c r="S6" s="100">
        <v>901</v>
      </c>
      <c r="T6" s="100">
        <v>955</v>
      </c>
      <c r="U6" s="100">
        <v>1007</v>
      </c>
      <c r="V6" s="100">
        <v>1056</v>
      </c>
      <c r="W6" s="100">
        <v>1110</v>
      </c>
      <c r="X6" s="100">
        <v>1155</v>
      </c>
      <c r="Y6" s="100">
        <v>1189</v>
      </c>
      <c r="Z6" s="100">
        <v>1228</v>
      </c>
      <c r="AA6" s="100">
        <v>1276</v>
      </c>
      <c r="AB6" s="100">
        <v>1317</v>
      </c>
      <c r="AC6" s="100">
        <v>1350</v>
      </c>
      <c r="AD6" s="100">
        <v>1393</v>
      </c>
      <c r="AE6" s="100">
        <v>1441</v>
      </c>
      <c r="AF6" s="100">
        <v>1490</v>
      </c>
      <c r="AG6" s="100">
        <v>1545</v>
      </c>
      <c r="AH6" s="100">
        <v>1591</v>
      </c>
      <c r="AI6" s="100">
        <v>1654</v>
      </c>
      <c r="AJ6" s="101">
        <v>1712</v>
      </c>
    </row>
    <row r="7" spans="1:36">
      <c r="A7" s="103" t="s">
        <v>469</v>
      </c>
      <c r="B7" s="104"/>
      <c r="C7" s="104">
        <f>C6/B6-1</f>
        <v>5</v>
      </c>
      <c r="D7" s="104">
        <f t="shared" ref="D7:F7" si="0">D6/C6-1</f>
        <v>1</v>
      </c>
      <c r="E7" s="104">
        <f t="shared" si="0"/>
        <v>3.833333333333333</v>
      </c>
      <c r="F7" s="104">
        <f t="shared" si="0"/>
        <v>1.5</v>
      </c>
      <c r="G7" s="104">
        <f t="shared" ref="G7" si="1">G6/F6-1</f>
        <v>0.35862068965517246</v>
      </c>
      <c r="H7" s="104">
        <f t="shared" ref="H7" si="2">H6/G6-1</f>
        <v>0.2284263959390862</v>
      </c>
      <c r="I7" s="104">
        <f t="shared" ref="I7" si="3">I6/H6-1</f>
        <v>0.2603305785123966</v>
      </c>
      <c r="J7" s="104">
        <f t="shared" ref="J7" si="4">J6/I6-1</f>
        <v>0.18032786885245899</v>
      </c>
      <c r="K7" s="104">
        <f t="shared" ref="K7" si="5">K6/J6-1</f>
        <v>0.19722222222222219</v>
      </c>
      <c r="L7" s="104">
        <f t="shared" ref="L7" si="6">L6/K6-1</f>
        <v>0.11832946635730868</v>
      </c>
      <c r="M7" s="104">
        <f t="shared" ref="M7" si="7">M6/L6-1</f>
        <v>0.1410788381742738</v>
      </c>
      <c r="N7" s="104">
        <f t="shared" ref="N7" si="8">N6/M6-1</f>
        <v>0.10545454545454547</v>
      </c>
      <c r="O7" s="104">
        <f t="shared" ref="O7" si="9">O6/N6-1</f>
        <v>0.11842105263157898</v>
      </c>
      <c r="P7" s="104">
        <f t="shared" ref="P7" si="10">P6/O6-1</f>
        <v>8.6764705882352855E-2</v>
      </c>
      <c r="Q7" s="104">
        <f t="shared" ref="Q7" si="11">Q6/P6-1</f>
        <v>8.2543978349120417E-2</v>
      </c>
      <c r="R7" s="104">
        <f t="shared" ref="R7" si="12">R6/Q6-1</f>
        <v>5.6249999999999911E-2</v>
      </c>
      <c r="S7" s="104">
        <f t="shared" ref="S7" si="13">S6/R6-1</f>
        <v>6.6272189349112498E-2</v>
      </c>
      <c r="T7" s="104">
        <f t="shared" ref="T7" si="14">T6/S6-1</f>
        <v>5.9933407325194255E-2</v>
      </c>
      <c r="U7" s="104">
        <f t="shared" ref="U7" si="15">U6/T6-1</f>
        <v>5.4450261780104814E-2</v>
      </c>
      <c r="V7" s="104">
        <f t="shared" ref="V7" si="16">V6/U6-1</f>
        <v>4.8659384309831077E-2</v>
      </c>
      <c r="W7" s="104">
        <f t="shared" ref="W7" si="17">W6/V6-1</f>
        <v>5.1136363636363535E-2</v>
      </c>
      <c r="X7" s="104">
        <f t="shared" ref="X7" si="18">X6/W6-1</f>
        <v>4.0540540540540571E-2</v>
      </c>
      <c r="Y7" s="104">
        <f t="shared" ref="Y7" si="19">Y6/X6-1</f>
        <v>2.9437229437229373E-2</v>
      </c>
      <c r="Z7" s="104">
        <f t="shared" ref="Z7" si="20">Z6/Y6-1</f>
        <v>3.2800672834314648E-2</v>
      </c>
      <c r="AA7" s="104">
        <f t="shared" ref="AA7" si="21">AA6/Z6-1</f>
        <v>3.9087947882736174E-2</v>
      </c>
      <c r="AB7" s="104">
        <f t="shared" ref="AB7" si="22">AB6/AA6-1</f>
        <v>3.2131661442006187E-2</v>
      </c>
      <c r="AC7" s="104">
        <f t="shared" ref="AC7" si="23">AC6/AB6-1</f>
        <v>2.5056947608200542E-2</v>
      </c>
      <c r="AD7" s="104">
        <f t="shared" ref="AD7" si="24">AD6/AC6-1</f>
        <v>3.1851851851851798E-2</v>
      </c>
      <c r="AE7" s="104">
        <f t="shared" ref="AE7" si="25">AE6/AD6-1</f>
        <v>3.4458004307250434E-2</v>
      </c>
      <c r="AF7" s="104">
        <f t="shared" ref="AF7" si="26">AF6/AE6-1</f>
        <v>3.4004163775156249E-2</v>
      </c>
      <c r="AG7" s="104">
        <f t="shared" ref="AG7" si="27">AG6/AF6-1</f>
        <v>3.691275167785224E-2</v>
      </c>
      <c r="AH7" s="104">
        <f t="shared" ref="AH7" si="28">AH6/AG6-1</f>
        <v>2.9773462783171611E-2</v>
      </c>
      <c r="AI7" s="104">
        <f t="shared" ref="AI7" si="29">AI6/AH6-1</f>
        <v>3.9597737272155875E-2</v>
      </c>
      <c r="AJ7" s="104">
        <f t="shared" ref="AJ7" si="30">AJ6/AI6-1</f>
        <v>3.5066505441354368E-2</v>
      </c>
    </row>
    <row r="8" spans="1:36">
      <c r="C8" s="105">
        <f>(C6/B6)^0.25-1</f>
        <v>0.56508458007328732</v>
      </c>
      <c r="D8" s="105">
        <f>(D6/C6)^0.25-1</f>
        <v>0.18920711500272103</v>
      </c>
      <c r="E8" s="105">
        <f>(E6/D6)^0.25-1</f>
        <v>0.48272867591438318</v>
      </c>
      <c r="F8" s="105">
        <f>(F6/E6)^0.25-1</f>
        <v>0.25743342968293548</v>
      </c>
    </row>
    <row r="9" spans="1:36">
      <c r="C9" s="1" t="s">
        <v>470</v>
      </c>
      <c r="D9" s="1" t="s">
        <v>470</v>
      </c>
      <c r="E9" s="1" t="s">
        <v>470</v>
      </c>
      <c r="F9" s="1" t="s">
        <v>470</v>
      </c>
    </row>
    <row r="11" spans="1:36">
      <c r="D11" s="1">
        <v>40</v>
      </c>
      <c r="E11" s="1">
        <v>30</v>
      </c>
      <c r="F11" s="1">
        <v>20</v>
      </c>
    </row>
    <row r="15" spans="1:36">
      <c r="A15" s="1" t="s">
        <v>471</v>
      </c>
      <c r="B15" s="108">
        <v>40532</v>
      </c>
      <c r="C15" s="108">
        <v>40689</v>
      </c>
      <c r="D15" s="108">
        <v>40707</v>
      </c>
      <c r="E15" s="108">
        <v>40787</v>
      </c>
      <c r="F15" s="108">
        <v>40878</v>
      </c>
      <c r="G15" s="108">
        <v>41000</v>
      </c>
    </row>
    <row r="16" spans="1:36" ht="15">
      <c r="B16" s="1">
        <v>1</v>
      </c>
      <c r="C16" s="1">
        <v>4.25</v>
      </c>
      <c r="D16" s="1">
        <v>5</v>
      </c>
      <c r="E16" s="1">
        <v>10</v>
      </c>
      <c r="F16" s="1">
        <v>15</v>
      </c>
      <c r="G16" s="1">
        <v>30</v>
      </c>
      <c r="N16" s="109" t="s">
        <v>472</v>
      </c>
    </row>
    <row r="18" spans="1:13">
      <c r="A18" s="107" t="s">
        <v>473</v>
      </c>
    </row>
    <row r="19" spans="1:13" ht="14.1">
      <c r="A19" s="1" t="s">
        <v>474</v>
      </c>
      <c r="B19" s="96">
        <v>46</v>
      </c>
      <c r="C19" s="96">
        <v>57</v>
      </c>
      <c r="D19" s="96">
        <v>62</v>
      </c>
      <c r="E19" s="96">
        <v>71</v>
      </c>
      <c r="F19" s="96">
        <v>80</v>
      </c>
      <c r="G19" s="96">
        <v>86</v>
      </c>
      <c r="H19" s="96">
        <v>94</v>
      </c>
      <c r="I19" s="96">
        <v>107</v>
      </c>
      <c r="J19" s="96">
        <v>122</v>
      </c>
      <c r="K19" s="96">
        <v>143</v>
      </c>
      <c r="L19" s="96">
        <v>153</v>
      </c>
      <c r="M19" s="96">
        <v>158</v>
      </c>
    </row>
    <row r="20" spans="1:13" ht="14.1">
      <c r="B20" s="95"/>
      <c r="C20" s="106">
        <f t="shared" ref="C20:M20" si="31">C19/B19-1</f>
        <v>0.23913043478260865</v>
      </c>
      <c r="D20" s="106">
        <f t="shared" si="31"/>
        <v>8.7719298245614086E-2</v>
      </c>
      <c r="E20" s="106">
        <f t="shared" si="31"/>
        <v>0.14516129032258074</v>
      </c>
      <c r="F20" s="106">
        <f t="shared" si="31"/>
        <v>0.12676056338028174</v>
      </c>
      <c r="G20" s="106">
        <f t="shared" si="31"/>
        <v>7.4999999999999956E-2</v>
      </c>
      <c r="H20" s="106">
        <f t="shared" si="31"/>
        <v>9.3023255813953432E-2</v>
      </c>
      <c r="I20" s="106">
        <f t="shared" si="31"/>
        <v>0.13829787234042556</v>
      </c>
      <c r="J20" s="106">
        <f t="shared" si="31"/>
        <v>0.14018691588785037</v>
      </c>
      <c r="K20" s="106">
        <f t="shared" si="31"/>
        <v>0.17213114754098369</v>
      </c>
      <c r="L20" s="106">
        <f t="shared" si="31"/>
        <v>6.9930069930070005E-2</v>
      </c>
      <c r="M20" s="106">
        <f t="shared" si="31"/>
        <v>3.2679738562091609E-2</v>
      </c>
    </row>
    <row r="26" spans="1:13">
      <c r="B26" s="1">
        <v>7</v>
      </c>
      <c r="C26" s="1">
        <v>30</v>
      </c>
      <c r="D26" s="1">
        <v>90</v>
      </c>
      <c r="F26" s="1">
        <v>7</v>
      </c>
      <c r="G26" s="1">
        <v>30</v>
      </c>
      <c r="H26" s="1">
        <v>90</v>
      </c>
    </row>
    <row r="27" spans="1:13">
      <c r="A27" s="1">
        <v>45</v>
      </c>
      <c r="B27" s="104">
        <v>0.6</v>
      </c>
      <c r="C27" s="104">
        <v>0.17</v>
      </c>
      <c r="D27" s="104">
        <v>0.09</v>
      </c>
      <c r="E27" s="104"/>
      <c r="F27" s="104">
        <v>0.36</v>
      </c>
      <c r="G27" s="104">
        <v>0.31</v>
      </c>
      <c r="H27" s="104">
        <v>0.16</v>
      </c>
    </row>
    <row r="29" spans="1:13">
      <c r="B29" s="1">
        <f>B27*B26+C27*C26+D26*D27</f>
        <v>17.399999999999999</v>
      </c>
      <c r="F29" s="1">
        <f>F27*F26+G27*G26+H26*H27</f>
        <v>26.22</v>
      </c>
    </row>
    <row r="30" spans="1:13">
      <c r="C30" s="1">
        <f>90/B29</f>
        <v>5.1724137931034484</v>
      </c>
      <c r="G30" s="1">
        <f>90/F29</f>
        <v>3.4324942791762014</v>
      </c>
    </row>
    <row r="38" spans="2:2">
      <c r="B38" s="1" t="s">
        <v>475</v>
      </c>
    </row>
    <row r="39" spans="2:2">
      <c r="B39" s="1" t="s">
        <v>476</v>
      </c>
    </row>
  </sheetData>
  <hyperlinks>
    <hyperlink ref="N16" r:id="rId1" xr:uid="{00000000-0004-0000-0F00-000000000000}"/>
  </hyperlinks>
  <pageMargins left="0.75" right="0.75" top="1" bottom="1" header="0.5" footer="0.5"/>
  <pageSetup paperSize="9" orientation="portrait" horizontalDpi="4294967292" verticalDpi="429496729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69"/>
  <sheetViews>
    <sheetView topLeftCell="A38" workbookViewId="0">
      <selection activeCell="F6" sqref="F6"/>
    </sheetView>
  </sheetViews>
  <sheetFormatPr defaultColWidth="10.7109375" defaultRowHeight="15"/>
  <cols>
    <col min="1" max="1" width="25" customWidth="1"/>
    <col min="2" max="2" width="20.140625" customWidth="1"/>
  </cols>
  <sheetData>
    <row r="1" spans="1:15" ht="18">
      <c r="B1" s="538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</row>
    <row r="2" spans="1:15" ht="18">
      <c r="B2" s="538" t="s">
        <v>477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</row>
    <row r="3" spans="1:15">
      <c r="B3" s="539" t="s">
        <v>478</v>
      </c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</row>
    <row r="5" spans="1:15">
      <c r="B5" s="141"/>
      <c r="C5" s="142" t="s">
        <v>479</v>
      </c>
      <c r="D5" s="142" t="s">
        <v>480</v>
      </c>
      <c r="E5" s="142" t="s">
        <v>481</v>
      </c>
      <c r="F5" s="142" t="s">
        <v>482</v>
      </c>
      <c r="G5" s="142" t="s">
        <v>483</v>
      </c>
      <c r="H5" s="142" t="s">
        <v>484</v>
      </c>
      <c r="I5" s="142" t="s">
        <v>485</v>
      </c>
      <c r="J5" s="142" t="s">
        <v>486</v>
      </c>
      <c r="K5" s="142" t="s">
        <v>487</v>
      </c>
      <c r="L5" s="142" t="s">
        <v>488</v>
      </c>
      <c r="M5" s="142" t="s">
        <v>489</v>
      </c>
      <c r="N5" s="142" t="s">
        <v>490</v>
      </c>
      <c r="O5" s="142" t="s">
        <v>38</v>
      </c>
    </row>
    <row r="6" spans="1:15">
      <c r="B6" s="143" t="s">
        <v>491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</row>
    <row r="7" spans="1:15">
      <c r="B7" s="143" t="s">
        <v>492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5">
        <f>(((((((((((C7)+(D7))+(E7))+(F7))+(G7))+(H7))+(I7))+(J7))+(K7))+(L7))+(M7))+(N7)</f>
        <v>0</v>
      </c>
    </row>
    <row r="8" spans="1:15">
      <c r="B8" s="143" t="s">
        <v>493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</row>
    <row r="9" spans="1:15">
      <c r="A9" s="146" t="s">
        <v>21</v>
      </c>
      <c r="B9" s="143" t="s">
        <v>494</v>
      </c>
      <c r="C9" s="147">
        <f>0</f>
        <v>0</v>
      </c>
      <c r="D9" s="147">
        <f>0</f>
        <v>0</v>
      </c>
      <c r="E9" s="147">
        <f>0</f>
        <v>0</v>
      </c>
      <c r="F9" s="147">
        <f>0</f>
        <v>0</v>
      </c>
      <c r="G9" s="147">
        <f>0</f>
        <v>0</v>
      </c>
      <c r="H9" s="147">
        <f>0</f>
        <v>0</v>
      </c>
      <c r="I9" s="147">
        <f>0</f>
        <v>0</v>
      </c>
      <c r="J9" s="147">
        <f>0</f>
        <v>0</v>
      </c>
      <c r="K9" s="147">
        <f>0</f>
        <v>0</v>
      </c>
      <c r="L9" s="147">
        <f>0</f>
        <v>0</v>
      </c>
      <c r="M9" s="147">
        <f>2845</f>
        <v>2845</v>
      </c>
      <c r="N9" s="147">
        <f>0</f>
        <v>0</v>
      </c>
      <c r="O9" s="147">
        <f>(((((((((((C9)+(D9))+(E9))+(F9))+(G9))+(H9))+(I9))+(J9))+(K9))+(L9))+(M9))+(N9)</f>
        <v>2845</v>
      </c>
    </row>
    <row r="10" spans="1:15">
      <c r="B10" s="143" t="s">
        <v>495</v>
      </c>
      <c r="C10" s="145">
        <f t="shared" ref="C10:N10" si="0">C9</f>
        <v>0</v>
      </c>
      <c r="D10" s="145">
        <f t="shared" si="0"/>
        <v>0</v>
      </c>
      <c r="E10" s="145">
        <f t="shared" si="0"/>
        <v>0</v>
      </c>
      <c r="F10" s="145">
        <f t="shared" si="0"/>
        <v>0</v>
      </c>
      <c r="G10" s="145">
        <f t="shared" si="0"/>
        <v>0</v>
      </c>
      <c r="H10" s="145">
        <f t="shared" si="0"/>
        <v>0</v>
      </c>
      <c r="I10" s="145">
        <f t="shared" si="0"/>
        <v>0</v>
      </c>
      <c r="J10" s="145">
        <f t="shared" si="0"/>
        <v>0</v>
      </c>
      <c r="K10" s="145">
        <f t="shared" si="0"/>
        <v>0</v>
      </c>
      <c r="L10" s="145">
        <f t="shared" si="0"/>
        <v>0</v>
      </c>
      <c r="M10" s="145">
        <f t="shared" si="0"/>
        <v>2845</v>
      </c>
      <c r="N10" s="145">
        <f t="shared" si="0"/>
        <v>0</v>
      </c>
      <c r="O10" s="145">
        <f>(((((((((((C10)+(D10))+(E10))+(F10))+(G10))+(H10))+(I10))+(J10))+(K10))+(L10))+(M10))+(N10)</f>
        <v>2845</v>
      </c>
    </row>
    <row r="11" spans="1:15">
      <c r="B11" s="143" t="s">
        <v>496</v>
      </c>
      <c r="C11" s="145">
        <f t="shared" ref="C11:N11" si="1">(C7)-(C10)</f>
        <v>0</v>
      </c>
      <c r="D11" s="145">
        <f t="shared" si="1"/>
        <v>0</v>
      </c>
      <c r="E11" s="145">
        <f t="shared" si="1"/>
        <v>0</v>
      </c>
      <c r="F11" s="145">
        <f t="shared" si="1"/>
        <v>0</v>
      </c>
      <c r="G11" s="145">
        <f t="shared" si="1"/>
        <v>0</v>
      </c>
      <c r="H11" s="145">
        <f t="shared" si="1"/>
        <v>0</v>
      </c>
      <c r="I11" s="145">
        <f t="shared" si="1"/>
        <v>0</v>
      </c>
      <c r="J11" s="145">
        <f t="shared" si="1"/>
        <v>0</v>
      </c>
      <c r="K11" s="145">
        <f t="shared" si="1"/>
        <v>0</v>
      </c>
      <c r="L11" s="145">
        <f t="shared" si="1"/>
        <v>0</v>
      </c>
      <c r="M11" s="145">
        <f t="shared" si="1"/>
        <v>-2845</v>
      </c>
      <c r="N11" s="145">
        <f t="shared" si="1"/>
        <v>0</v>
      </c>
      <c r="O11" s="145">
        <f>(((((((((((C11)+(D11))+(E11))+(F11))+(G11))+(H11))+(I11))+(J11))+(K11))+(L11))+(M11))+(N11)</f>
        <v>-2845</v>
      </c>
    </row>
    <row r="12" spans="1:15">
      <c r="B12" s="143" t="s">
        <v>497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</row>
    <row r="13" spans="1:15">
      <c r="A13" s="115" t="s">
        <v>26</v>
      </c>
      <c r="B13" s="143" t="s">
        <v>498</v>
      </c>
      <c r="C13" s="147">
        <f>0</f>
        <v>0</v>
      </c>
      <c r="D13" s="147">
        <f>0</f>
        <v>0</v>
      </c>
      <c r="E13" s="147">
        <f>0</f>
        <v>0</v>
      </c>
      <c r="F13" s="147">
        <f>0</f>
        <v>0</v>
      </c>
      <c r="G13" s="147">
        <f>0</f>
        <v>0</v>
      </c>
      <c r="H13" s="147">
        <f>0</f>
        <v>0</v>
      </c>
      <c r="I13" s="147">
        <f>0</f>
        <v>0</v>
      </c>
      <c r="J13" s="147">
        <f>0</f>
        <v>0</v>
      </c>
      <c r="K13" s="147">
        <f>0</f>
        <v>0</v>
      </c>
      <c r="L13" s="147">
        <f>0</f>
        <v>0</v>
      </c>
      <c r="M13" s="147">
        <f>129.99</f>
        <v>129.99</v>
      </c>
      <c r="N13" s="147">
        <f>0</f>
        <v>0</v>
      </c>
      <c r="O13" s="147">
        <f t="shared" ref="O13:O46" si="2">(((((((((((C13)+(D13))+(E13))+(F13))+(G13))+(H13))+(I13))+(J13))+(K13))+(L13))+(M13))+(N13)</f>
        <v>129.99</v>
      </c>
    </row>
    <row r="14" spans="1:15">
      <c r="A14" s="146" t="s">
        <v>21</v>
      </c>
      <c r="B14" s="143" t="s">
        <v>499</v>
      </c>
      <c r="C14" s="147">
        <f>0</f>
        <v>0</v>
      </c>
      <c r="D14" s="147">
        <f>0</f>
        <v>0</v>
      </c>
      <c r="E14" s="147">
        <f>0</f>
        <v>0</v>
      </c>
      <c r="F14" s="147">
        <f>0</f>
        <v>0</v>
      </c>
      <c r="G14" s="147">
        <f>0</f>
        <v>0</v>
      </c>
      <c r="H14" s="147">
        <f>0</f>
        <v>0</v>
      </c>
      <c r="I14" s="147">
        <f>0</f>
        <v>0</v>
      </c>
      <c r="J14" s="147">
        <f>0</f>
        <v>0</v>
      </c>
      <c r="K14" s="147">
        <f>0</f>
        <v>0</v>
      </c>
      <c r="L14" s="147">
        <f>0</f>
        <v>0</v>
      </c>
      <c r="M14" s="147">
        <f>0</f>
        <v>0</v>
      </c>
      <c r="N14" s="147">
        <f>0</f>
        <v>0</v>
      </c>
      <c r="O14" s="147">
        <f t="shared" si="2"/>
        <v>0</v>
      </c>
    </row>
    <row r="15" spans="1:15">
      <c r="A15" s="146" t="s">
        <v>21</v>
      </c>
      <c r="B15" s="143" t="s">
        <v>500</v>
      </c>
      <c r="C15" s="147">
        <f>0</f>
        <v>0</v>
      </c>
      <c r="D15" s="147">
        <f>0</f>
        <v>0</v>
      </c>
      <c r="E15" s="147">
        <f>0</f>
        <v>0</v>
      </c>
      <c r="F15" s="147">
        <f>0</f>
        <v>0</v>
      </c>
      <c r="G15" s="147">
        <f>4.16</f>
        <v>4.16</v>
      </c>
      <c r="H15" s="147">
        <f>0</f>
        <v>0</v>
      </c>
      <c r="I15" s="147">
        <f>0</f>
        <v>0</v>
      </c>
      <c r="J15" s="147">
        <f>0</f>
        <v>0</v>
      </c>
      <c r="K15" s="147">
        <f>0</f>
        <v>0</v>
      </c>
      <c r="L15" s="147">
        <f>0</f>
        <v>0</v>
      </c>
      <c r="M15" s="147">
        <f>0</f>
        <v>0</v>
      </c>
      <c r="N15" s="147">
        <f>0</f>
        <v>0</v>
      </c>
      <c r="O15" s="147">
        <f t="shared" si="2"/>
        <v>4.16</v>
      </c>
    </row>
    <row r="16" spans="1:15">
      <c r="A16" s="146" t="s">
        <v>21</v>
      </c>
      <c r="B16" s="143" t="s">
        <v>501</v>
      </c>
      <c r="C16" s="147">
        <f>0</f>
        <v>0</v>
      </c>
      <c r="D16" s="147">
        <f>0</f>
        <v>0</v>
      </c>
      <c r="E16" s="147">
        <f>0</f>
        <v>0</v>
      </c>
      <c r="F16" s="147">
        <f>0</f>
        <v>0</v>
      </c>
      <c r="G16" s="147">
        <f>0</f>
        <v>0</v>
      </c>
      <c r="H16" s="147">
        <f>0</f>
        <v>0</v>
      </c>
      <c r="I16" s="147">
        <f>0</f>
        <v>0</v>
      </c>
      <c r="J16" s="147">
        <f>0</f>
        <v>0</v>
      </c>
      <c r="K16" s="147">
        <f>20.5</f>
        <v>20.5</v>
      </c>
      <c r="L16" s="147">
        <f>0</f>
        <v>0</v>
      </c>
      <c r="M16" s="147">
        <f>81.67</f>
        <v>81.67</v>
      </c>
      <c r="N16" s="147">
        <f>16.63</f>
        <v>16.63</v>
      </c>
      <c r="O16" s="147">
        <f t="shared" si="2"/>
        <v>118.8</v>
      </c>
    </row>
    <row r="17" spans="1:15">
      <c r="A17" s="146" t="s">
        <v>21</v>
      </c>
      <c r="B17" s="143" t="s">
        <v>502</v>
      </c>
      <c r="C17" s="147">
        <f>0</f>
        <v>0</v>
      </c>
      <c r="D17" s="147">
        <f>0</f>
        <v>0</v>
      </c>
      <c r="E17" s="147">
        <f>0</f>
        <v>0</v>
      </c>
      <c r="F17" s="147">
        <f>0</f>
        <v>0</v>
      </c>
      <c r="G17" s="147">
        <f>0</f>
        <v>0</v>
      </c>
      <c r="H17" s="147">
        <f>0</f>
        <v>0</v>
      </c>
      <c r="I17" s="147">
        <f>0</f>
        <v>0</v>
      </c>
      <c r="J17" s="147">
        <f>0</f>
        <v>0</v>
      </c>
      <c r="K17" s="147">
        <f>24</f>
        <v>24</v>
      </c>
      <c r="L17" s="147">
        <f>0</f>
        <v>0</v>
      </c>
      <c r="M17" s="147">
        <f>0</f>
        <v>0</v>
      </c>
      <c r="N17" s="147">
        <f>0</f>
        <v>0</v>
      </c>
      <c r="O17" s="147">
        <f t="shared" si="2"/>
        <v>24</v>
      </c>
    </row>
    <row r="18" spans="1:15">
      <c r="A18" s="146"/>
      <c r="B18" s="143" t="s">
        <v>503</v>
      </c>
      <c r="C18" s="145">
        <f t="shared" ref="C18:N18" si="3">(((C14)+(C15))+(C16))+(C17)</f>
        <v>0</v>
      </c>
      <c r="D18" s="145">
        <f t="shared" si="3"/>
        <v>0</v>
      </c>
      <c r="E18" s="145">
        <f t="shared" si="3"/>
        <v>0</v>
      </c>
      <c r="F18" s="145">
        <f t="shared" si="3"/>
        <v>0</v>
      </c>
      <c r="G18" s="145">
        <f t="shared" si="3"/>
        <v>4.16</v>
      </c>
      <c r="H18" s="145">
        <f t="shared" si="3"/>
        <v>0</v>
      </c>
      <c r="I18" s="145">
        <f t="shared" si="3"/>
        <v>0</v>
      </c>
      <c r="J18" s="145">
        <f t="shared" si="3"/>
        <v>0</v>
      </c>
      <c r="K18" s="145">
        <f t="shared" si="3"/>
        <v>44.5</v>
      </c>
      <c r="L18" s="145">
        <f t="shared" si="3"/>
        <v>0</v>
      </c>
      <c r="M18" s="145">
        <f t="shared" si="3"/>
        <v>81.67</v>
      </c>
      <c r="N18" s="145">
        <f t="shared" si="3"/>
        <v>16.63</v>
      </c>
      <c r="O18" s="145">
        <f t="shared" si="2"/>
        <v>146.95999999999998</v>
      </c>
    </row>
    <row r="19" spans="1:15">
      <c r="A19" s="146" t="s">
        <v>21</v>
      </c>
      <c r="B19" s="143" t="s">
        <v>504</v>
      </c>
      <c r="C19" s="147">
        <f>105</f>
        <v>105</v>
      </c>
      <c r="D19" s="147">
        <f>0</f>
        <v>0</v>
      </c>
      <c r="E19" s="147">
        <f>15</f>
        <v>15</v>
      </c>
      <c r="F19" s="147">
        <f>0</f>
        <v>0</v>
      </c>
      <c r="G19" s="147">
        <f>96.53</f>
        <v>96.53</v>
      </c>
      <c r="H19" s="147">
        <f>37.03</f>
        <v>37.03</v>
      </c>
      <c r="I19" s="147">
        <f>118.53</f>
        <v>118.53</v>
      </c>
      <c r="J19" s="147">
        <f>129.18</f>
        <v>129.18</v>
      </c>
      <c r="K19" s="147">
        <f>129.68</f>
        <v>129.68</v>
      </c>
      <c r="L19" s="147">
        <f>129.38</f>
        <v>129.38</v>
      </c>
      <c r="M19" s="147">
        <f>79.44</f>
        <v>79.44</v>
      </c>
      <c r="N19" s="147">
        <f>129.63</f>
        <v>129.63</v>
      </c>
      <c r="O19" s="147">
        <f t="shared" si="2"/>
        <v>969.4</v>
      </c>
    </row>
    <row r="20" spans="1:15" ht="24.95">
      <c r="A20" s="115" t="s">
        <v>12</v>
      </c>
      <c r="B20" s="143" t="s">
        <v>505</v>
      </c>
      <c r="C20" s="147">
        <f>0</f>
        <v>0</v>
      </c>
      <c r="D20" s="147">
        <f>0</f>
        <v>0</v>
      </c>
      <c r="E20" s="147">
        <f>0</f>
        <v>0</v>
      </c>
      <c r="F20" s="147">
        <f>0</f>
        <v>0</v>
      </c>
      <c r="G20" s="147">
        <f>0</f>
        <v>0</v>
      </c>
      <c r="H20" s="147">
        <f>0</f>
        <v>0</v>
      </c>
      <c r="I20" s="147">
        <f>0</f>
        <v>0</v>
      </c>
      <c r="J20" s="147">
        <f>0</f>
        <v>0</v>
      </c>
      <c r="K20" s="147">
        <f>142.5</f>
        <v>142.5</v>
      </c>
      <c r="L20" s="147">
        <f>90.25</f>
        <v>90.25</v>
      </c>
      <c r="M20" s="147">
        <f>313.5</f>
        <v>313.5</v>
      </c>
      <c r="N20" s="147">
        <f>665</f>
        <v>665</v>
      </c>
      <c r="O20" s="147">
        <f t="shared" si="2"/>
        <v>1211.25</v>
      </c>
    </row>
    <row r="21" spans="1:15">
      <c r="A21" s="146" t="s">
        <v>21</v>
      </c>
      <c r="B21" s="143" t="s">
        <v>506</v>
      </c>
      <c r="C21" s="147">
        <f>0</f>
        <v>0</v>
      </c>
      <c r="D21" s="147">
        <f>0</f>
        <v>0</v>
      </c>
      <c r="E21" s="147">
        <f>0</f>
        <v>0</v>
      </c>
      <c r="F21" s="147">
        <f>20</f>
        <v>20</v>
      </c>
      <c r="G21" s="147">
        <f>20</f>
        <v>20</v>
      </c>
      <c r="H21" s="147">
        <f>20</f>
        <v>20</v>
      </c>
      <c r="I21" s="147">
        <f>20</f>
        <v>20</v>
      </c>
      <c r="J21" s="147">
        <f>30.68</f>
        <v>30.68</v>
      </c>
      <c r="K21" s="147">
        <f>30.68</f>
        <v>30.68</v>
      </c>
      <c r="L21" s="147">
        <f>30.68</f>
        <v>30.68</v>
      </c>
      <c r="M21" s="147">
        <f>30.68</f>
        <v>30.68</v>
      </c>
      <c r="N21" s="147">
        <f>30.68</f>
        <v>30.68</v>
      </c>
      <c r="O21" s="147">
        <f t="shared" si="2"/>
        <v>233.40000000000003</v>
      </c>
    </row>
    <row r="22" spans="1:15">
      <c r="A22" s="146" t="s">
        <v>21</v>
      </c>
      <c r="B22" s="143" t="s">
        <v>507</v>
      </c>
      <c r="C22" s="147">
        <f>18.49</f>
        <v>18.489999999999998</v>
      </c>
      <c r="D22" s="147">
        <f>117.49</f>
        <v>117.49</v>
      </c>
      <c r="E22" s="147">
        <f>7.81</f>
        <v>7.81</v>
      </c>
      <c r="F22" s="147">
        <f>24.47</f>
        <v>24.47</v>
      </c>
      <c r="G22" s="147">
        <f>67.49</f>
        <v>67.489999999999995</v>
      </c>
      <c r="H22" s="147">
        <f>117.48</f>
        <v>117.48</v>
      </c>
      <c r="I22" s="147">
        <f>68.48</f>
        <v>68.48</v>
      </c>
      <c r="J22" s="147">
        <f>96.46</f>
        <v>96.46</v>
      </c>
      <c r="K22" s="147">
        <f>54.99</f>
        <v>54.99</v>
      </c>
      <c r="L22" s="147">
        <f>45.99</f>
        <v>45.99</v>
      </c>
      <c r="M22" s="147">
        <f>59.48</f>
        <v>59.48</v>
      </c>
      <c r="N22" s="147">
        <f>59.48</f>
        <v>59.48</v>
      </c>
      <c r="O22" s="147">
        <f t="shared" si="2"/>
        <v>738.11000000000013</v>
      </c>
    </row>
    <row r="23" spans="1:15">
      <c r="A23" s="146" t="s">
        <v>21</v>
      </c>
      <c r="B23" s="143" t="s">
        <v>508</v>
      </c>
      <c r="C23" s="147">
        <f>400</f>
        <v>400</v>
      </c>
      <c r="D23" s="147">
        <f>0</f>
        <v>0</v>
      </c>
      <c r="E23" s="147">
        <f>0</f>
        <v>0</v>
      </c>
      <c r="F23" s="147">
        <f>0</f>
        <v>0</v>
      </c>
      <c r="G23" s="147">
        <f>3500</f>
        <v>3500</v>
      </c>
      <c r="H23" s="147">
        <f>0</f>
        <v>0</v>
      </c>
      <c r="I23" s="147">
        <f>0</f>
        <v>0</v>
      </c>
      <c r="J23" s="147">
        <f>0</f>
        <v>0</v>
      </c>
      <c r="K23" s="147">
        <f>0</f>
        <v>0</v>
      </c>
      <c r="L23" s="147">
        <f>0</f>
        <v>0</v>
      </c>
      <c r="M23" s="147">
        <f>0</f>
        <v>0</v>
      </c>
      <c r="N23" s="147">
        <f>0</f>
        <v>0</v>
      </c>
      <c r="O23" s="147">
        <f t="shared" si="2"/>
        <v>3900</v>
      </c>
    </row>
    <row r="24" spans="1:15">
      <c r="A24" s="146" t="s">
        <v>21</v>
      </c>
      <c r="B24" s="143" t="s">
        <v>509</v>
      </c>
      <c r="C24" s="147">
        <f>0</f>
        <v>0</v>
      </c>
      <c r="D24" s="147">
        <f>0</f>
        <v>0</v>
      </c>
      <c r="E24" s="147">
        <f>0</f>
        <v>0</v>
      </c>
      <c r="F24" s="147">
        <f>0</f>
        <v>0</v>
      </c>
      <c r="G24" s="147">
        <f>0</f>
        <v>0</v>
      </c>
      <c r="H24" s="147">
        <f>18</f>
        <v>18</v>
      </c>
      <c r="I24" s="147">
        <f>27</f>
        <v>27</v>
      </c>
      <c r="J24" s="147">
        <f>117</f>
        <v>117</v>
      </c>
      <c r="K24" s="147">
        <f>0</f>
        <v>0</v>
      </c>
      <c r="L24" s="147">
        <f>0</f>
        <v>0</v>
      </c>
      <c r="M24" s="147">
        <f>0</f>
        <v>0</v>
      </c>
      <c r="N24" s="147">
        <f>0</f>
        <v>0</v>
      </c>
      <c r="O24" s="147">
        <f t="shared" si="2"/>
        <v>162</v>
      </c>
    </row>
    <row r="25" spans="1:15">
      <c r="A25" s="115" t="s">
        <v>17</v>
      </c>
      <c r="B25" s="143" t="s">
        <v>510</v>
      </c>
      <c r="C25" s="147">
        <f>1018.91</f>
        <v>1018.91</v>
      </c>
      <c r="D25" s="147">
        <f>7973.24</f>
        <v>7973.24</v>
      </c>
      <c r="E25" s="147">
        <f>11284.24</f>
        <v>11284.24</v>
      </c>
      <c r="F25" s="147">
        <f>8691.66</f>
        <v>8691.66</v>
      </c>
      <c r="G25" s="147">
        <f>2071.37</f>
        <v>2071.37</v>
      </c>
      <c r="H25" s="147">
        <f>15652.15</f>
        <v>15652.15</v>
      </c>
      <c r="I25" s="147">
        <f>242.97</f>
        <v>242.97</v>
      </c>
      <c r="J25" s="147">
        <f>9895.5</f>
        <v>9895.5</v>
      </c>
      <c r="K25" s="147">
        <f>296</f>
        <v>296</v>
      </c>
      <c r="L25" s="147">
        <f>2136</f>
        <v>2136</v>
      </c>
      <c r="M25" s="147">
        <f>5141</f>
        <v>5141</v>
      </c>
      <c r="N25" s="147">
        <f>1</f>
        <v>1</v>
      </c>
      <c r="O25" s="147">
        <f t="shared" si="2"/>
        <v>64404.04</v>
      </c>
    </row>
    <row r="26" spans="1:15">
      <c r="B26" s="143" t="s">
        <v>511</v>
      </c>
      <c r="C26" s="147">
        <f>0</f>
        <v>0</v>
      </c>
      <c r="D26" s="147">
        <f>0</f>
        <v>0</v>
      </c>
      <c r="E26" s="147">
        <f>0</f>
        <v>0</v>
      </c>
      <c r="F26" s="147">
        <f>0</f>
        <v>0</v>
      </c>
      <c r="G26" s="147">
        <f>4085.5</f>
        <v>4085.5</v>
      </c>
      <c r="H26" s="147">
        <f>0</f>
        <v>0</v>
      </c>
      <c r="I26" s="147">
        <f>0</f>
        <v>0</v>
      </c>
      <c r="J26" s="147">
        <f>0</f>
        <v>0</v>
      </c>
      <c r="K26" s="147">
        <f>0</f>
        <v>0</v>
      </c>
      <c r="L26" s="147">
        <f>0</f>
        <v>0</v>
      </c>
      <c r="M26" s="147">
        <f>0</f>
        <v>0</v>
      </c>
      <c r="N26" s="147">
        <f>0</f>
        <v>0</v>
      </c>
      <c r="O26" s="147">
        <f t="shared" si="2"/>
        <v>4085.5</v>
      </c>
    </row>
    <row r="27" spans="1:15" ht="24.95">
      <c r="B27" s="143" t="s">
        <v>512</v>
      </c>
      <c r="C27" s="145">
        <f t="shared" ref="C27:N27" si="4">(C25)+(C26)</f>
        <v>1018.91</v>
      </c>
      <c r="D27" s="145">
        <f t="shared" si="4"/>
        <v>7973.24</v>
      </c>
      <c r="E27" s="145">
        <f t="shared" si="4"/>
        <v>11284.24</v>
      </c>
      <c r="F27" s="145">
        <f t="shared" si="4"/>
        <v>8691.66</v>
      </c>
      <c r="G27" s="145">
        <f t="shared" si="4"/>
        <v>6156.87</v>
      </c>
      <c r="H27" s="145">
        <f t="shared" si="4"/>
        <v>15652.15</v>
      </c>
      <c r="I27" s="145">
        <f t="shared" si="4"/>
        <v>242.97</v>
      </c>
      <c r="J27" s="145">
        <f t="shared" si="4"/>
        <v>9895.5</v>
      </c>
      <c r="K27" s="145">
        <f t="shared" si="4"/>
        <v>296</v>
      </c>
      <c r="L27" s="145">
        <f t="shared" si="4"/>
        <v>2136</v>
      </c>
      <c r="M27" s="145">
        <f t="shared" si="4"/>
        <v>5141</v>
      </c>
      <c r="N27" s="145">
        <f t="shared" si="4"/>
        <v>1</v>
      </c>
      <c r="O27" s="145">
        <f t="shared" si="2"/>
        <v>68489.540000000008</v>
      </c>
    </row>
    <row r="28" spans="1:15">
      <c r="A28" s="146" t="s">
        <v>21</v>
      </c>
      <c r="B28" s="143" t="s">
        <v>513</v>
      </c>
      <c r="C28" s="147">
        <f>116.82</f>
        <v>116.82</v>
      </c>
      <c r="D28" s="147">
        <f>412.12</f>
        <v>412.12</v>
      </c>
      <c r="E28" s="147">
        <f>209.87</f>
        <v>209.87</v>
      </c>
      <c r="F28" s="147">
        <f>449.6</f>
        <v>449.6</v>
      </c>
      <c r="G28" s="147">
        <f>409.36</f>
        <v>409.36</v>
      </c>
      <c r="H28" s="147">
        <f>465.31</f>
        <v>465.31</v>
      </c>
      <c r="I28" s="147">
        <f>1216.71</f>
        <v>1216.71</v>
      </c>
      <c r="J28" s="147">
        <f>525.74</f>
        <v>525.74</v>
      </c>
      <c r="K28" s="147">
        <f>792.29</f>
        <v>792.29</v>
      </c>
      <c r="L28" s="147">
        <f>7.3</f>
        <v>7.3</v>
      </c>
      <c r="M28" s="147">
        <f>36.66</f>
        <v>36.659999999999997</v>
      </c>
      <c r="N28" s="147">
        <f>133.59</f>
        <v>133.59</v>
      </c>
      <c r="O28" s="147">
        <f t="shared" si="2"/>
        <v>4775.37</v>
      </c>
    </row>
    <row r="29" spans="1:15">
      <c r="A29" s="146" t="s">
        <v>21</v>
      </c>
      <c r="B29" s="143" t="s">
        <v>514</v>
      </c>
      <c r="C29" s="147">
        <f>0</f>
        <v>0</v>
      </c>
      <c r="D29" s="147">
        <f>0</f>
        <v>0</v>
      </c>
      <c r="E29" s="147">
        <f>600</f>
        <v>600</v>
      </c>
      <c r="F29" s="147">
        <f>0</f>
        <v>0</v>
      </c>
      <c r="G29" s="147">
        <f>0</f>
        <v>0</v>
      </c>
      <c r="H29" s="147">
        <f>0</f>
        <v>0</v>
      </c>
      <c r="I29" s="147">
        <f>0</f>
        <v>0</v>
      </c>
      <c r="J29" s="147">
        <f>0</f>
        <v>0</v>
      </c>
      <c r="K29" s="147">
        <f>0</f>
        <v>0</v>
      </c>
      <c r="L29" s="147">
        <f>0</f>
        <v>0</v>
      </c>
      <c r="M29" s="147">
        <f>0</f>
        <v>0</v>
      </c>
      <c r="N29" s="147">
        <f>0</f>
        <v>0</v>
      </c>
      <c r="O29" s="147">
        <f t="shared" si="2"/>
        <v>600</v>
      </c>
    </row>
    <row r="30" spans="1:15" ht="24.95">
      <c r="A30" s="146" t="s">
        <v>21</v>
      </c>
      <c r="B30" s="143" t="s">
        <v>515</v>
      </c>
      <c r="C30" s="147">
        <f>0</f>
        <v>0</v>
      </c>
      <c r="D30" s="147">
        <f>0</f>
        <v>0</v>
      </c>
      <c r="E30" s="147">
        <f>163.3</f>
        <v>163.30000000000001</v>
      </c>
      <c r="F30" s="147">
        <f>0</f>
        <v>0</v>
      </c>
      <c r="G30" s="147">
        <f>0</f>
        <v>0</v>
      </c>
      <c r="H30" s="147">
        <f>0</f>
        <v>0</v>
      </c>
      <c r="I30" s="147">
        <f>0</f>
        <v>0</v>
      </c>
      <c r="J30" s="147">
        <f>0</f>
        <v>0</v>
      </c>
      <c r="K30" s="147">
        <f>0</f>
        <v>0</v>
      </c>
      <c r="L30" s="147">
        <f>0</f>
        <v>0</v>
      </c>
      <c r="M30" s="147">
        <f>0</f>
        <v>0</v>
      </c>
      <c r="N30" s="147">
        <f>0</f>
        <v>0</v>
      </c>
      <c r="O30" s="147">
        <f t="shared" si="2"/>
        <v>163.30000000000001</v>
      </c>
    </row>
    <row r="31" spans="1:15">
      <c r="A31" s="115" t="s">
        <v>119</v>
      </c>
      <c r="B31" s="143" t="s">
        <v>516</v>
      </c>
      <c r="C31" s="147">
        <f>549.99</f>
        <v>549.99</v>
      </c>
      <c r="D31" s="147">
        <f>549.99</f>
        <v>549.99</v>
      </c>
      <c r="E31" s="147">
        <f>549.99</f>
        <v>549.99</v>
      </c>
      <c r="F31" s="147">
        <f>1049.99</f>
        <v>1049.99</v>
      </c>
      <c r="G31" s="147">
        <f t="shared" ref="G31:L31" si="5">549.99</f>
        <v>549.99</v>
      </c>
      <c r="H31" s="147">
        <f t="shared" si="5"/>
        <v>549.99</v>
      </c>
      <c r="I31" s="147">
        <f t="shared" si="5"/>
        <v>549.99</v>
      </c>
      <c r="J31" s="147">
        <f t="shared" si="5"/>
        <v>549.99</v>
      </c>
      <c r="K31" s="147">
        <f t="shared" si="5"/>
        <v>549.99</v>
      </c>
      <c r="L31" s="147">
        <f t="shared" si="5"/>
        <v>549.99</v>
      </c>
      <c r="M31" s="147">
        <f>1524.99</f>
        <v>1524.99</v>
      </c>
      <c r="N31" s="147">
        <f>549.99</f>
        <v>549.99</v>
      </c>
      <c r="O31" s="147">
        <f t="shared" si="2"/>
        <v>8074.8799999999983</v>
      </c>
    </row>
    <row r="32" spans="1:15">
      <c r="A32" s="115" t="s">
        <v>13</v>
      </c>
      <c r="B32" s="143" t="s">
        <v>517</v>
      </c>
      <c r="C32" s="147">
        <f>0</f>
        <v>0</v>
      </c>
      <c r="D32" s="147">
        <f>30</f>
        <v>30</v>
      </c>
      <c r="E32" s="147">
        <f>0</f>
        <v>0</v>
      </c>
      <c r="F32" s="147">
        <f>0</f>
        <v>0</v>
      </c>
      <c r="G32" s="147">
        <f>3217.94</f>
        <v>3217.94</v>
      </c>
      <c r="H32" s="147">
        <f>401.58</f>
        <v>401.58</v>
      </c>
      <c r="I32" s="147">
        <f>5.96</f>
        <v>5.96</v>
      </c>
      <c r="J32" s="147">
        <f>30</f>
        <v>30</v>
      </c>
      <c r="K32" s="147">
        <f>0</f>
        <v>0</v>
      </c>
      <c r="L32" s="147">
        <f>0</f>
        <v>0</v>
      </c>
      <c r="M32" s="147">
        <f>0</f>
        <v>0</v>
      </c>
      <c r="N32" s="147">
        <f>0</f>
        <v>0</v>
      </c>
      <c r="O32" s="147">
        <f t="shared" si="2"/>
        <v>3685.48</v>
      </c>
    </row>
    <row r="33" spans="1:15">
      <c r="A33" s="115" t="s">
        <v>13</v>
      </c>
      <c r="B33" s="143" t="s">
        <v>518</v>
      </c>
      <c r="C33" s="147">
        <f>47.8</f>
        <v>47.8</v>
      </c>
      <c r="D33" s="147">
        <f>0</f>
        <v>0</v>
      </c>
      <c r="E33" s="147">
        <f>0</f>
        <v>0</v>
      </c>
      <c r="F33" s="147">
        <f>0</f>
        <v>0</v>
      </c>
      <c r="G33" s="147">
        <f>0</f>
        <v>0</v>
      </c>
      <c r="H33" s="147">
        <f>0</f>
        <v>0</v>
      </c>
      <c r="I33" s="147">
        <f>0</f>
        <v>0</v>
      </c>
      <c r="J33" s="147">
        <f>66.64</f>
        <v>66.64</v>
      </c>
      <c r="K33" s="147">
        <f>-115.97</f>
        <v>-115.97</v>
      </c>
      <c r="L33" s="147">
        <f>0</f>
        <v>0</v>
      </c>
      <c r="M33" s="147">
        <f>0</f>
        <v>0</v>
      </c>
      <c r="N33" s="147">
        <f>0</f>
        <v>0</v>
      </c>
      <c r="O33" s="147">
        <f t="shared" si="2"/>
        <v>-1.5300000000000011</v>
      </c>
    </row>
    <row r="34" spans="1:15" ht="24.95">
      <c r="A34" s="146" t="s">
        <v>21</v>
      </c>
      <c r="B34" s="143" t="s">
        <v>519</v>
      </c>
      <c r="C34" s="147">
        <f>0</f>
        <v>0</v>
      </c>
      <c r="D34" s="147">
        <f>0</f>
        <v>0</v>
      </c>
      <c r="E34" s="147">
        <f>0</f>
        <v>0</v>
      </c>
      <c r="F34" s="147">
        <f>12.23</f>
        <v>12.23</v>
      </c>
      <c r="G34" s="147">
        <f>7.51</f>
        <v>7.51</v>
      </c>
      <c r="H34" s="147">
        <f>257.22</f>
        <v>257.22000000000003</v>
      </c>
      <c r="I34" s="147">
        <f>0</f>
        <v>0</v>
      </c>
      <c r="J34" s="147">
        <f>0</f>
        <v>0</v>
      </c>
      <c r="K34" s="147">
        <f>9.75</f>
        <v>9.75</v>
      </c>
      <c r="L34" s="147">
        <f>0</f>
        <v>0</v>
      </c>
      <c r="M34" s="147">
        <f>61.5</f>
        <v>61.5</v>
      </c>
      <c r="N34" s="147">
        <f>0</f>
        <v>0</v>
      </c>
      <c r="O34" s="147">
        <f t="shared" si="2"/>
        <v>348.21000000000004</v>
      </c>
    </row>
    <row r="35" spans="1:15">
      <c r="A35" s="115" t="s">
        <v>15</v>
      </c>
      <c r="B35" s="143" t="s">
        <v>520</v>
      </c>
      <c r="C35" s="147">
        <f>217.98</f>
        <v>217.98</v>
      </c>
      <c r="D35" s="147">
        <f>161.32</f>
        <v>161.32</v>
      </c>
      <c r="E35" s="147">
        <f>260.32</f>
        <v>260.32</v>
      </c>
      <c r="F35" s="147">
        <f>62.32</f>
        <v>62.32</v>
      </c>
      <c r="G35" s="147">
        <f>135.32</f>
        <v>135.32</v>
      </c>
      <c r="H35" s="147">
        <f>125.32</f>
        <v>125.32</v>
      </c>
      <c r="I35" s="147">
        <f>125.32</f>
        <v>125.32</v>
      </c>
      <c r="J35" s="147">
        <f>216.52</f>
        <v>216.52</v>
      </c>
      <c r="K35" s="147">
        <f>140.32</f>
        <v>140.32</v>
      </c>
      <c r="L35" s="147">
        <f>245.75</f>
        <v>245.75</v>
      </c>
      <c r="M35" s="147">
        <f>71.73</f>
        <v>71.73</v>
      </c>
      <c r="N35" s="147">
        <f>140.32</f>
        <v>140.32</v>
      </c>
      <c r="O35" s="147">
        <f t="shared" si="2"/>
        <v>1902.5399999999997</v>
      </c>
    </row>
    <row r="36" spans="1:15">
      <c r="A36" s="146" t="s">
        <v>21</v>
      </c>
      <c r="B36" s="143" t="s">
        <v>521</v>
      </c>
      <c r="C36" s="147">
        <f>0</f>
        <v>0</v>
      </c>
      <c r="D36" s="147">
        <f>0</f>
        <v>0</v>
      </c>
      <c r="E36" s="147">
        <f>0</f>
        <v>0</v>
      </c>
      <c r="F36" s="147">
        <f>0</f>
        <v>0</v>
      </c>
      <c r="G36" s="147">
        <f>0</f>
        <v>0</v>
      </c>
      <c r="H36" s="147">
        <f>0</f>
        <v>0</v>
      </c>
      <c r="I36" s="147">
        <f>0</f>
        <v>0</v>
      </c>
      <c r="J36" s="147">
        <f>0</f>
        <v>0</v>
      </c>
      <c r="K36" s="147">
        <f>35</f>
        <v>35</v>
      </c>
      <c r="L36" s="147">
        <f>110</f>
        <v>110</v>
      </c>
      <c r="M36" s="147">
        <f>335.1</f>
        <v>335.1</v>
      </c>
      <c r="N36" s="147">
        <f>511.73</f>
        <v>511.73</v>
      </c>
      <c r="O36" s="147">
        <f t="shared" si="2"/>
        <v>991.83</v>
      </c>
    </row>
    <row r="37" spans="1:15">
      <c r="A37" s="115" t="s">
        <v>12</v>
      </c>
      <c r="B37" s="143" t="s">
        <v>522</v>
      </c>
      <c r="C37" s="147">
        <f>380.11</f>
        <v>380.11</v>
      </c>
      <c r="D37" s="147">
        <f>0</f>
        <v>0</v>
      </c>
      <c r="E37" s="147">
        <f>225.16</f>
        <v>225.16</v>
      </c>
      <c r="F37" s="147">
        <f>167.82</f>
        <v>167.82</v>
      </c>
      <c r="G37" s="147">
        <f>9373.33</f>
        <v>9373.33</v>
      </c>
      <c r="H37" s="147">
        <f>692.19</f>
        <v>692.19</v>
      </c>
      <c r="I37" s="147">
        <f>582.88</f>
        <v>582.88</v>
      </c>
      <c r="J37" s="147">
        <f>1644.68</f>
        <v>1644.68</v>
      </c>
      <c r="K37" s="147">
        <f>7001.68</f>
        <v>7001.68</v>
      </c>
      <c r="L37" s="147">
        <f>4808.67</f>
        <v>4808.67</v>
      </c>
      <c r="M37" s="147">
        <f>2581.57</f>
        <v>2581.5700000000002</v>
      </c>
      <c r="N37" s="147">
        <f>4380.03</f>
        <v>4380.03</v>
      </c>
      <c r="O37" s="147">
        <f t="shared" si="2"/>
        <v>31838.119999999995</v>
      </c>
    </row>
    <row r="38" spans="1:15">
      <c r="A38" s="146" t="s">
        <v>21</v>
      </c>
      <c r="B38" s="143" t="s">
        <v>523</v>
      </c>
      <c r="C38" s="147">
        <f>16.07</f>
        <v>16.07</v>
      </c>
      <c r="D38" s="147">
        <f>0</f>
        <v>0</v>
      </c>
      <c r="E38" s="147">
        <f>102.27</f>
        <v>102.27</v>
      </c>
      <c r="F38" s="147">
        <f>23.71</f>
        <v>23.71</v>
      </c>
      <c r="G38" s="147">
        <f>0</f>
        <v>0</v>
      </c>
      <c r="H38" s="147">
        <f>112.61</f>
        <v>112.61</v>
      </c>
      <c r="I38" s="147">
        <f>5.45</f>
        <v>5.45</v>
      </c>
      <c r="J38" s="147">
        <f>318.27</f>
        <v>318.27</v>
      </c>
      <c r="K38" s="147">
        <f>6.86</f>
        <v>6.86</v>
      </c>
      <c r="L38" s="147">
        <f>0</f>
        <v>0</v>
      </c>
      <c r="M38" s="147">
        <f>218.74</f>
        <v>218.74</v>
      </c>
      <c r="N38" s="147">
        <f>311.61</f>
        <v>311.61</v>
      </c>
      <c r="O38" s="147">
        <f t="shared" si="2"/>
        <v>1115.5900000000001</v>
      </c>
    </row>
    <row r="39" spans="1:15">
      <c r="A39" s="115" t="s">
        <v>119</v>
      </c>
      <c r="B39" s="143" t="s">
        <v>524</v>
      </c>
      <c r="C39" s="147">
        <f>0</f>
        <v>0</v>
      </c>
      <c r="D39" s="147">
        <f>0</f>
        <v>0</v>
      </c>
      <c r="E39" s="147">
        <f>0</f>
        <v>0</v>
      </c>
      <c r="F39" s="147">
        <f>0</f>
        <v>0</v>
      </c>
      <c r="G39" s="147">
        <f>0</f>
        <v>0</v>
      </c>
      <c r="H39" s="147">
        <f>0</f>
        <v>0</v>
      </c>
      <c r="I39" s="147">
        <f>21.78</f>
        <v>21.78</v>
      </c>
      <c r="J39" s="147">
        <f>1322.22</f>
        <v>1322.22</v>
      </c>
      <c r="K39" s="147">
        <f>-303.86</f>
        <v>-303.86</v>
      </c>
      <c r="L39" s="147">
        <f>60.15</f>
        <v>60.15</v>
      </c>
      <c r="M39" s="147">
        <f>35.13</f>
        <v>35.130000000000003</v>
      </c>
      <c r="N39" s="147">
        <f>35.13</f>
        <v>35.130000000000003</v>
      </c>
      <c r="O39" s="147">
        <f t="shared" si="2"/>
        <v>1170.5500000000002</v>
      </c>
    </row>
    <row r="40" spans="1:15">
      <c r="A40" s="115" t="s">
        <v>21</v>
      </c>
      <c r="B40" s="143" t="s">
        <v>525</v>
      </c>
      <c r="C40" s="147">
        <f>0</f>
        <v>0</v>
      </c>
      <c r="D40" s="147">
        <f>0</f>
        <v>0</v>
      </c>
      <c r="E40" s="147">
        <f>0</f>
        <v>0</v>
      </c>
      <c r="F40" s="147">
        <f>0</f>
        <v>0</v>
      </c>
      <c r="G40" s="147">
        <f>0</f>
        <v>0</v>
      </c>
      <c r="H40" s="147">
        <f>0</f>
        <v>0</v>
      </c>
      <c r="I40" s="147">
        <f>0</f>
        <v>0</v>
      </c>
      <c r="J40" s="147">
        <f>699.6</f>
        <v>699.6</v>
      </c>
      <c r="K40" s="147">
        <f>4.98</f>
        <v>4.9800000000000004</v>
      </c>
      <c r="L40" s="147">
        <f>0</f>
        <v>0</v>
      </c>
      <c r="M40" s="147">
        <f>19.9</f>
        <v>19.899999999999999</v>
      </c>
      <c r="N40" s="147">
        <f>0</f>
        <v>0</v>
      </c>
      <c r="O40" s="147">
        <f t="shared" si="2"/>
        <v>724.48</v>
      </c>
    </row>
    <row r="41" spans="1:15">
      <c r="A41" s="115" t="s">
        <v>20</v>
      </c>
      <c r="B41" s="143" t="s">
        <v>526</v>
      </c>
      <c r="C41" s="147">
        <f>23.75</f>
        <v>23.75</v>
      </c>
      <c r="D41" s="147">
        <f>1184.75</f>
        <v>1184.75</v>
      </c>
      <c r="E41" s="147">
        <f>839.74</f>
        <v>839.74</v>
      </c>
      <c r="F41" s="147">
        <f>310</f>
        <v>310</v>
      </c>
      <c r="G41" s="147">
        <f>112.82</f>
        <v>112.82</v>
      </c>
      <c r="H41" s="147">
        <f>3429.99</f>
        <v>3429.99</v>
      </c>
      <c r="I41" s="147">
        <f>2082.82</f>
        <v>2082.8200000000002</v>
      </c>
      <c r="J41" s="147">
        <f>1608.86</f>
        <v>1608.86</v>
      </c>
      <c r="K41" s="147">
        <f>4178.06</f>
        <v>4178.0600000000004</v>
      </c>
      <c r="L41" s="147">
        <f>0</f>
        <v>0</v>
      </c>
      <c r="M41" s="147">
        <f>738.68</f>
        <v>738.68</v>
      </c>
      <c r="N41" s="147">
        <f>519.4</f>
        <v>519.4</v>
      </c>
      <c r="O41" s="147">
        <f t="shared" si="2"/>
        <v>15028.87</v>
      </c>
    </row>
    <row r="42" spans="1:15">
      <c r="A42" s="115" t="s">
        <v>20</v>
      </c>
      <c r="B42" s="143" t="s">
        <v>527</v>
      </c>
      <c r="C42" s="147">
        <f>373.03</f>
        <v>373.03</v>
      </c>
      <c r="D42" s="147">
        <f>482.83</f>
        <v>482.83</v>
      </c>
      <c r="E42" s="147">
        <f>292.44</f>
        <v>292.44</v>
      </c>
      <c r="F42" s="147">
        <f>0</f>
        <v>0</v>
      </c>
      <c r="G42" s="147">
        <f>0</f>
        <v>0</v>
      </c>
      <c r="H42" s="147">
        <f>817.24</f>
        <v>817.24</v>
      </c>
      <c r="I42" s="147">
        <f>1200.57</f>
        <v>1200.57</v>
      </c>
      <c r="J42" s="147">
        <f>1511</f>
        <v>1511</v>
      </c>
      <c r="K42" s="147">
        <f>423</f>
        <v>423</v>
      </c>
      <c r="L42" s="147">
        <f>0</f>
        <v>0</v>
      </c>
      <c r="M42" s="147">
        <f>119.34</f>
        <v>119.34</v>
      </c>
      <c r="N42" s="147">
        <f>355.42</f>
        <v>355.42</v>
      </c>
      <c r="O42" s="147">
        <f t="shared" si="2"/>
        <v>5574.87</v>
      </c>
    </row>
    <row r="43" spans="1:15">
      <c r="B43" s="143" t="s">
        <v>528</v>
      </c>
      <c r="C43" s="145">
        <f t="shared" ref="C43:N43" si="6">(C41)+(C42)</f>
        <v>396.78</v>
      </c>
      <c r="D43" s="145">
        <f t="shared" si="6"/>
        <v>1667.58</v>
      </c>
      <c r="E43" s="145">
        <f t="shared" si="6"/>
        <v>1132.18</v>
      </c>
      <c r="F43" s="145">
        <f t="shared" si="6"/>
        <v>310</v>
      </c>
      <c r="G43" s="145">
        <f t="shared" si="6"/>
        <v>112.82</v>
      </c>
      <c r="H43" s="145">
        <f t="shared" si="6"/>
        <v>4247.2299999999996</v>
      </c>
      <c r="I43" s="145">
        <f t="shared" si="6"/>
        <v>3283.3900000000003</v>
      </c>
      <c r="J43" s="145">
        <f t="shared" si="6"/>
        <v>3119.8599999999997</v>
      </c>
      <c r="K43" s="145">
        <f t="shared" si="6"/>
        <v>4601.0600000000004</v>
      </c>
      <c r="L43" s="145">
        <f t="shared" si="6"/>
        <v>0</v>
      </c>
      <c r="M43" s="145">
        <f t="shared" si="6"/>
        <v>858.02</v>
      </c>
      <c r="N43" s="145">
        <f t="shared" si="6"/>
        <v>874.81999999999994</v>
      </c>
      <c r="O43" s="145">
        <f t="shared" si="2"/>
        <v>20603.740000000002</v>
      </c>
    </row>
    <row r="44" spans="1:15">
      <c r="A44" s="115" t="s">
        <v>119</v>
      </c>
      <c r="B44" s="143" t="s">
        <v>529</v>
      </c>
      <c r="C44" s="147">
        <f>557.43</f>
        <v>557.42999999999995</v>
      </c>
      <c r="D44" s="147">
        <f>131.94</f>
        <v>131.94</v>
      </c>
      <c r="E44" s="147">
        <f>250.36</f>
        <v>250.36</v>
      </c>
      <c r="F44" s="147">
        <f>160.83</f>
        <v>160.83000000000001</v>
      </c>
      <c r="G44" s="147">
        <f>757.28</f>
        <v>757.28</v>
      </c>
      <c r="H44" s="147">
        <f>645.86</f>
        <v>645.86</v>
      </c>
      <c r="I44" s="147">
        <f>521.04</f>
        <v>521.04</v>
      </c>
      <c r="J44" s="147">
        <f>97.72</f>
        <v>97.72</v>
      </c>
      <c r="K44" s="147">
        <f>129.09</f>
        <v>129.09</v>
      </c>
      <c r="L44" s="147">
        <f>168.32</f>
        <v>168.32</v>
      </c>
      <c r="M44" s="147">
        <f>25</f>
        <v>25</v>
      </c>
      <c r="N44" s="147">
        <f>97.92</f>
        <v>97.92</v>
      </c>
      <c r="O44" s="147">
        <f t="shared" si="2"/>
        <v>3542.79</v>
      </c>
    </row>
    <row r="45" spans="1:15">
      <c r="B45" s="143" t="s">
        <v>24</v>
      </c>
      <c r="C45" s="145">
        <f t="shared" ref="C45:N45" si="7">(((((((((((((((((((((((C13)+(C18))+(C19))+(C20))+(C21))+(C22))+(C23))+(C24))+(C27))+(C28))+(C29))+(C30))+(C31))+(C32))+(C33))+(C34))+(C35))+(C36))+(C37))+(C38))+(C39))+(C40))+(C43))+(C44)</f>
        <v>3825.3800000000006</v>
      </c>
      <c r="D45" s="145">
        <f t="shared" si="7"/>
        <v>11043.68</v>
      </c>
      <c r="E45" s="145">
        <f t="shared" si="7"/>
        <v>14800.5</v>
      </c>
      <c r="F45" s="145">
        <f t="shared" si="7"/>
        <v>10972.629999999997</v>
      </c>
      <c r="G45" s="145">
        <f t="shared" si="7"/>
        <v>24408.6</v>
      </c>
      <c r="H45" s="145">
        <f t="shared" si="7"/>
        <v>23341.97</v>
      </c>
      <c r="I45" s="145">
        <f t="shared" si="7"/>
        <v>6789.5000000000009</v>
      </c>
      <c r="J45" s="145">
        <f t="shared" si="7"/>
        <v>18860.060000000001</v>
      </c>
      <c r="K45" s="145">
        <f t="shared" si="7"/>
        <v>13549.54</v>
      </c>
      <c r="L45" s="145">
        <f t="shared" si="7"/>
        <v>8382.48</v>
      </c>
      <c r="M45" s="145">
        <f t="shared" si="7"/>
        <v>11604.099999999999</v>
      </c>
      <c r="N45" s="145">
        <f t="shared" si="7"/>
        <v>7937.5599999999995</v>
      </c>
      <c r="O45" s="145">
        <f t="shared" si="2"/>
        <v>155516.00000000003</v>
      </c>
    </row>
    <row r="46" spans="1:15">
      <c r="B46" s="143" t="s">
        <v>530</v>
      </c>
      <c r="C46" s="145">
        <f t="shared" ref="C46:N46" si="8">(C11)-(C45)</f>
        <v>-3825.3800000000006</v>
      </c>
      <c r="D46" s="145">
        <f t="shared" si="8"/>
        <v>-11043.68</v>
      </c>
      <c r="E46" s="145">
        <f t="shared" si="8"/>
        <v>-14800.5</v>
      </c>
      <c r="F46" s="145">
        <f t="shared" si="8"/>
        <v>-10972.629999999997</v>
      </c>
      <c r="G46" s="145">
        <f t="shared" si="8"/>
        <v>-24408.6</v>
      </c>
      <c r="H46" s="145">
        <f t="shared" si="8"/>
        <v>-23341.97</v>
      </c>
      <c r="I46" s="145">
        <f t="shared" si="8"/>
        <v>-6789.5000000000009</v>
      </c>
      <c r="J46" s="145">
        <f t="shared" si="8"/>
        <v>-18860.060000000001</v>
      </c>
      <c r="K46" s="145">
        <f t="shared" si="8"/>
        <v>-13549.54</v>
      </c>
      <c r="L46" s="145">
        <f t="shared" si="8"/>
        <v>-8382.48</v>
      </c>
      <c r="M46" s="145">
        <f t="shared" si="8"/>
        <v>-14449.099999999999</v>
      </c>
      <c r="N46" s="145">
        <f t="shared" si="8"/>
        <v>-7937.5599999999995</v>
      </c>
      <c r="O46" s="145">
        <f t="shared" si="2"/>
        <v>-158361.00000000003</v>
      </c>
    </row>
    <row r="47" spans="1:15">
      <c r="B47" s="143" t="s">
        <v>531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</row>
    <row r="48" spans="1:15">
      <c r="A48" s="115" t="s">
        <v>21</v>
      </c>
      <c r="B48" s="143" t="s">
        <v>532</v>
      </c>
      <c r="C48" s="147">
        <f>500</f>
        <v>500</v>
      </c>
      <c r="D48" s="147">
        <f>0</f>
        <v>0</v>
      </c>
      <c r="E48" s="147">
        <f>0</f>
        <v>0</v>
      </c>
      <c r="F48" s="147">
        <f>0</f>
        <v>0</v>
      </c>
      <c r="G48" s="147">
        <f>0</f>
        <v>0</v>
      </c>
      <c r="H48" s="147">
        <f>0</f>
        <v>0</v>
      </c>
      <c r="I48" s="147">
        <f>0</f>
        <v>0</v>
      </c>
      <c r="J48" s="147">
        <f>0</f>
        <v>0</v>
      </c>
      <c r="K48" s="147">
        <f>0</f>
        <v>0</v>
      </c>
      <c r="L48" s="147">
        <f>0</f>
        <v>0</v>
      </c>
      <c r="M48" s="147">
        <f>0</f>
        <v>0</v>
      </c>
      <c r="N48" s="147">
        <f>798</f>
        <v>798</v>
      </c>
      <c r="O48" s="147">
        <f>(((((((((((C48)+(D48))+(E48))+(F48))+(G48))+(H48))+(I48))+(J48))+(K48))+(L48))+(M48))+(N48)</f>
        <v>1298</v>
      </c>
    </row>
    <row r="49" spans="2:19">
      <c r="B49" s="143" t="s">
        <v>533</v>
      </c>
      <c r="C49" s="145">
        <f t="shared" ref="C49:N49" si="9">C48</f>
        <v>500</v>
      </c>
      <c r="D49" s="145">
        <f t="shared" si="9"/>
        <v>0</v>
      </c>
      <c r="E49" s="145">
        <f t="shared" si="9"/>
        <v>0</v>
      </c>
      <c r="F49" s="145">
        <f t="shared" si="9"/>
        <v>0</v>
      </c>
      <c r="G49" s="145">
        <f t="shared" si="9"/>
        <v>0</v>
      </c>
      <c r="H49" s="145">
        <f t="shared" si="9"/>
        <v>0</v>
      </c>
      <c r="I49" s="145">
        <f t="shared" si="9"/>
        <v>0</v>
      </c>
      <c r="J49" s="145">
        <f t="shared" si="9"/>
        <v>0</v>
      </c>
      <c r="K49" s="145">
        <f t="shared" si="9"/>
        <v>0</v>
      </c>
      <c r="L49" s="145">
        <f t="shared" si="9"/>
        <v>0</v>
      </c>
      <c r="M49" s="145">
        <f t="shared" si="9"/>
        <v>0</v>
      </c>
      <c r="N49" s="145">
        <f t="shared" si="9"/>
        <v>798</v>
      </c>
      <c r="O49" s="145">
        <f>(((((((((((C49)+(D49))+(E49))+(F49))+(G49))+(H49))+(I49))+(J49))+(K49))+(L49))+(M49))+(N49)</f>
        <v>1298</v>
      </c>
    </row>
    <row r="50" spans="2:19">
      <c r="B50" s="143" t="s">
        <v>534</v>
      </c>
      <c r="C50" s="145">
        <f t="shared" ref="C50:N50" si="10">(0)-(C49)</f>
        <v>-500</v>
      </c>
      <c r="D50" s="145">
        <f t="shared" si="10"/>
        <v>0</v>
      </c>
      <c r="E50" s="145">
        <f t="shared" si="10"/>
        <v>0</v>
      </c>
      <c r="F50" s="145">
        <f t="shared" si="10"/>
        <v>0</v>
      </c>
      <c r="G50" s="145">
        <f t="shared" si="10"/>
        <v>0</v>
      </c>
      <c r="H50" s="145">
        <f t="shared" si="10"/>
        <v>0</v>
      </c>
      <c r="I50" s="145">
        <f t="shared" si="10"/>
        <v>0</v>
      </c>
      <c r="J50" s="145">
        <f t="shared" si="10"/>
        <v>0</v>
      </c>
      <c r="K50" s="145">
        <f t="shared" si="10"/>
        <v>0</v>
      </c>
      <c r="L50" s="145">
        <f t="shared" si="10"/>
        <v>0</v>
      </c>
      <c r="M50" s="145">
        <f t="shared" si="10"/>
        <v>0</v>
      </c>
      <c r="N50" s="145">
        <f t="shared" si="10"/>
        <v>-798</v>
      </c>
      <c r="O50" s="145">
        <f>(((((((((((C50)+(D50))+(E50))+(F50))+(G50))+(H50))+(I50))+(J50))+(K50))+(L50))+(M50))+(N50)</f>
        <v>-1298</v>
      </c>
    </row>
    <row r="51" spans="2:19">
      <c r="B51" s="143" t="s">
        <v>535</v>
      </c>
      <c r="C51" s="145">
        <f t="shared" ref="C51:N51" si="11">(C46)+(C50)</f>
        <v>-4325.380000000001</v>
      </c>
      <c r="D51" s="145">
        <f t="shared" si="11"/>
        <v>-11043.68</v>
      </c>
      <c r="E51" s="145">
        <f t="shared" si="11"/>
        <v>-14800.5</v>
      </c>
      <c r="F51" s="145">
        <f t="shared" si="11"/>
        <v>-10972.629999999997</v>
      </c>
      <c r="G51" s="145">
        <f t="shared" si="11"/>
        <v>-24408.6</v>
      </c>
      <c r="H51" s="145">
        <f t="shared" si="11"/>
        <v>-23341.97</v>
      </c>
      <c r="I51" s="145">
        <f t="shared" si="11"/>
        <v>-6789.5000000000009</v>
      </c>
      <c r="J51" s="145">
        <f t="shared" si="11"/>
        <v>-18860.060000000001</v>
      </c>
      <c r="K51" s="145">
        <f t="shared" si="11"/>
        <v>-13549.54</v>
      </c>
      <c r="L51" s="145">
        <f t="shared" si="11"/>
        <v>-8382.48</v>
      </c>
      <c r="M51" s="145">
        <f t="shared" si="11"/>
        <v>-14449.099999999999</v>
      </c>
      <c r="N51" s="145">
        <f t="shared" si="11"/>
        <v>-8735.56</v>
      </c>
      <c r="O51" s="145">
        <f>(((((((((((C51)+(D51))+(E51))+(F51))+(G51))+(H51))+(I51))+(J51))+(K51))+(L51))+(M51))+(N51)</f>
        <v>-159659.00000000003</v>
      </c>
    </row>
    <row r="52" spans="2:19">
      <c r="B52" s="14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</row>
    <row r="55" spans="2:19">
      <c r="B55" s="540" t="s">
        <v>536</v>
      </c>
      <c r="C55" s="541"/>
      <c r="D55" s="541"/>
      <c r="E55" s="541"/>
      <c r="F55" s="541"/>
      <c r="G55" s="541"/>
      <c r="H55" s="541"/>
      <c r="I55" s="541"/>
      <c r="J55" s="541"/>
      <c r="K55" s="541"/>
      <c r="L55" s="541"/>
      <c r="M55" s="541"/>
      <c r="N55" s="541"/>
      <c r="O55" s="541"/>
    </row>
    <row r="58" spans="2:19">
      <c r="C58" t="s">
        <v>537</v>
      </c>
      <c r="D58" t="s">
        <v>538</v>
      </c>
      <c r="E58" t="s">
        <v>539</v>
      </c>
      <c r="F58" t="s">
        <v>540</v>
      </c>
      <c r="G58" t="s">
        <v>541</v>
      </c>
      <c r="H58" t="s">
        <v>542</v>
      </c>
      <c r="I58" t="s">
        <v>543</v>
      </c>
      <c r="J58" t="s">
        <v>544</v>
      </c>
      <c r="K58" t="s">
        <v>545</v>
      </c>
      <c r="L58" t="s">
        <v>546</v>
      </c>
      <c r="M58" t="s">
        <v>547</v>
      </c>
      <c r="N58" t="s">
        <v>548</v>
      </c>
      <c r="O58" t="s">
        <v>38</v>
      </c>
      <c r="P58" t="s">
        <v>549</v>
      </c>
      <c r="Q58" t="s">
        <v>550</v>
      </c>
      <c r="R58" t="s">
        <v>551</v>
      </c>
      <c r="S58" t="s">
        <v>552</v>
      </c>
    </row>
    <row r="59" spans="2:19">
      <c r="B59" s="115" t="s">
        <v>105</v>
      </c>
      <c r="C59" s="118">
        <f>SUMIF($A$6:$A$51,$B59,C$6:C$51)</f>
        <v>0</v>
      </c>
      <c r="D59" s="118">
        <f>SUMIF($A$6:$A$51,$B59,D$6:D$51)</f>
        <v>0</v>
      </c>
      <c r="E59" s="118">
        <f t="shared" ref="E59:N59" si="12">SUMIF($A$6:$A$51,$B59,E$6:E$51)</f>
        <v>0</v>
      </c>
      <c r="F59" s="118">
        <f t="shared" si="12"/>
        <v>0</v>
      </c>
      <c r="G59" s="118">
        <f t="shared" si="12"/>
        <v>0</v>
      </c>
      <c r="H59" s="118">
        <f t="shared" si="12"/>
        <v>0</v>
      </c>
      <c r="I59" s="118">
        <f t="shared" si="12"/>
        <v>0</v>
      </c>
      <c r="J59" s="118">
        <f t="shared" si="12"/>
        <v>0</v>
      </c>
      <c r="K59" s="118">
        <f t="shared" si="12"/>
        <v>0</v>
      </c>
      <c r="L59" s="118">
        <f t="shared" si="12"/>
        <v>0</v>
      </c>
      <c r="M59" s="118">
        <f t="shared" si="12"/>
        <v>0</v>
      </c>
      <c r="N59" s="118">
        <f t="shared" si="12"/>
        <v>0</v>
      </c>
      <c r="O59" s="118">
        <f>SUM(C59:N59)</f>
        <v>0</v>
      </c>
      <c r="P59" s="118">
        <f>SUM(C59:E59)</f>
        <v>0</v>
      </c>
      <c r="Q59" s="118">
        <f>SUM(F59:H59)</f>
        <v>0</v>
      </c>
      <c r="R59" s="118">
        <f>SUM(I59:K59)</f>
        <v>0</v>
      </c>
      <c r="S59" s="118">
        <f>SUM(L59:N59)</f>
        <v>0</v>
      </c>
    </row>
    <row r="60" spans="2:19">
      <c r="B60" s="115" t="s">
        <v>12</v>
      </c>
      <c r="C60" s="118">
        <f t="shared" ref="C60:N69" si="13">SUMIF($A$6:$A$51,$B60,C$6:C$51)</f>
        <v>380.11</v>
      </c>
      <c r="D60" s="118">
        <f t="shared" si="13"/>
        <v>0</v>
      </c>
      <c r="E60" s="118">
        <f t="shared" si="13"/>
        <v>225.16</v>
      </c>
      <c r="F60" s="118">
        <f t="shared" si="13"/>
        <v>167.82</v>
      </c>
      <c r="G60" s="118">
        <f t="shared" si="13"/>
        <v>9373.33</v>
      </c>
      <c r="H60" s="118">
        <f t="shared" si="13"/>
        <v>692.19</v>
      </c>
      <c r="I60" s="118">
        <f t="shared" si="13"/>
        <v>582.88</v>
      </c>
      <c r="J60" s="118">
        <f t="shared" si="13"/>
        <v>1644.68</v>
      </c>
      <c r="K60" s="118">
        <f t="shared" si="13"/>
        <v>7144.18</v>
      </c>
      <c r="L60" s="118">
        <f t="shared" si="13"/>
        <v>4898.92</v>
      </c>
      <c r="M60" s="118">
        <f t="shared" si="13"/>
        <v>2895.07</v>
      </c>
      <c r="N60" s="118">
        <f t="shared" si="13"/>
        <v>5045.03</v>
      </c>
      <c r="O60" s="118">
        <f t="shared" ref="O60:O69" si="14">SUM(C60:N60)</f>
        <v>33049.369999999995</v>
      </c>
      <c r="P60" s="118">
        <f t="shared" ref="P60:P69" si="15">SUM(C60:E60)</f>
        <v>605.27</v>
      </c>
      <c r="Q60" s="118">
        <f t="shared" ref="Q60:Q69" si="16">SUM(F60:H60)</f>
        <v>10233.34</v>
      </c>
      <c r="R60" s="118">
        <f t="shared" ref="R60:R69" si="17">SUM(I60:K60)</f>
        <v>9371.74</v>
      </c>
      <c r="S60" s="118">
        <f t="shared" ref="S60:S69" si="18">SUM(L60:N60)</f>
        <v>12839.02</v>
      </c>
    </row>
    <row r="61" spans="2:19">
      <c r="B61" s="115" t="s">
        <v>13</v>
      </c>
      <c r="C61" s="118">
        <f t="shared" si="13"/>
        <v>47.8</v>
      </c>
      <c r="D61" s="118">
        <f t="shared" si="13"/>
        <v>30</v>
      </c>
      <c r="E61" s="118">
        <f t="shared" si="13"/>
        <v>0</v>
      </c>
      <c r="F61" s="118">
        <f t="shared" si="13"/>
        <v>0</v>
      </c>
      <c r="G61" s="118">
        <f t="shared" si="13"/>
        <v>3217.94</v>
      </c>
      <c r="H61" s="118">
        <f t="shared" si="13"/>
        <v>401.58</v>
      </c>
      <c r="I61" s="118">
        <f t="shared" si="13"/>
        <v>5.96</v>
      </c>
      <c r="J61" s="118">
        <f t="shared" si="13"/>
        <v>96.64</v>
      </c>
      <c r="K61" s="118">
        <f t="shared" si="13"/>
        <v>-115.97</v>
      </c>
      <c r="L61" s="118">
        <f t="shared" si="13"/>
        <v>0</v>
      </c>
      <c r="M61" s="118">
        <f t="shared" si="13"/>
        <v>0</v>
      </c>
      <c r="N61" s="118">
        <f t="shared" si="13"/>
        <v>0</v>
      </c>
      <c r="O61" s="118">
        <f t="shared" si="14"/>
        <v>3683.9500000000003</v>
      </c>
      <c r="P61" s="118">
        <f t="shared" si="15"/>
        <v>77.8</v>
      </c>
      <c r="Q61" s="118">
        <f t="shared" si="16"/>
        <v>3619.52</v>
      </c>
      <c r="R61" s="118">
        <f t="shared" si="17"/>
        <v>-13.370000000000005</v>
      </c>
      <c r="S61" s="118">
        <f t="shared" si="18"/>
        <v>0</v>
      </c>
    </row>
    <row r="62" spans="2:19">
      <c r="B62" s="115" t="s">
        <v>119</v>
      </c>
      <c r="C62" s="118">
        <f t="shared" si="13"/>
        <v>1107.42</v>
      </c>
      <c r="D62" s="118">
        <f t="shared" si="13"/>
        <v>681.93000000000006</v>
      </c>
      <c r="E62" s="118">
        <f t="shared" si="13"/>
        <v>800.35</v>
      </c>
      <c r="F62" s="118">
        <f t="shared" si="13"/>
        <v>1210.82</v>
      </c>
      <c r="G62" s="118">
        <f t="shared" si="13"/>
        <v>1307.27</v>
      </c>
      <c r="H62" s="118">
        <f t="shared" si="13"/>
        <v>1195.8499999999999</v>
      </c>
      <c r="I62" s="118">
        <f t="shared" si="13"/>
        <v>1092.81</v>
      </c>
      <c r="J62" s="118">
        <f t="shared" si="13"/>
        <v>1969.93</v>
      </c>
      <c r="K62" s="118">
        <f t="shared" si="13"/>
        <v>375.22</v>
      </c>
      <c r="L62" s="118">
        <f t="shared" si="13"/>
        <v>778.46</v>
      </c>
      <c r="M62" s="118">
        <f t="shared" si="13"/>
        <v>1585.1200000000001</v>
      </c>
      <c r="N62" s="118">
        <f t="shared" si="13"/>
        <v>683.04</v>
      </c>
      <c r="O62" s="118">
        <f t="shared" si="14"/>
        <v>12788.220000000001</v>
      </c>
      <c r="P62" s="118">
        <f t="shared" si="15"/>
        <v>2589.7000000000003</v>
      </c>
      <c r="Q62" s="118">
        <f t="shared" si="16"/>
        <v>3713.94</v>
      </c>
      <c r="R62" s="118">
        <f t="shared" si="17"/>
        <v>3437.96</v>
      </c>
      <c r="S62" s="118">
        <f t="shared" si="18"/>
        <v>3046.62</v>
      </c>
    </row>
    <row r="63" spans="2:19">
      <c r="B63" s="115" t="s">
        <v>553</v>
      </c>
      <c r="C63" s="118">
        <f t="shared" si="13"/>
        <v>0</v>
      </c>
      <c r="D63" s="118">
        <f t="shared" si="13"/>
        <v>0</v>
      </c>
      <c r="E63" s="118">
        <f t="shared" si="13"/>
        <v>0</v>
      </c>
      <c r="F63" s="118">
        <f t="shared" si="13"/>
        <v>0</v>
      </c>
      <c r="G63" s="118">
        <f t="shared" si="13"/>
        <v>0</v>
      </c>
      <c r="H63" s="118">
        <f t="shared" si="13"/>
        <v>0</v>
      </c>
      <c r="I63" s="118">
        <f t="shared" si="13"/>
        <v>0</v>
      </c>
      <c r="J63" s="118">
        <f t="shared" si="13"/>
        <v>0</v>
      </c>
      <c r="K63" s="118">
        <f t="shared" si="13"/>
        <v>0</v>
      </c>
      <c r="L63" s="118">
        <f t="shared" si="13"/>
        <v>0</v>
      </c>
      <c r="M63" s="118">
        <f t="shared" si="13"/>
        <v>0</v>
      </c>
      <c r="N63" s="118">
        <f t="shared" si="13"/>
        <v>0</v>
      </c>
      <c r="O63" s="118">
        <f t="shared" si="14"/>
        <v>0</v>
      </c>
      <c r="P63" s="118">
        <f t="shared" si="15"/>
        <v>0</v>
      </c>
      <c r="Q63" s="118">
        <f t="shared" si="16"/>
        <v>0</v>
      </c>
      <c r="R63" s="118">
        <f t="shared" si="17"/>
        <v>0</v>
      </c>
      <c r="S63" s="118">
        <f t="shared" si="18"/>
        <v>0</v>
      </c>
    </row>
    <row r="64" spans="2:19">
      <c r="B64" s="115" t="s">
        <v>15</v>
      </c>
      <c r="C64" s="118">
        <f t="shared" si="13"/>
        <v>217.98</v>
      </c>
      <c r="D64" s="118">
        <f t="shared" si="13"/>
        <v>161.32</v>
      </c>
      <c r="E64" s="118">
        <f t="shared" si="13"/>
        <v>260.32</v>
      </c>
      <c r="F64" s="118">
        <f t="shared" si="13"/>
        <v>62.32</v>
      </c>
      <c r="G64" s="118">
        <f t="shared" si="13"/>
        <v>135.32</v>
      </c>
      <c r="H64" s="118">
        <f t="shared" si="13"/>
        <v>125.32</v>
      </c>
      <c r="I64" s="118">
        <f t="shared" si="13"/>
        <v>125.32</v>
      </c>
      <c r="J64" s="118">
        <f t="shared" si="13"/>
        <v>216.52</v>
      </c>
      <c r="K64" s="118">
        <f t="shared" si="13"/>
        <v>140.32</v>
      </c>
      <c r="L64" s="118">
        <f t="shared" si="13"/>
        <v>245.75</v>
      </c>
      <c r="M64" s="118">
        <f t="shared" si="13"/>
        <v>71.73</v>
      </c>
      <c r="N64" s="118">
        <f t="shared" si="13"/>
        <v>140.32</v>
      </c>
      <c r="O64" s="118">
        <f t="shared" si="14"/>
        <v>1902.5399999999997</v>
      </c>
      <c r="P64" s="118">
        <f t="shared" si="15"/>
        <v>639.61999999999989</v>
      </c>
      <c r="Q64" s="118">
        <f t="shared" si="16"/>
        <v>322.95999999999998</v>
      </c>
      <c r="R64" s="118">
        <f t="shared" si="17"/>
        <v>482.16</v>
      </c>
      <c r="S64" s="118">
        <f t="shared" si="18"/>
        <v>457.8</v>
      </c>
    </row>
    <row r="65" spans="2:19">
      <c r="B65" s="115" t="s">
        <v>16</v>
      </c>
      <c r="C65" s="118">
        <f t="shared" si="13"/>
        <v>0</v>
      </c>
      <c r="D65" s="118">
        <f t="shared" si="13"/>
        <v>0</v>
      </c>
      <c r="E65" s="118">
        <f t="shared" si="13"/>
        <v>0</v>
      </c>
      <c r="F65" s="118">
        <f t="shared" si="13"/>
        <v>0</v>
      </c>
      <c r="G65" s="118">
        <f t="shared" si="13"/>
        <v>0</v>
      </c>
      <c r="H65" s="118">
        <f t="shared" si="13"/>
        <v>0</v>
      </c>
      <c r="I65" s="118">
        <f t="shared" si="13"/>
        <v>0</v>
      </c>
      <c r="J65" s="118">
        <f t="shared" si="13"/>
        <v>0</v>
      </c>
      <c r="K65" s="118">
        <f t="shared" si="13"/>
        <v>0</v>
      </c>
      <c r="L65" s="118">
        <f t="shared" si="13"/>
        <v>0</v>
      </c>
      <c r="M65" s="118">
        <f t="shared" si="13"/>
        <v>0</v>
      </c>
      <c r="N65" s="118">
        <f t="shared" si="13"/>
        <v>0</v>
      </c>
      <c r="O65" s="118">
        <f t="shared" si="14"/>
        <v>0</v>
      </c>
      <c r="P65" s="118">
        <f t="shared" si="15"/>
        <v>0</v>
      </c>
      <c r="Q65" s="118">
        <f t="shared" si="16"/>
        <v>0</v>
      </c>
      <c r="R65" s="118">
        <f t="shared" si="17"/>
        <v>0</v>
      </c>
      <c r="S65" s="118">
        <f t="shared" si="18"/>
        <v>0</v>
      </c>
    </row>
    <row r="66" spans="2:19">
      <c r="B66" s="115" t="s">
        <v>17</v>
      </c>
      <c r="C66" s="118">
        <f t="shared" si="13"/>
        <v>1018.91</v>
      </c>
      <c r="D66" s="118">
        <f t="shared" si="13"/>
        <v>7973.24</v>
      </c>
      <c r="E66" s="118">
        <f t="shared" si="13"/>
        <v>11284.24</v>
      </c>
      <c r="F66" s="118">
        <f t="shared" si="13"/>
        <v>8691.66</v>
      </c>
      <c r="G66" s="118">
        <f t="shared" si="13"/>
        <v>2071.37</v>
      </c>
      <c r="H66" s="118">
        <f t="shared" si="13"/>
        <v>15652.15</v>
      </c>
      <c r="I66" s="118">
        <f t="shared" si="13"/>
        <v>242.97</v>
      </c>
      <c r="J66" s="118">
        <f t="shared" si="13"/>
        <v>9895.5</v>
      </c>
      <c r="K66" s="118">
        <f t="shared" si="13"/>
        <v>296</v>
      </c>
      <c r="L66" s="118">
        <f t="shared" si="13"/>
        <v>2136</v>
      </c>
      <c r="M66" s="118">
        <f t="shared" si="13"/>
        <v>5141</v>
      </c>
      <c r="N66" s="118">
        <f t="shared" si="13"/>
        <v>1</v>
      </c>
      <c r="O66" s="118">
        <f t="shared" si="14"/>
        <v>64404.04</v>
      </c>
      <c r="P66" s="118">
        <f t="shared" si="15"/>
        <v>20276.39</v>
      </c>
      <c r="Q66" s="118">
        <f t="shared" si="16"/>
        <v>26415.18</v>
      </c>
      <c r="R66" s="118">
        <f t="shared" si="17"/>
        <v>10434.469999999999</v>
      </c>
      <c r="S66" s="118">
        <f t="shared" si="18"/>
        <v>7278</v>
      </c>
    </row>
    <row r="67" spans="2:19">
      <c r="B67" s="115" t="s">
        <v>26</v>
      </c>
      <c r="C67" s="118">
        <f t="shared" si="13"/>
        <v>0</v>
      </c>
      <c r="D67" s="118">
        <f t="shared" si="13"/>
        <v>0</v>
      </c>
      <c r="E67" s="118">
        <f t="shared" si="13"/>
        <v>0</v>
      </c>
      <c r="F67" s="118">
        <f t="shared" si="13"/>
        <v>0</v>
      </c>
      <c r="G67" s="118">
        <f t="shared" si="13"/>
        <v>0</v>
      </c>
      <c r="H67" s="118">
        <f t="shared" si="13"/>
        <v>0</v>
      </c>
      <c r="I67" s="118">
        <f t="shared" si="13"/>
        <v>0</v>
      </c>
      <c r="J67" s="118">
        <f t="shared" si="13"/>
        <v>0</v>
      </c>
      <c r="K67" s="118">
        <f t="shared" si="13"/>
        <v>0</v>
      </c>
      <c r="L67" s="118">
        <f t="shared" si="13"/>
        <v>0</v>
      </c>
      <c r="M67" s="118">
        <f t="shared" si="13"/>
        <v>129.99</v>
      </c>
      <c r="N67" s="118">
        <f t="shared" si="13"/>
        <v>0</v>
      </c>
      <c r="O67" s="118">
        <f t="shared" si="14"/>
        <v>129.99</v>
      </c>
      <c r="P67" s="118">
        <f t="shared" si="15"/>
        <v>0</v>
      </c>
      <c r="Q67" s="118">
        <f t="shared" si="16"/>
        <v>0</v>
      </c>
      <c r="R67" s="118">
        <f t="shared" si="17"/>
        <v>0</v>
      </c>
      <c r="S67" s="118">
        <f t="shared" si="18"/>
        <v>129.99</v>
      </c>
    </row>
    <row r="68" spans="2:19">
      <c r="B68" s="115" t="s">
        <v>20</v>
      </c>
      <c r="C68" s="118">
        <f t="shared" si="13"/>
        <v>396.78</v>
      </c>
      <c r="D68" s="118">
        <f t="shared" si="13"/>
        <v>1667.58</v>
      </c>
      <c r="E68" s="118">
        <f t="shared" si="13"/>
        <v>1132.18</v>
      </c>
      <c r="F68" s="118">
        <f t="shared" si="13"/>
        <v>310</v>
      </c>
      <c r="G68" s="118">
        <f t="shared" si="13"/>
        <v>112.82</v>
      </c>
      <c r="H68" s="118">
        <f t="shared" si="13"/>
        <v>4247.2299999999996</v>
      </c>
      <c r="I68" s="118">
        <f t="shared" si="13"/>
        <v>3283.3900000000003</v>
      </c>
      <c r="J68" s="118">
        <f t="shared" si="13"/>
        <v>3119.8599999999997</v>
      </c>
      <c r="K68" s="118">
        <f t="shared" si="13"/>
        <v>4601.0600000000004</v>
      </c>
      <c r="L68" s="118">
        <f t="shared" si="13"/>
        <v>0</v>
      </c>
      <c r="M68" s="118">
        <f t="shared" si="13"/>
        <v>858.02</v>
      </c>
      <c r="N68" s="118">
        <f t="shared" si="13"/>
        <v>874.81999999999994</v>
      </c>
      <c r="O68" s="118">
        <f t="shared" si="14"/>
        <v>20603.740000000002</v>
      </c>
      <c r="P68" s="118">
        <f t="shared" si="15"/>
        <v>3196.54</v>
      </c>
      <c r="Q68" s="118">
        <f t="shared" si="16"/>
        <v>4670.0499999999993</v>
      </c>
      <c r="R68" s="118">
        <f t="shared" si="17"/>
        <v>11004.310000000001</v>
      </c>
      <c r="S68" s="118">
        <f t="shared" si="18"/>
        <v>1732.84</v>
      </c>
    </row>
    <row r="69" spans="2:19">
      <c r="B69" s="115" t="s">
        <v>21</v>
      </c>
      <c r="C69" s="118">
        <f t="shared" si="13"/>
        <v>1156.3800000000001</v>
      </c>
      <c r="D69" s="118">
        <f t="shared" si="13"/>
        <v>529.61</v>
      </c>
      <c r="E69" s="118">
        <f t="shared" si="13"/>
        <v>1098.25</v>
      </c>
      <c r="F69" s="118">
        <f t="shared" si="13"/>
        <v>530.0100000000001</v>
      </c>
      <c r="G69" s="118">
        <f t="shared" si="13"/>
        <v>4105.05</v>
      </c>
      <c r="H69" s="118">
        <f t="shared" si="13"/>
        <v>1027.6499999999999</v>
      </c>
      <c r="I69" s="118">
        <f t="shared" si="13"/>
        <v>1456.17</v>
      </c>
      <c r="J69" s="118">
        <f t="shared" si="13"/>
        <v>1916.9299999999998</v>
      </c>
      <c r="K69" s="118">
        <f t="shared" si="13"/>
        <v>1108.7299999999998</v>
      </c>
      <c r="L69" s="118">
        <f t="shared" si="13"/>
        <v>323.35000000000002</v>
      </c>
      <c r="M69" s="118">
        <f t="shared" si="13"/>
        <v>3768.1699999999996</v>
      </c>
      <c r="N69" s="118">
        <f t="shared" si="13"/>
        <v>1991.35</v>
      </c>
      <c r="O69" s="118">
        <f t="shared" si="14"/>
        <v>19011.649999999998</v>
      </c>
      <c r="P69" s="118">
        <f t="shared" si="15"/>
        <v>2784.2400000000002</v>
      </c>
      <c r="Q69" s="118">
        <f t="shared" si="16"/>
        <v>5662.71</v>
      </c>
      <c r="R69" s="118">
        <f t="shared" si="17"/>
        <v>4481.83</v>
      </c>
      <c r="S69" s="118">
        <f t="shared" si="18"/>
        <v>6082.869999999999</v>
      </c>
    </row>
  </sheetData>
  <mergeCells count="4">
    <mergeCell ref="B1:O1"/>
    <mergeCell ref="B2:O2"/>
    <mergeCell ref="B3:O3"/>
    <mergeCell ref="B55:O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Z103"/>
  <sheetViews>
    <sheetView zoomScale="80" zoomScaleNormal="80" zoomScalePageLayoutView="50" workbookViewId="0">
      <pane xSplit="2" ySplit="2" topLeftCell="M3" activePane="bottomRight" state="frozen"/>
      <selection pane="bottomRight" activeCell="F6" sqref="F6"/>
      <selection pane="bottomLeft" activeCell="F6" sqref="F6"/>
      <selection pane="topRight" activeCell="F6" sqref="F6"/>
    </sheetView>
  </sheetViews>
  <sheetFormatPr defaultColWidth="8.85546875" defaultRowHeight="15"/>
  <cols>
    <col min="1" max="1" width="14.85546875" bestFit="1" customWidth="1"/>
    <col min="2" max="2" width="5.85546875" bestFit="1" customWidth="1"/>
    <col min="3" max="3" width="13.7109375" bestFit="1" customWidth="1"/>
    <col min="4" max="97" width="11.42578125" bestFit="1" customWidth="1"/>
    <col min="98" max="104" width="9.85546875" bestFit="1" customWidth="1"/>
  </cols>
  <sheetData>
    <row r="1" spans="1:104" ht="17.100000000000001">
      <c r="A1" s="542" t="s">
        <v>554</v>
      </c>
      <c r="B1" s="543"/>
      <c r="C1" s="543"/>
      <c r="D1" s="543"/>
      <c r="E1" s="543"/>
      <c r="F1" s="543"/>
      <c r="G1" s="543"/>
      <c r="H1" s="54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</row>
    <row r="2" spans="1:104" ht="17.100000000000001">
      <c r="A2" s="67" t="s">
        <v>555</v>
      </c>
      <c r="B2" s="68" t="s">
        <v>556</v>
      </c>
      <c r="C2" s="68" t="s">
        <v>557</v>
      </c>
      <c r="D2" s="68" t="s">
        <v>558</v>
      </c>
      <c r="E2" s="68" t="s">
        <v>559</v>
      </c>
      <c r="F2" s="68" t="s">
        <v>560</v>
      </c>
      <c r="G2" s="68" t="s">
        <v>561</v>
      </c>
      <c r="H2" s="68" t="s">
        <v>562</v>
      </c>
      <c r="I2" s="68" t="s">
        <v>563</v>
      </c>
      <c r="J2" s="68" t="s">
        <v>564</v>
      </c>
      <c r="K2" s="68" t="s">
        <v>565</v>
      </c>
      <c r="L2" s="68" t="s">
        <v>566</v>
      </c>
      <c r="M2" s="68" t="s">
        <v>567</v>
      </c>
      <c r="N2" s="68" t="s">
        <v>568</v>
      </c>
      <c r="O2" s="68" t="s">
        <v>569</v>
      </c>
      <c r="P2" s="68" t="s">
        <v>570</v>
      </c>
      <c r="Q2" s="68" t="s">
        <v>571</v>
      </c>
      <c r="R2" s="68" t="s">
        <v>572</v>
      </c>
      <c r="S2" s="68" t="s">
        <v>573</v>
      </c>
      <c r="T2" s="68" t="s">
        <v>574</v>
      </c>
      <c r="U2" s="68" t="s">
        <v>575</v>
      </c>
      <c r="V2" s="68" t="s">
        <v>576</v>
      </c>
      <c r="W2" s="68" t="s">
        <v>577</v>
      </c>
      <c r="X2" s="68" t="s">
        <v>578</v>
      </c>
      <c r="Y2" s="68" t="s">
        <v>579</v>
      </c>
      <c r="Z2" s="68" t="s">
        <v>580</v>
      </c>
      <c r="AA2" s="68" t="s">
        <v>581</v>
      </c>
      <c r="AB2" s="68" t="s">
        <v>582</v>
      </c>
      <c r="AC2" s="68" t="s">
        <v>583</v>
      </c>
      <c r="AD2" s="68" t="s">
        <v>584</v>
      </c>
      <c r="AE2" s="68" t="s">
        <v>585</v>
      </c>
      <c r="AF2" s="68" t="s">
        <v>586</v>
      </c>
      <c r="AG2" s="68" t="s">
        <v>587</v>
      </c>
      <c r="AH2" s="68" t="s">
        <v>588</v>
      </c>
      <c r="AI2" s="68" t="s">
        <v>589</v>
      </c>
      <c r="AJ2" s="68" t="s">
        <v>590</v>
      </c>
      <c r="AK2" s="68" t="s">
        <v>591</v>
      </c>
      <c r="AL2" s="68" t="s">
        <v>592</v>
      </c>
      <c r="AM2" s="68" t="s">
        <v>593</v>
      </c>
      <c r="AN2" s="68" t="s">
        <v>594</v>
      </c>
      <c r="AO2" s="68" t="s">
        <v>595</v>
      </c>
      <c r="AP2" s="68" t="s">
        <v>596</v>
      </c>
      <c r="AQ2" s="68" t="s">
        <v>597</v>
      </c>
      <c r="AR2" s="68" t="s">
        <v>598</v>
      </c>
      <c r="AS2" s="68" t="s">
        <v>599</v>
      </c>
      <c r="AT2" s="68" t="s">
        <v>600</v>
      </c>
      <c r="AU2" s="68" t="s">
        <v>601</v>
      </c>
      <c r="AV2" s="68" t="s">
        <v>602</v>
      </c>
      <c r="AW2" s="68" t="s">
        <v>603</v>
      </c>
      <c r="AX2" s="68" t="s">
        <v>604</v>
      </c>
      <c r="AY2" s="68" t="s">
        <v>605</v>
      </c>
      <c r="AZ2" s="68" t="s">
        <v>606</v>
      </c>
      <c r="BA2" s="68" t="s">
        <v>607</v>
      </c>
      <c r="BB2" s="68" t="s">
        <v>608</v>
      </c>
      <c r="BC2" s="68" t="s">
        <v>609</v>
      </c>
      <c r="BD2" s="68" t="s">
        <v>610</v>
      </c>
      <c r="BE2" s="68" t="s">
        <v>611</v>
      </c>
      <c r="BF2" s="68" t="s">
        <v>612</v>
      </c>
      <c r="BG2" s="68" t="s">
        <v>613</v>
      </c>
      <c r="BH2" s="68" t="s">
        <v>614</v>
      </c>
      <c r="BI2" s="68" t="s">
        <v>615</v>
      </c>
      <c r="BJ2" s="68" t="s">
        <v>616</v>
      </c>
      <c r="BK2" s="68" t="s">
        <v>617</v>
      </c>
      <c r="BL2" s="68" t="s">
        <v>618</v>
      </c>
      <c r="BM2" s="68" t="s">
        <v>619</v>
      </c>
      <c r="BN2" s="68" t="s">
        <v>620</v>
      </c>
      <c r="BO2" s="68" t="s">
        <v>621</v>
      </c>
      <c r="BP2" s="68" t="s">
        <v>622</v>
      </c>
      <c r="BQ2" s="68" t="s">
        <v>623</v>
      </c>
      <c r="BR2" s="68" t="s">
        <v>624</v>
      </c>
      <c r="BS2" s="68" t="s">
        <v>625</v>
      </c>
      <c r="BT2" s="68" t="s">
        <v>626</v>
      </c>
      <c r="BU2" s="68" t="s">
        <v>627</v>
      </c>
      <c r="BV2" s="68" t="s">
        <v>628</v>
      </c>
      <c r="BW2" s="68" t="s">
        <v>629</v>
      </c>
      <c r="BX2" s="68" t="s">
        <v>630</v>
      </c>
      <c r="BY2" s="68" t="s">
        <v>631</v>
      </c>
      <c r="BZ2" s="68" t="s">
        <v>632</v>
      </c>
      <c r="CA2" s="68" t="s">
        <v>633</v>
      </c>
      <c r="CB2" s="68" t="s">
        <v>634</v>
      </c>
      <c r="CC2" s="68" t="s">
        <v>635</v>
      </c>
      <c r="CD2" s="68" t="s">
        <v>636</v>
      </c>
      <c r="CE2" s="68" t="s">
        <v>637</v>
      </c>
      <c r="CF2" s="68" t="s">
        <v>638</v>
      </c>
      <c r="CG2" s="68" t="s">
        <v>639</v>
      </c>
      <c r="CH2" s="68" t="s">
        <v>640</v>
      </c>
      <c r="CI2" s="68" t="s">
        <v>641</v>
      </c>
      <c r="CJ2" s="68" t="s">
        <v>642</v>
      </c>
      <c r="CK2" s="68" t="s">
        <v>643</v>
      </c>
      <c r="CL2" s="68" t="s">
        <v>644</v>
      </c>
      <c r="CM2" s="68" t="s">
        <v>645</v>
      </c>
      <c r="CN2" s="68" t="s">
        <v>646</v>
      </c>
      <c r="CO2" s="68" t="s">
        <v>647</v>
      </c>
      <c r="CP2" s="68" t="s">
        <v>648</v>
      </c>
      <c r="CQ2" s="68" t="s">
        <v>649</v>
      </c>
      <c r="CR2" s="68" t="s">
        <v>650</v>
      </c>
      <c r="CS2" s="68" t="s">
        <v>651</v>
      </c>
      <c r="CT2" s="68" t="s">
        <v>652</v>
      </c>
      <c r="CU2" s="68" t="s">
        <v>653</v>
      </c>
      <c r="CV2" s="68" t="s">
        <v>654</v>
      </c>
      <c r="CW2" s="68" t="s">
        <v>655</v>
      </c>
      <c r="CX2" s="68" t="s">
        <v>656</v>
      </c>
      <c r="CY2" s="68" t="s">
        <v>657</v>
      </c>
      <c r="CZ2" s="68" t="s">
        <v>658</v>
      </c>
    </row>
    <row r="3" spans="1:104" ht="17.100000000000001">
      <c r="A3" s="69" t="s">
        <v>659</v>
      </c>
      <c r="B3" s="69">
        <v>2014</v>
      </c>
      <c r="C3" s="74">
        <v>318748017</v>
      </c>
      <c r="D3" s="74">
        <v>3971847</v>
      </c>
      <c r="E3" s="74">
        <v>3957864</v>
      </c>
      <c r="F3" s="74">
        <v>3972081</v>
      </c>
      <c r="G3" s="74">
        <v>4003272</v>
      </c>
      <c r="H3" s="74">
        <v>4001929</v>
      </c>
      <c r="I3" s="74">
        <v>4002977</v>
      </c>
      <c r="J3" s="74">
        <v>4132455</v>
      </c>
      <c r="K3" s="74">
        <v>4152653</v>
      </c>
      <c r="L3" s="74">
        <v>4118628</v>
      </c>
      <c r="M3" s="74">
        <v>4105776</v>
      </c>
      <c r="N3" s="74">
        <v>4113824</v>
      </c>
      <c r="O3" s="74">
        <v>4083474</v>
      </c>
      <c r="P3" s="74">
        <v>4066054</v>
      </c>
      <c r="Q3" s="74">
        <v>4166320</v>
      </c>
      <c r="R3" s="74">
        <v>4229659</v>
      </c>
      <c r="S3" s="74">
        <v>4162124</v>
      </c>
      <c r="T3" s="74">
        <v>4166629</v>
      </c>
      <c r="U3" s="74">
        <v>4183163</v>
      </c>
      <c r="V3" s="74">
        <v>4222436</v>
      </c>
      <c r="W3" s="74">
        <v>4322037</v>
      </c>
      <c r="X3" s="74">
        <v>4416453</v>
      </c>
      <c r="Y3" s="74">
        <v>4487463</v>
      </c>
      <c r="Z3" s="74">
        <v>4610463</v>
      </c>
      <c r="AA3" s="74">
        <v>4696846</v>
      </c>
      <c r="AB3" s="74">
        <v>4692440</v>
      </c>
      <c r="AC3" s="74">
        <v>4510702</v>
      </c>
      <c r="AD3" s="74">
        <v>4408412</v>
      </c>
      <c r="AE3" s="74">
        <v>4334890</v>
      </c>
      <c r="AF3" s="74">
        <v>4354323</v>
      </c>
      <c r="AG3" s="74">
        <v>4389704</v>
      </c>
      <c r="AH3" s="74">
        <v>4252230</v>
      </c>
      <c r="AI3" s="74">
        <v>4318575</v>
      </c>
      <c r="AJ3" s="74">
        <v>4318366</v>
      </c>
      <c r="AK3" s="74">
        <v>4272544</v>
      </c>
      <c r="AL3" s="74">
        <v>4358493</v>
      </c>
      <c r="AM3" s="74">
        <v>4090127</v>
      </c>
      <c r="AN3" s="74">
        <v>4010218</v>
      </c>
      <c r="AO3" s="74">
        <v>3970081</v>
      </c>
      <c r="AP3" s="74">
        <v>3854355</v>
      </c>
      <c r="AQ3" s="74">
        <v>3974444</v>
      </c>
      <c r="AR3" s="74">
        <v>3851401</v>
      </c>
      <c r="AS3" s="74">
        <v>3911379</v>
      </c>
      <c r="AT3" s="74">
        <v>4089495</v>
      </c>
      <c r="AU3" s="74">
        <v>4326021</v>
      </c>
      <c r="AV3" s="74">
        <v>4381655</v>
      </c>
      <c r="AW3" s="74">
        <v>4154848</v>
      </c>
      <c r="AX3" s="74">
        <v>4069099</v>
      </c>
      <c r="AY3" s="74">
        <v>4074304</v>
      </c>
      <c r="AZ3" s="74">
        <v>4151453</v>
      </c>
      <c r="BA3" s="74">
        <v>4402094</v>
      </c>
      <c r="BB3" s="74">
        <v>4485065</v>
      </c>
      <c r="BC3" s="74">
        <v>4482625</v>
      </c>
      <c r="BD3" s="74">
        <v>4475720</v>
      </c>
      <c r="BE3" s="74">
        <v>4532166</v>
      </c>
      <c r="BF3" s="74">
        <v>4571112</v>
      </c>
      <c r="BG3" s="74">
        <v>4419271</v>
      </c>
      <c r="BH3" s="74">
        <v>4394194</v>
      </c>
      <c r="BI3" s="74">
        <v>4346785</v>
      </c>
      <c r="BJ3" s="74">
        <v>4191782</v>
      </c>
      <c r="BK3" s="74">
        <v>4155788</v>
      </c>
      <c r="BL3" s="74">
        <v>3986465</v>
      </c>
      <c r="BM3" s="74">
        <v>3835472</v>
      </c>
      <c r="BN3" s="74">
        <v>3687663</v>
      </c>
      <c r="BO3" s="74">
        <v>3573492</v>
      </c>
      <c r="BP3" s="74">
        <v>3487116</v>
      </c>
      <c r="BQ3" s="74">
        <v>3386367</v>
      </c>
      <c r="BR3" s="74">
        <v>3353662</v>
      </c>
      <c r="BS3" s="74">
        <v>3491158</v>
      </c>
      <c r="BT3" s="74">
        <v>2570754</v>
      </c>
      <c r="BU3" s="74">
        <v>2532956</v>
      </c>
      <c r="BV3" s="74">
        <v>2468980</v>
      </c>
      <c r="BW3" s="74">
        <v>2524389</v>
      </c>
      <c r="BX3" s="74">
        <v>2195492</v>
      </c>
      <c r="BY3" s="74">
        <v>2001582</v>
      </c>
      <c r="BZ3" s="74">
        <v>1889215</v>
      </c>
      <c r="CA3" s="74">
        <v>1773421</v>
      </c>
      <c r="CB3" s="74">
        <v>1693253</v>
      </c>
      <c r="CC3" s="74">
        <v>1556002</v>
      </c>
      <c r="CD3" s="74">
        <v>1480267</v>
      </c>
      <c r="CE3" s="74">
        <v>1413154</v>
      </c>
      <c r="CF3" s="74">
        <v>1263394</v>
      </c>
      <c r="CG3" s="74">
        <v>1215284</v>
      </c>
      <c r="CH3" s="74">
        <v>1153333</v>
      </c>
      <c r="CI3" s="74">
        <v>1090418</v>
      </c>
      <c r="CJ3" s="74">
        <v>1036315</v>
      </c>
      <c r="CK3" s="74">
        <v>925381</v>
      </c>
      <c r="CL3" s="74">
        <v>856136</v>
      </c>
      <c r="CM3" s="74">
        <v>771029</v>
      </c>
      <c r="CN3" s="74">
        <v>676079</v>
      </c>
      <c r="CO3" s="74">
        <v>600259</v>
      </c>
      <c r="CP3" s="74">
        <v>513331</v>
      </c>
      <c r="CQ3" s="74">
        <v>427331</v>
      </c>
      <c r="CR3" s="74">
        <v>355279</v>
      </c>
      <c r="CS3" s="74">
        <v>286604</v>
      </c>
      <c r="CT3" s="74">
        <v>219260</v>
      </c>
      <c r="CU3" s="74">
        <v>157054</v>
      </c>
      <c r="CV3" s="74">
        <v>121336</v>
      </c>
      <c r="CW3" s="74">
        <v>84101</v>
      </c>
      <c r="CX3" s="74">
        <v>60314</v>
      </c>
      <c r="CY3" s="74">
        <v>41987</v>
      </c>
      <c r="CZ3" s="74">
        <v>70344</v>
      </c>
    </row>
    <row r="4" spans="1:104" ht="17.100000000000001">
      <c r="A4" s="69" t="s">
        <v>659</v>
      </c>
      <c r="B4" s="69">
        <v>2015</v>
      </c>
      <c r="C4" s="74">
        <v>321368864</v>
      </c>
      <c r="D4" s="74">
        <v>4000831</v>
      </c>
      <c r="E4" s="74">
        <v>3988161</v>
      </c>
      <c r="F4" s="74">
        <v>3974109</v>
      </c>
      <c r="G4" s="74">
        <v>3986357</v>
      </c>
      <c r="H4" s="74">
        <v>4015656</v>
      </c>
      <c r="I4" s="74">
        <v>4013264</v>
      </c>
      <c r="J4" s="74">
        <v>4013790</v>
      </c>
      <c r="K4" s="74">
        <v>4142998</v>
      </c>
      <c r="L4" s="74">
        <v>4163270</v>
      </c>
      <c r="M4" s="74">
        <v>4129322</v>
      </c>
      <c r="N4" s="74">
        <v>4116403</v>
      </c>
      <c r="O4" s="74">
        <v>4124332</v>
      </c>
      <c r="P4" s="74">
        <v>4093774</v>
      </c>
      <c r="Q4" s="74">
        <v>4076731</v>
      </c>
      <c r="R4" s="74">
        <v>4178338</v>
      </c>
      <c r="S4" s="74">
        <v>4244458</v>
      </c>
      <c r="T4" s="74">
        <v>4181583</v>
      </c>
      <c r="U4" s="74">
        <v>4191978</v>
      </c>
      <c r="V4" s="74">
        <v>4214789</v>
      </c>
      <c r="W4" s="74">
        <v>4259365</v>
      </c>
      <c r="X4" s="74">
        <v>4362335</v>
      </c>
      <c r="Y4" s="74">
        <v>4458636</v>
      </c>
      <c r="Z4" s="74">
        <v>4529888</v>
      </c>
      <c r="AA4" s="74">
        <v>4652042</v>
      </c>
      <c r="AB4" s="74">
        <v>4737222</v>
      </c>
      <c r="AC4" s="74">
        <v>4730816</v>
      </c>
      <c r="AD4" s="74">
        <v>4547569</v>
      </c>
      <c r="AE4" s="74">
        <v>4443015</v>
      </c>
      <c r="AF4" s="74">
        <v>4367581</v>
      </c>
      <c r="AG4" s="74">
        <v>4384373</v>
      </c>
      <c r="AH4" s="74">
        <v>4416896</v>
      </c>
      <c r="AI4" s="74">
        <v>4276717</v>
      </c>
      <c r="AJ4" s="74">
        <v>4339486</v>
      </c>
      <c r="AK4" s="74">
        <v>4336956</v>
      </c>
      <c r="AL4" s="74">
        <v>4289091</v>
      </c>
      <c r="AM4" s="74">
        <v>4372984</v>
      </c>
      <c r="AN4" s="74">
        <v>4103961</v>
      </c>
      <c r="AO4" s="74">
        <v>4022709</v>
      </c>
      <c r="AP4" s="74">
        <v>3981690</v>
      </c>
      <c r="AQ4" s="74">
        <v>3865068</v>
      </c>
      <c r="AR4" s="74">
        <v>3983251</v>
      </c>
      <c r="AS4" s="74">
        <v>3858627</v>
      </c>
      <c r="AT4" s="74">
        <v>3916268</v>
      </c>
      <c r="AU4" s="74">
        <v>4092606</v>
      </c>
      <c r="AV4" s="74">
        <v>4327261</v>
      </c>
      <c r="AW4" s="74">
        <v>4381254</v>
      </c>
      <c r="AX4" s="74">
        <v>4153768</v>
      </c>
      <c r="AY4" s="74">
        <v>4066359</v>
      </c>
      <c r="AZ4" s="74">
        <v>4070170</v>
      </c>
      <c r="BA4" s="74">
        <v>4145136</v>
      </c>
      <c r="BB4" s="74">
        <v>4392871</v>
      </c>
      <c r="BC4" s="74">
        <v>4473620</v>
      </c>
      <c r="BD4" s="74">
        <v>4469245</v>
      </c>
      <c r="BE4" s="74">
        <v>4460772</v>
      </c>
      <c r="BF4" s="74">
        <v>4515002</v>
      </c>
      <c r="BG4" s="74">
        <v>4551557</v>
      </c>
      <c r="BH4" s="74">
        <v>4398728</v>
      </c>
      <c r="BI4" s="74">
        <v>4371736</v>
      </c>
      <c r="BJ4" s="74">
        <v>4322549</v>
      </c>
      <c r="BK4" s="74">
        <v>4166575</v>
      </c>
      <c r="BL4" s="74">
        <v>4128691</v>
      </c>
      <c r="BM4" s="74">
        <v>3958655</v>
      </c>
      <c r="BN4" s="74">
        <v>3806448</v>
      </c>
      <c r="BO4" s="74">
        <v>3657448</v>
      </c>
      <c r="BP4" s="74">
        <v>3541478</v>
      </c>
      <c r="BQ4" s="74">
        <v>3452626</v>
      </c>
      <c r="BR4" s="74">
        <v>3349536</v>
      </c>
      <c r="BS4" s="74">
        <v>3313296</v>
      </c>
      <c r="BT4" s="74">
        <v>3444612</v>
      </c>
      <c r="BU4" s="74">
        <v>2534265</v>
      </c>
      <c r="BV4" s="74">
        <v>2493204</v>
      </c>
      <c r="BW4" s="74">
        <v>2426285</v>
      </c>
      <c r="BX4" s="74">
        <v>2475932</v>
      </c>
      <c r="BY4" s="74">
        <v>2149257</v>
      </c>
      <c r="BZ4" s="74">
        <v>1955068</v>
      </c>
      <c r="CA4" s="74">
        <v>1840533</v>
      </c>
      <c r="CB4" s="74">
        <v>1722783</v>
      </c>
      <c r="CC4" s="74">
        <v>1639501</v>
      </c>
      <c r="CD4" s="74">
        <v>1501182</v>
      </c>
      <c r="CE4" s="74">
        <v>1422273</v>
      </c>
      <c r="CF4" s="74">
        <v>1351639</v>
      </c>
      <c r="CG4" s="74">
        <v>1202361</v>
      </c>
      <c r="CH4" s="74">
        <v>1149985</v>
      </c>
      <c r="CI4" s="74">
        <v>1084276</v>
      </c>
      <c r="CJ4" s="74">
        <v>1017451</v>
      </c>
      <c r="CK4" s="74">
        <v>958787</v>
      </c>
      <c r="CL4" s="74">
        <v>848198</v>
      </c>
      <c r="CM4" s="74">
        <v>776788</v>
      </c>
      <c r="CN4" s="74">
        <v>691754</v>
      </c>
      <c r="CO4" s="74">
        <v>599204</v>
      </c>
      <c r="CP4" s="74">
        <v>524832</v>
      </c>
      <c r="CQ4" s="74">
        <v>442185</v>
      </c>
      <c r="CR4" s="74">
        <v>362183</v>
      </c>
      <c r="CS4" s="74">
        <v>295845</v>
      </c>
      <c r="CT4" s="74">
        <v>234146</v>
      </c>
      <c r="CU4" s="74">
        <v>175609</v>
      </c>
      <c r="CV4" s="74">
        <v>123059</v>
      </c>
      <c r="CW4" s="74">
        <v>92909</v>
      </c>
      <c r="CX4" s="74">
        <v>62843</v>
      </c>
      <c r="CY4" s="74">
        <v>43941</v>
      </c>
      <c r="CZ4" s="74">
        <v>71897</v>
      </c>
    </row>
    <row r="5" spans="1:104" ht="17.100000000000001">
      <c r="A5" s="69" t="s">
        <v>659</v>
      </c>
      <c r="B5" s="69">
        <v>2016</v>
      </c>
      <c r="C5" s="74">
        <v>323995528</v>
      </c>
      <c r="D5" s="74">
        <v>4029356</v>
      </c>
      <c r="E5" s="74">
        <v>4017346</v>
      </c>
      <c r="F5" s="74">
        <v>4004585</v>
      </c>
      <c r="G5" s="74">
        <v>3988434</v>
      </c>
      <c r="H5" s="74">
        <v>3998839</v>
      </c>
      <c r="I5" s="74">
        <v>4026967</v>
      </c>
      <c r="J5" s="74">
        <v>4024121</v>
      </c>
      <c r="K5" s="74">
        <v>4024481</v>
      </c>
      <c r="L5" s="74">
        <v>4153686</v>
      </c>
      <c r="M5" s="74">
        <v>4174008</v>
      </c>
      <c r="N5" s="74">
        <v>4140051</v>
      </c>
      <c r="O5" s="74">
        <v>4126998</v>
      </c>
      <c r="P5" s="74">
        <v>4134906</v>
      </c>
      <c r="Q5" s="74">
        <v>4104615</v>
      </c>
      <c r="R5" s="74">
        <v>4088954</v>
      </c>
      <c r="S5" s="74">
        <v>4193455</v>
      </c>
      <c r="T5" s="74">
        <v>4264077</v>
      </c>
      <c r="U5" s="74">
        <v>4207228</v>
      </c>
      <c r="V5" s="74">
        <v>4224009</v>
      </c>
      <c r="W5" s="74">
        <v>4252112</v>
      </c>
      <c r="X5" s="74">
        <v>4300212</v>
      </c>
      <c r="Y5" s="74">
        <v>4404996</v>
      </c>
      <c r="Z5" s="74">
        <v>4501514</v>
      </c>
      <c r="AA5" s="74">
        <v>4572113</v>
      </c>
      <c r="AB5" s="74">
        <v>4692841</v>
      </c>
      <c r="AC5" s="74">
        <v>4776266</v>
      </c>
      <c r="AD5" s="74">
        <v>4767837</v>
      </c>
      <c r="AE5" s="74">
        <v>4582744</v>
      </c>
      <c r="AF5" s="74">
        <v>4475907</v>
      </c>
      <c r="AG5" s="74">
        <v>4398212</v>
      </c>
      <c r="AH5" s="74">
        <v>4412091</v>
      </c>
      <c r="AI5" s="74">
        <v>4441321</v>
      </c>
      <c r="AJ5" s="74">
        <v>4298287</v>
      </c>
      <c r="AK5" s="74">
        <v>4357996</v>
      </c>
      <c r="AL5" s="74">
        <v>4353844</v>
      </c>
      <c r="AM5" s="74">
        <v>4304369</v>
      </c>
      <c r="AN5" s="74">
        <v>4386408</v>
      </c>
      <c r="AO5" s="74">
        <v>4116777</v>
      </c>
      <c r="AP5" s="74">
        <v>4034381</v>
      </c>
      <c r="AQ5" s="74">
        <v>3992390</v>
      </c>
      <c r="AR5" s="74">
        <v>3874432</v>
      </c>
      <c r="AS5" s="74">
        <v>3990311</v>
      </c>
      <c r="AT5" s="74">
        <v>3864100</v>
      </c>
      <c r="AU5" s="74">
        <v>3919756</v>
      </c>
      <c r="AV5" s="74">
        <v>4094613</v>
      </c>
      <c r="AW5" s="74">
        <v>4327391</v>
      </c>
      <c r="AX5" s="74">
        <v>4379691</v>
      </c>
      <c r="AY5" s="74">
        <v>4151276</v>
      </c>
      <c r="AZ5" s="74">
        <v>4062136</v>
      </c>
      <c r="BA5" s="74">
        <v>4064576</v>
      </c>
      <c r="BB5" s="74">
        <v>4137386</v>
      </c>
      <c r="BC5" s="74">
        <v>4382184</v>
      </c>
      <c r="BD5" s="74">
        <v>4460748</v>
      </c>
      <c r="BE5" s="74">
        <v>4454533</v>
      </c>
      <c r="BF5" s="74">
        <v>4444447</v>
      </c>
      <c r="BG5" s="74">
        <v>4496512</v>
      </c>
      <c r="BH5" s="74">
        <v>4530600</v>
      </c>
      <c r="BI5" s="74">
        <v>4376769</v>
      </c>
      <c r="BJ5" s="74">
        <v>4347853</v>
      </c>
      <c r="BK5" s="74">
        <v>4296934</v>
      </c>
      <c r="BL5" s="74">
        <v>4140000</v>
      </c>
      <c r="BM5" s="74">
        <v>4100120</v>
      </c>
      <c r="BN5" s="74">
        <v>3929170</v>
      </c>
      <c r="BO5" s="74">
        <v>3775593</v>
      </c>
      <c r="BP5" s="74">
        <v>3625280</v>
      </c>
      <c r="BQ5" s="74">
        <v>3507136</v>
      </c>
      <c r="BR5" s="74">
        <v>3415479</v>
      </c>
      <c r="BS5" s="74">
        <v>3309870</v>
      </c>
      <c r="BT5" s="74">
        <v>3269917</v>
      </c>
      <c r="BU5" s="74">
        <v>3394772</v>
      </c>
      <c r="BV5" s="74">
        <v>2495055</v>
      </c>
      <c r="BW5" s="74">
        <v>2450513</v>
      </c>
      <c r="BX5" s="74">
        <v>2380436</v>
      </c>
      <c r="BY5" s="74">
        <v>2423963</v>
      </c>
      <c r="BZ5" s="74">
        <v>2099618</v>
      </c>
      <c r="CA5" s="74">
        <v>1905179</v>
      </c>
      <c r="CB5" s="74">
        <v>1788375</v>
      </c>
      <c r="CC5" s="74">
        <v>1668560</v>
      </c>
      <c r="CD5" s="74">
        <v>1582161</v>
      </c>
      <c r="CE5" s="74">
        <v>1442885</v>
      </c>
      <c r="CF5" s="74">
        <v>1360791</v>
      </c>
      <c r="CG5" s="74">
        <v>1286716</v>
      </c>
      <c r="CH5" s="74">
        <v>1138205</v>
      </c>
      <c r="CI5" s="74">
        <v>1081525</v>
      </c>
      <c r="CJ5" s="74">
        <v>1012226</v>
      </c>
      <c r="CK5" s="74">
        <v>941853</v>
      </c>
      <c r="CL5" s="74">
        <v>879331</v>
      </c>
      <c r="CM5" s="74">
        <v>770079</v>
      </c>
      <c r="CN5" s="74">
        <v>697471</v>
      </c>
      <c r="CO5" s="74">
        <v>613523</v>
      </c>
      <c r="CP5" s="74">
        <v>524373</v>
      </c>
      <c r="CQ5" s="74">
        <v>452570</v>
      </c>
      <c r="CR5" s="74">
        <v>375203</v>
      </c>
      <c r="CS5" s="74">
        <v>301995</v>
      </c>
      <c r="CT5" s="74">
        <v>242066</v>
      </c>
      <c r="CU5" s="74">
        <v>187727</v>
      </c>
      <c r="CV5" s="74">
        <v>137851</v>
      </c>
      <c r="CW5" s="74">
        <v>94383</v>
      </c>
      <c r="CX5" s="74">
        <v>69548</v>
      </c>
      <c r="CY5" s="74">
        <v>45855</v>
      </c>
      <c r="CZ5" s="74">
        <v>73173</v>
      </c>
    </row>
    <row r="6" spans="1:104" ht="17.100000000000001">
      <c r="A6" s="69" t="s">
        <v>659</v>
      </c>
      <c r="B6" s="69">
        <v>2017</v>
      </c>
      <c r="C6" s="74">
        <v>326625791</v>
      </c>
      <c r="D6" s="74">
        <v>4057231</v>
      </c>
      <c r="E6" s="74">
        <v>4046063</v>
      </c>
      <c r="F6" s="74">
        <v>4033932</v>
      </c>
      <c r="G6" s="74">
        <v>4019069</v>
      </c>
      <c r="H6" s="74">
        <v>4000955</v>
      </c>
      <c r="I6" s="74">
        <v>4010232</v>
      </c>
      <c r="J6" s="74">
        <v>4037777</v>
      </c>
      <c r="K6" s="74">
        <v>4034839</v>
      </c>
      <c r="L6" s="74">
        <v>4035311</v>
      </c>
      <c r="M6" s="74">
        <v>4164487</v>
      </c>
      <c r="N6" s="74">
        <v>4184763</v>
      </c>
      <c r="O6" s="74">
        <v>4150719</v>
      </c>
      <c r="P6" s="74">
        <v>4137618</v>
      </c>
      <c r="Q6" s="74">
        <v>4145959</v>
      </c>
      <c r="R6" s="74">
        <v>4116978</v>
      </c>
      <c r="S6" s="74">
        <v>4104286</v>
      </c>
      <c r="T6" s="74">
        <v>4213411</v>
      </c>
      <c r="U6" s="74">
        <v>4289923</v>
      </c>
      <c r="V6" s="74">
        <v>4239600</v>
      </c>
      <c r="W6" s="74">
        <v>4261784</v>
      </c>
      <c r="X6" s="74">
        <v>4293353</v>
      </c>
      <c r="Y6" s="74">
        <v>4343430</v>
      </c>
      <c r="Z6" s="74">
        <v>4448322</v>
      </c>
      <c r="AA6" s="74">
        <v>4544140</v>
      </c>
      <c r="AB6" s="74">
        <v>4613529</v>
      </c>
      <c r="AC6" s="74">
        <v>4732220</v>
      </c>
      <c r="AD6" s="74">
        <v>4813856</v>
      </c>
      <c r="AE6" s="74">
        <v>4803078</v>
      </c>
      <c r="AF6" s="74">
        <v>4616047</v>
      </c>
      <c r="AG6" s="74">
        <v>4506652</v>
      </c>
      <c r="AH6" s="74">
        <v>4426384</v>
      </c>
      <c r="AI6" s="74">
        <v>4436975</v>
      </c>
      <c r="AJ6" s="74">
        <v>4462805</v>
      </c>
      <c r="AK6" s="74">
        <v>4317325</v>
      </c>
      <c r="AL6" s="74">
        <v>4374764</v>
      </c>
      <c r="AM6" s="74">
        <v>4369336</v>
      </c>
      <c r="AN6" s="74">
        <v>4318463</v>
      </c>
      <c r="AO6" s="74">
        <v>4398787</v>
      </c>
      <c r="AP6" s="74">
        <v>4128692</v>
      </c>
      <c r="AQ6" s="74">
        <v>4045065</v>
      </c>
      <c r="AR6" s="74">
        <v>4001720</v>
      </c>
      <c r="AS6" s="74">
        <v>3882005</v>
      </c>
      <c r="AT6" s="74">
        <v>3995557</v>
      </c>
      <c r="AU6" s="74">
        <v>3868131</v>
      </c>
      <c r="AV6" s="74">
        <v>3922136</v>
      </c>
      <c r="AW6" s="74">
        <v>4095551</v>
      </c>
      <c r="AX6" s="74">
        <v>4326299</v>
      </c>
      <c r="AY6" s="74">
        <v>4376690</v>
      </c>
      <c r="AZ6" s="74">
        <v>4147252</v>
      </c>
      <c r="BA6" s="74">
        <v>4056506</v>
      </c>
      <c r="BB6" s="74">
        <v>4057554</v>
      </c>
      <c r="BC6" s="74">
        <v>4128175</v>
      </c>
      <c r="BD6" s="74">
        <v>4370068</v>
      </c>
      <c r="BE6" s="74">
        <v>4446573</v>
      </c>
      <c r="BF6" s="74">
        <v>4438506</v>
      </c>
      <c r="BG6" s="74">
        <v>4426798</v>
      </c>
      <c r="BH6" s="74">
        <v>4476610</v>
      </c>
      <c r="BI6" s="74">
        <v>4508215</v>
      </c>
      <c r="BJ6" s="74">
        <v>4353419</v>
      </c>
      <c r="BK6" s="74">
        <v>4322590</v>
      </c>
      <c r="BL6" s="74">
        <v>4269911</v>
      </c>
      <c r="BM6" s="74">
        <v>4111943</v>
      </c>
      <c r="BN6" s="74">
        <v>4069857</v>
      </c>
      <c r="BO6" s="74">
        <v>3897769</v>
      </c>
      <c r="BP6" s="74">
        <v>3742744</v>
      </c>
      <c r="BQ6" s="74">
        <v>3590740</v>
      </c>
      <c r="BR6" s="74">
        <v>3470086</v>
      </c>
      <c r="BS6" s="74">
        <v>3375432</v>
      </c>
      <c r="BT6" s="74">
        <v>3267164</v>
      </c>
      <c r="BU6" s="74">
        <v>3223394</v>
      </c>
      <c r="BV6" s="74">
        <v>3341408</v>
      </c>
      <c r="BW6" s="74">
        <v>2452906</v>
      </c>
      <c r="BX6" s="74">
        <v>2404641</v>
      </c>
      <c r="BY6" s="74">
        <v>2331187</v>
      </c>
      <c r="BZ6" s="74">
        <v>2368209</v>
      </c>
      <c r="CA6" s="74">
        <v>2046381</v>
      </c>
      <c r="CB6" s="74">
        <v>1851709</v>
      </c>
      <c r="CC6" s="74">
        <v>1732515</v>
      </c>
      <c r="CD6" s="74">
        <v>1610671</v>
      </c>
      <c r="CE6" s="74">
        <v>1521140</v>
      </c>
      <c r="CF6" s="74">
        <v>1381003</v>
      </c>
      <c r="CG6" s="74">
        <v>1295851</v>
      </c>
      <c r="CH6" s="74">
        <v>1218463</v>
      </c>
      <c r="CI6" s="74">
        <v>1070912</v>
      </c>
      <c r="CJ6" s="74">
        <v>1010072</v>
      </c>
      <c r="CK6" s="74">
        <v>937533</v>
      </c>
      <c r="CL6" s="74">
        <v>864312</v>
      </c>
      <c r="CM6" s="74">
        <v>798857</v>
      </c>
      <c r="CN6" s="74">
        <v>691931</v>
      </c>
      <c r="CO6" s="74">
        <v>619129</v>
      </c>
      <c r="CP6" s="74">
        <v>537330</v>
      </c>
      <c r="CQ6" s="74">
        <v>452613</v>
      </c>
      <c r="CR6" s="74">
        <v>384455</v>
      </c>
      <c r="CS6" s="74">
        <v>313248</v>
      </c>
      <c r="CT6" s="74">
        <v>247453</v>
      </c>
      <c r="CU6" s="74">
        <v>194398</v>
      </c>
      <c r="CV6" s="74">
        <v>147520</v>
      </c>
      <c r="CW6" s="74">
        <v>105942</v>
      </c>
      <c r="CX6" s="74">
        <v>70777</v>
      </c>
      <c r="CY6" s="74">
        <v>50845</v>
      </c>
      <c r="CZ6" s="74">
        <v>74825</v>
      </c>
    </row>
    <row r="7" spans="1:104" ht="17.100000000000001">
      <c r="A7" s="69" t="s">
        <v>659</v>
      </c>
      <c r="B7" s="69">
        <v>2018</v>
      </c>
      <c r="C7" s="74">
        <v>329256465</v>
      </c>
      <c r="D7" s="74">
        <v>4083375</v>
      </c>
      <c r="E7" s="74">
        <v>4074132</v>
      </c>
      <c r="F7" s="74">
        <v>4062816</v>
      </c>
      <c r="G7" s="74">
        <v>4048550</v>
      </c>
      <c r="H7" s="74">
        <v>4031712</v>
      </c>
      <c r="I7" s="74">
        <v>4012371</v>
      </c>
      <c r="J7" s="74">
        <v>4021117</v>
      </c>
      <c r="K7" s="74">
        <v>4048454</v>
      </c>
      <c r="L7" s="74">
        <v>4045696</v>
      </c>
      <c r="M7" s="74">
        <v>4046249</v>
      </c>
      <c r="N7" s="74">
        <v>4175291</v>
      </c>
      <c r="O7" s="74">
        <v>4195447</v>
      </c>
      <c r="P7" s="74">
        <v>4161373</v>
      </c>
      <c r="Q7" s="74">
        <v>4148715</v>
      </c>
      <c r="R7" s="74">
        <v>4158528</v>
      </c>
      <c r="S7" s="74">
        <v>4132468</v>
      </c>
      <c r="T7" s="74">
        <v>4124474</v>
      </c>
      <c r="U7" s="74">
        <v>4239638</v>
      </c>
      <c r="V7" s="74">
        <v>4322562</v>
      </c>
      <c r="W7" s="74">
        <v>4277760</v>
      </c>
      <c r="X7" s="74">
        <v>4303512</v>
      </c>
      <c r="Y7" s="74">
        <v>4336969</v>
      </c>
      <c r="Z7" s="74">
        <v>4387289</v>
      </c>
      <c r="AA7" s="74">
        <v>4491373</v>
      </c>
      <c r="AB7" s="74">
        <v>4585894</v>
      </c>
      <c r="AC7" s="74">
        <v>4653514</v>
      </c>
      <c r="AD7" s="74">
        <v>4770102</v>
      </c>
      <c r="AE7" s="74">
        <v>4849582</v>
      </c>
      <c r="AF7" s="74">
        <v>4836423</v>
      </c>
      <c r="AG7" s="74">
        <v>4647114</v>
      </c>
      <c r="AH7" s="74">
        <v>4534921</v>
      </c>
      <c r="AI7" s="74">
        <v>4451571</v>
      </c>
      <c r="AJ7" s="74">
        <v>4458841</v>
      </c>
      <c r="AK7" s="74">
        <v>4481746</v>
      </c>
      <c r="AL7" s="74">
        <v>4334542</v>
      </c>
      <c r="AM7" s="74">
        <v>4390149</v>
      </c>
      <c r="AN7" s="74">
        <v>4383585</v>
      </c>
      <c r="AO7" s="74">
        <v>4331450</v>
      </c>
      <c r="AP7" s="74">
        <v>4410293</v>
      </c>
      <c r="AQ7" s="74">
        <v>4139571</v>
      </c>
      <c r="AR7" s="74">
        <v>4054352</v>
      </c>
      <c r="AS7" s="74">
        <v>4009244</v>
      </c>
      <c r="AT7" s="74">
        <v>3887761</v>
      </c>
      <c r="AU7" s="74">
        <v>3999310</v>
      </c>
      <c r="AV7" s="74">
        <v>3871027</v>
      </c>
      <c r="AW7" s="74">
        <v>3923483</v>
      </c>
      <c r="AX7" s="74">
        <v>4095304</v>
      </c>
      <c r="AY7" s="74">
        <v>4323732</v>
      </c>
      <c r="AZ7" s="74">
        <v>4372143</v>
      </c>
      <c r="BA7" s="74">
        <v>4141792</v>
      </c>
      <c r="BB7" s="74">
        <v>4049508</v>
      </c>
      <c r="BC7" s="74">
        <v>4049103</v>
      </c>
      <c r="BD7" s="74">
        <v>4117616</v>
      </c>
      <c r="BE7" s="74">
        <v>4356669</v>
      </c>
      <c r="BF7" s="74">
        <v>4431087</v>
      </c>
      <c r="BG7" s="74">
        <v>4421208</v>
      </c>
      <c r="BH7" s="74">
        <v>4407754</v>
      </c>
      <c r="BI7" s="74">
        <v>4455289</v>
      </c>
      <c r="BJ7" s="74">
        <v>4484389</v>
      </c>
      <c r="BK7" s="74">
        <v>4328687</v>
      </c>
      <c r="BL7" s="74">
        <v>4295927</v>
      </c>
      <c r="BM7" s="74">
        <v>4241359</v>
      </c>
      <c r="BN7" s="74">
        <v>4082185</v>
      </c>
      <c r="BO7" s="74">
        <v>4037620</v>
      </c>
      <c r="BP7" s="74">
        <v>3864281</v>
      </c>
      <c r="BQ7" s="74">
        <v>3707438</v>
      </c>
      <c r="BR7" s="74">
        <v>3553400</v>
      </c>
      <c r="BS7" s="74">
        <v>3430071</v>
      </c>
      <c r="BT7" s="74">
        <v>3332310</v>
      </c>
      <c r="BU7" s="74">
        <v>3221299</v>
      </c>
      <c r="BV7" s="74">
        <v>3173525</v>
      </c>
      <c r="BW7" s="74">
        <v>3284219</v>
      </c>
      <c r="BX7" s="74">
        <v>2407568</v>
      </c>
      <c r="BY7" s="74">
        <v>2355330</v>
      </c>
      <c r="BZ7" s="74">
        <v>2278266</v>
      </c>
      <c r="CA7" s="74">
        <v>2308444</v>
      </c>
      <c r="CB7" s="74">
        <v>1989322</v>
      </c>
      <c r="CC7" s="74">
        <v>1794409</v>
      </c>
      <c r="CD7" s="74">
        <v>1672863</v>
      </c>
      <c r="CE7" s="74">
        <v>1549041</v>
      </c>
      <c r="CF7" s="74">
        <v>1456341</v>
      </c>
      <c r="CG7" s="74">
        <v>1315584</v>
      </c>
      <c r="CH7" s="74">
        <v>1227548</v>
      </c>
      <c r="CI7" s="74">
        <v>1146850</v>
      </c>
      <c r="CJ7" s="74">
        <v>1000647</v>
      </c>
      <c r="CK7" s="74">
        <v>935986</v>
      </c>
      <c r="CL7" s="74">
        <v>860876</v>
      </c>
      <c r="CM7" s="74">
        <v>785727</v>
      </c>
      <c r="CN7" s="74">
        <v>718304</v>
      </c>
      <c r="CO7" s="74">
        <v>614699</v>
      </c>
      <c r="CP7" s="74">
        <v>542751</v>
      </c>
      <c r="CQ7" s="74">
        <v>464190</v>
      </c>
      <c r="CR7" s="74">
        <v>384904</v>
      </c>
      <c r="CS7" s="74">
        <v>321369</v>
      </c>
      <c r="CT7" s="74">
        <v>257013</v>
      </c>
      <c r="CU7" s="74">
        <v>199015</v>
      </c>
      <c r="CV7" s="74">
        <v>153039</v>
      </c>
      <c r="CW7" s="74">
        <v>113492</v>
      </c>
      <c r="CX7" s="74">
        <v>79615</v>
      </c>
      <c r="CY7" s="74">
        <v>51839</v>
      </c>
      <c r="CZ7" s="74">
        <v>79172</v>
      </c>
    </row>
    <row r="8" spans="1:104" ht="17.100000000000001">
      <c r="A8" s="69" t="s">
        <v>659</v>
      </c>
      <c r="B8" s="69">
        <v>2019</v>
      </c>
      <c r="C8" s="74">
        <v>331883986</v>
      </c>
      <c r="D8" s="74">
        <v>4107606</v>
      </c>
      <c r="E8" s="74">
        <v>4100469</v>
      </c>
      <c r="F8" s="74">
        <v>4091055</v>
      </c>
      <c r="G8" s="74">
        <v>4077589</v>
      </c>
      <c r="H8" s="74">
        <v>4061316</v>
      </c>
      <c r="I8" s="74">
        <v>4043229</v>
      </c>
      <c r="J8" s="74">
        <v>4023269</v>
      </c>
      <c r="K8" s="74">
        <v>4031853</v>
      </c>
      <c r="L8" s="74">
        <v>4059256</v>
      </c>
      <c r="M8" s="74">
        <v>4056646</v>
      </c>
      <c r="N8" s="74">
        <v>4057188</v>
      </c>
      <c r="O8" s="74">
        <v>4186025</v>
      </c>
      <c r="P8" s="74">
        <v>4206130</v>
      </c>
      <c r="Q8" s="74">
        <v>4172481</v>
      </c>
      <c r="R8" s="74">
        <v>4161337</v>
      </c>
      <c r="S8" s="74">
        <v>4174225</v>
      </c>
      <c r="T8" s="74">
        <v>4152877</v>
      </c>
      <c r="U8" s="74">
        <v>4151006</v>
      </c>
      <c r="V8" s="74">
        <v>4272703</v>
      </c>
      <c r="W8" s="74">
        <v>4361040</v>
      </c>
      <c r="X8" s="74">
        <v>4319896</v>
      </c>
      <c r="Y8" s="74">
        <v>4347617</v>
      </c>
      <c r="Z8" s="74">
        <v>4381243</v>
      </c>
      <c r="AA8" s="74">
        <v>4430858</v>
      </c>
      <c r="AB8" s="74">
        <v>4533537</v>
      </c>
      <c r="AC8" s="74">
        <v>4626151</v>
      </c>
      <c r="AD8" s="74">
        <v>4691951</v>
      </c>
      <c r="AE8" s="74">
        <v>4806064</v>
      </c>
      <c r="AF8" s="74">
        <v>4883306</v>
      </c>
      <c r="AG8" s="74">
        <v>4867524</v>
      </c>
      <c r="AH8" s="74">
        <v>4675612</v>
      </c>
      <c r="AI8" s="74">
        <v>4560164</v>
      </c>
      <c r="AJ8" s="74">
        <v>4473663</v>
      </c>
      <c r="AK8" s="74">
        <v>4478084</v>
      </c>
      <c r="AL8" s="74">
        <v>4498811</v>
      </c>
      <c r="AM8" s="74">
        <v>4350287</v>
      </c>
      <c r="AN8" s="74">
        <v>4404313</v>
      </c>
      <c r="AO8" s="74">
        <v>4396692</v>
      </c>
      <c r="AP8" s="74">
        <v>4343463</v>
      </c>
      <c r="AQ8" s="74">
        <v>4420773</v>
      </c>
      <c r="AR8" s="74">
        <v>4148991</v>
      </c>
      <c r="AS8" s="74">
        <v>4061818</v>
      </c>
      <c r="AT8" s="74">
        <v>4014947</v>
      </c>
      <c r="AU8" s="74">
        <v>3892005</v>
      </c>
      <c r="AV8" s="74">
        <v>4001914</v>
      </c>
      <c r="AW8" s="74">
        <v>3872849</v>
      </c>
      <c r="AX8" s="74">
        <v>3923716</v>
      </c>
      <c r="AY8" s="74">
        <v>4093616</v>
      </c>
      <c r="AZ8" s="74">
        <v>4319632</v>
      </c>
      <c r="BA8" s="74">
        <v>4366134</v>
      </c>
      <c r="BB8" s="74">
        <v>4134934</v>
      </c>
      <c r="BC8" s="74">
        <v>4041117</v>
      </c>
      <c r="BD8" s="74">
        <v>4039296</v>
      </c>
      <c r="BE8" s="74">
        <v>4105817</v>
      </c>
      <c r="BF8" s="74">
        <v>4341988</v>
      </c>
      <c r="BG8" s="74">
        <v>4414313</v>
      </c>
      <c r="BH8" s="74">
        <v>4402536</v>
      </c>
      <c r="BI8" s="74">
        <v>4387301</v>
      </c>
      <c r="BJ8" s="74">
        <v>4432556</v>
      </c>
      <c r="BK8" s="74">
        <v>4459165</v>
      </c>
      <c r="BL8" s="74">
        <v>4302562</v>
      </c>
      <c r="BM8" s="74">
        <v>4267767</v>
      </c>
      <c r="BN8" s="74">
        <v>4211086</v>
      </c>
      <c r="BO8" s="74">
        <v>4050467</v>
      </c>
      <c r="BP8" s="74">
        <v>4003236</v>
      </c>
      <c r="BQ8" s="74">
        <v>3828263</v>
      </c>
      <c r="BR8" s="74">
        <v>3669276</v>
      </c>
      <c r="BS8" s="74">
        <v>3513028</v>
      </c>
      <c r="BT8" s="74">
        <v>3386937</v>
      </c>
      <c r="BU8" s="74">
        <v>3285984</v>
      </c>
      <c r="BV8" s="74">
        <v>3172098</v>
      </c>
      <c r="BW8" s="74">
        <v>3120028</v>
      </c>
      <c r="BX8" s="74">
        <v>3222920</v>
      </c>
      <c r="BY8" s="74">
        <v>2358805</v>
      </c>
      <c r="BZ8" s="74">
        <v>2302340</v>
      </c>
      <c r="CA8" s="74">
        <v>2221477</v>
      </c>
      <c r="CB8" s="74">
        <v>2244419</v>
      </c>
      <c r="CC8" s="74">
        <v>1928156</v>
      </c>
      <c r="CD8" s="74">
        <v>1733170</v>
      </c>
      <c r="CE8" s="74">
        <v>1609329</v>
      </c>
      <c r="CF8" s="74">
        <v>1483523</v>
      </c>
      <c r="CG8" s="74">
        <v>1387791</v>
      </c>
      <c r="CH8" s="74">
        <v>1246730</v>
      </c>
      <c r="CI8" s="74">
        <v>1155863</v>
      </c>
      <c r="CJ8" s="74">
        <v>1072050</v>
      </c>
      <c r="CK8" s="74">
        <v>927751</v>
      </c>
      <c r="CL8" s="74">
        <v>859913</v>
      </c>
      <c r="CM8" s="74">
        <v>783122</v>
      </c>
      <c r="CN8" s="74">
        <v>707001</v>
      </c>
      <c r="CO8" s="74">
        <v>638627</v>
      </c>
      <c r="CP8" s="74">
        <v>539322</v>
      </c>
      <c r="CQ8" s="74">
        <v>469352</v>
      </c>
      <c r="CR8" s="74">
        <v>395115</v>
      </c>
      <c r="CS8" s="74">
        <v>322118</v>
      </c>
      <c r="CT8" s="74">
        <v>264032</v>
      </c>
      <c r="CU8" s="74">
        <v>207004</v>
      </c>
      <c r="CV8" s="74">
        <v>156924</v>
      </c>
      <c r="CW8" s="74">
        <v>117962</v>
      </c>
      <c r="CX8" s="74">
        <v>85377</v>
      </c>
      <c r="CY8" s="74">
        <v>58439</v>
      </c>
      <c r="CZ8" s="74">
        <v>82668</v>
      </c>
    </row>
    <row r="9" spans="1:104" ht="17.100000000000001">
      <c r="A9" s="69" t="s">
        <v>659</v>
      </c>
      <c r="B9" s="69">
        <v>2020</v>
      </c>
      <c r="C9" s="74">
        <v>334503458</v>
      </c>
      <c r="D9" s="74">
        <v>4128810</v>
      </c>
      <c r="E9" s="74">
        <v>4124893</v>
      </c>
      <c r="F9" s="74">
        <v>4117546</v>
      </c>
      <c r="G9" s="74">
        <v>4105953</v>
      </c>
      <c r="H9" s="74">
        <v>4090466</v>
      </c>
      <c r="I9" s="74">
        <v>4072931</v>
      </c>
      <c r="J9" s="74">
        <v>4054223</v>
      </c>
      <c r="K9" s="74">
        <v>4034013</v>
      </c>
      <c r="L9" s="74">
        <v>4042721</v>
      </c>
      <c r="M9" s="74">
        <v>4070166</v>
      </c>
      <c r="N9" s="74">
        <v>4067620</v>
      </c>
      <c r="O9" s="74">
        <v>4068032</v>
      </c>
      <c r="P9" s="74">
        <v>4196748</v>
      </c>
      <c r="Q9" s="74">
        <v>4217296</v>
      </c>
      <c r="R9" s="74">
        <v>4185129</v>
      </c>
      <c r="S9" s="74">
        <v>4177122</v>
      </c>
      <c r="T9" s="74">
        <v>4194869</v>
      </c>
      <c r="U9" s="74">
        <v>4179678</v>
      </c>
      <c r="V9" s="74">
        <v>4184462</v>
      </c>
      <c r="W9" s="74">
        <v>4311668</v>
      </c>
      <c r="X9" s="74">
        <v>4403530</v>
      </c>
      <c r="Y9" s="74">
        <v>4364440</v>
      </c>
      <c r="Z9" s="74">
        <v>4392370</v>
      </c>
      <c r="AA9" s="74">
        <v>4425203</v>
      </c>
      <c r="AB9" s="74">
        <v>4473535</v>
      </c>
      <c r="AC9" s="74">
        <v>4574175</v>
      </c>
      <c r="AD9" s="74">
        <v>4664809</v>
      </c>
      <c r="AE9" s="74">
        <v>4728430</v>
      </c>
      <c r="AF9" s="74">
        <v>4840005</v>
      </c>
      <c r="AG9" s="74">
        <v>4914688</v>
      </c>
      <c r="AH9" s="74">
        <v>4896022</v>
      </c>
      <c r="AI9" s="74">
        <v>4701019</v>
      </c>
      <c r="AJ9" s="74">
        <v>4582250</v>
      </c>
      <c r="AK9" s="74">
        <v>4493109</v>
      </c>
      <c r="AL9" s="74">
        <v>4495429</v>
      </c>
      <c r="AM9" s="74">
        <v>4514395</v>
      </c>
      <c r="AN9" s="74">
        <v>4364769</v>
      </c>
      <c r="AO9" s="74">
        <v>4417335</v>
      </c>
      <c r="AP9" s="74">
        <v>4408829</v>
      </c>
      <c r="AQ9" s="74">
        <v>4354386</v>
      </c>
      <c r="AR9" s="74">
        <v>4429801</v>
      </c>
      <c r="AS9" s="74">
        <v>4156571</v>
      </c>
      <c r="AT9" s="74">
        <v>4067456</v>
      </c>
      <c r="AU9" s="74">
        <v>4019149</v>
      </c>
      <c r="AV9" s="74">
        <v>3895079</v>
      </c>
      <c r="AW9" s="74">
        <v>4003458</v>
      </c>
      <c r="AX9" s="74">
        <v>3873521</v>
      </c>
      <c r="AY9" s="74">
        <v>3922567</v>
      </c>
      <c r="AZ9" s="74">
        <v>4090426</v>
      </c>
      <c r="BA9" s="74">
        <v>4314094</v>
      </c>
      <c r="BB9" s="74">
        <v>4358707</v>
      </c>
      <c r="BC9" s="74">
        <v>4126662</v>
      </c>
      <c r="BD9" s="74">
        <v>4031423</v>
      </c>
      <c r="BE9" s="74">
        <v>4028282</v>
      </c>
      <c r="BF9" s="74">
        <v>4092796</v>
      </c>
      <c r="BG9" s="74">
        <v>4326044</v>
      </c>
      <c r="BH9" s="74">
        <v>4396170</v>
      </c>
      <c r="BI9" s="74">
        <v>4382476</v>
      </c>
      <c r="BJ9" s="74">
        <v>4365454</v>
      </c>
      <c r="BK9" s="74">
        <v>4408445</v>
      </c>
      <c r="BL9" s="74">
        <v>4432530</v>
      </c>
      <c r="BM9" s="74">
        <v>4274945</v>
      </c>
      <c r="BN9" s="74">
        <v>4237881</v>
      </c>
      <c r="BO9" s="74">
        <v>4178808</v>
      </c>
      <c r="BP9" s="74">
        <v>4016612</v>
      </c>
      <c r="BQ9" s="74">
        <v>3966233</v>
      </c>
      <c r="BR9" s="74">
        <v>3789297</v>
      </c>
      <c r="BS9" s="74">
        <v>3628018</v>
      </c>
      <c r="BT9" s="74">
        <v>3469447</v>
      </c>
      <c r="BU9" s="74">
        <v>3340564</v>
      </c>
      <c r="BV9" s="74">
        <v>3236263</v>
      </c>
      <c r="BW9" s="74">
        <v>3119271</v>
      </c>
      <c r="BX9" s="74">
        <v>3062583</v>
      </c>
      <c r="BY9" s="74">
        <v>3157161</v>
      </c>
      <c r="BZ9" s="74">
        <v>2306337</v>
      </c>
      <c r="CA9" s="74">
        <v>2245438</v>
      </c>
      <c r="CB9" s="74">
        <v>2160559</v>
      </c>
      <c r="CC9" s="74">
        <v>2175819</v>
      </c>
      <c r="CD9" s="74">
        <v>1862778</v>
      </c>
      <c r="CE9" s="74">
        <v>1667895</v>
      </c>
      <c r="CF9" s="74">
        <v>1541732</v>
      </c>
      <c r="CG9" s="74">
        <v>1414139</v>
      </c>
      <c r="CH9" s="74">
        <v>1315607</v>
      </c>
      <c r="CI9" s="74">
        <v>1174422</v>
      </c>
      <c r="CJ9" s="74">
        <v>1080934</v>
      </c>
      <c r="CK9" s="74">
        <v>994426</v>
      </c>
      <c r="CL9" s="74">
        <v>852847</v>
      </c>
      <c r="CM9" s="74">
        <v>782713</v>
      </c>
      <c r="CN9" s="74">
        <v>705181</v>
      </c>
      <c r="CO9" s="74">
        <v>629065</v>
      </c>
      <c r="CP9" s="74">
        <v>560811</v>
      </c>
      <c r="CQ9" s="74">
        <v>466826</v>
      </c>
      <c r="CR9" s="74">
        <v>399945</v>
      </c>
      <c r="CS9" s="74">
        <v>330997</v>
      </c>
      <c r="CT9" s="74">
        <v>264984</v>
      </c>
      <c r="CU9" s="74">
        <v>212972</v>
      </c>
      <c r="CV9" s="74">
        <v>163471</v>
      </c>
      <c r="CW9" s="74">
        <v>121167</v>
      </c>
      <c r="CX9" s="74">
        <v>88922</v>
      </c>
      <c r="CY9" s="74">
        <v>62735</v>
      </c>
      <c r="CZ9" s="74">
        <v>89468</v>
      </c>
    </row>
    <row r="10" spans="1:104" ht="17.100000000000001">
      <c r="A10" s="69" t="s">
        <v>659</v>
      </c>
      <c r="B10" s="69">
        <v>2021</v>
      </c>
      <c r="C10" s="74">
        <v>337108968</v>
      </c>
      <c r="D10" s="74">
        <v>4145903</v>
      </c>
      <c r="E10" s="74">
        <v>4146269</v>
      </c>
      <c r="F10" s="74">
        <v>4142090</v>
      </c>
      <c r="G10" s="74">
        <v>4132527</v>
      </c>
      <c r="H10" s="74">
        <v>4118898</v>
      </c>
      <c r="I10" s="74">
        <v>4102128</v>
      </c>
      <c r="J10" s="74">
        <v>4083950</v>
      </c>
      <c r="K10" s="74">
        <v>4065004</v>
      </c>
      <c r="L10" s="74">
        <v>4044832</v>
      </c>
      <c r="M10" s="74">
        <v>4053623</v>
      </c>
      <c r="N10" s="74">
        <v>4081192</v>
      </c>
      <c r="O10" s="74">
        <v>4078624</v>
      </c>
      <c r="P10" s="74">
        <v>4078991</v>
      </c>
      <c r="Q10" s="74">
        <v>4208115</v>
      </c>
      <c r="R10" s="74">
        <v>4230210</v>
      </c>
      <c r="S10" s="74">
        <v>4201207</v>
      </c>
      <c r="T10" s="74">
        <v>4198159</v>
      </c>
      <c r="U10" s="74">
        <v>4222258</v>
      </c>
      <c r="V10" s="74">
        <v>4213791</v>
      </c>
      <c r="W10" s="74">
        <v>4224269</v>
      </c>
      <c r="X10" s="74">
        <v>4355085</v>
      </c>
      <c r="Y10" s="74">
        <v>4448890</v>
      </c>
      <c r="Z10" s="74">
        <v>4410032</v>
      </c>
      <c r="AA10" s="74">
        <v>4437214</v>
      </c>
      <c r="AB10" s="74">
        <v>4468620</v>
      </c>
      <c r="AC10" s="74">
        <v>4515017</v>
      </c>
      <c r="AD10" s="74">
        <v>4613502</v>
      </c>
      <c r="AE10" s="74">
        <v>4701756</v>
      </c>
      <c r="AF10" s="74">
        <v>4763048</v>
      </c>
      <c r="AG10" s="74">
        <v>4871781</v>
      </c>
      <c r="AH10" s="74">
        <v>4943543</v>
      </c>
      <c r="AI10" s="74">
        <v>4921508</v>
      </c>
      <c r="AJ10" s="74">
        <v>4723281</v>
      </c>
      <c r="AK10" s="74">
        <v>4601692</v>
      </c>
      <c r="AL10" s="74">
        <v>4510645</v>
      </c>
      <c r="AM10" s="74">
        <v>4511236</v>
      </c>
      <c r="AN10" s="74">
        <v>4528667</v>
      </c>
      <c r="AO10" s="74">
        <v>4378038</v>
      </c>
      <c r="AP10" s="74">
        <v>4429306</v>
      </c>
      <c r="AQ10" s="74">
        <v>4419767</v>
      </c>
      <c r="AR10" s="74">
        <v>4363740</v>
      </c>
      <c r="AS10" s="74">
        <v>4436836</v>
      </c>
      <c r="AT10" s="74">
        <v>4162170</v>
      </c>
      <c r="AU10" s="74">
        <v>4071450</v>
      </c>
      <c r="AV10" s="74">
        <v>4022024</v>
      </c>
      <c r="AW10" s="74">
        <v>3896919</v>
      </c>
      <c r="AX10" s="74">
        <v>4003705</v>
      </c>
      <c r="AY10" s="74">
        <v>3872631</v>
      </c>
      <c r="AZ10" s="74">
        <v>3919784</v>
      </c>
      <c r="BA10" s="74">
        <v>4085630</v>
      </c>
      <c r="BB10" s="74">
        <v>4306949</v>
      </c>
      <c r="BC10" s="74">
        <v>4349617</v>
      </c>
      <c r="BD10" s="74">
        <v>4116859</v>
      </c>
      <c r="BE10" s="74">
        <v>4020347</v>
      </c>
      <c r="BF10" s="74">
        <v>4015841</v>
      </c>
      <c r="BG10" s="74">
        <v>4078328</v>
      </c>
      <c r="BH10" s="74">
        <v>4308485</v>
      </c>
      <c r="BI10" s="74">
        <v>4376338</v>
      </c>
      <c r="BJ10" s="74">
        <v>4360732</v>
      </c>
      <c r="BK10" s="74">
        <v>4341970</v>
      </c>
      <c r="BL10" s="74">
        <v>4382635</v>
      </c>
      <c r="BM10" s="74">
        <v>4404079</v>
      </c>
      <c r="BN10" s="74">
        <v>4245300</v>
      </c>
      <c r="BO10" s="74">
        <v>4205741</v>
      </c>
      <c r="BP10" s="74">
        <v>4144092</v>
      </c>
      <c r="BQ10" s="74">
        <v>3979956</v>
      </c>
      <c r="BR10" s="74">
        <v>3926027</v>
      </c>
      <c r="BS10" s="74">
        <v>3746996</v>
      </c>
      <c r="BT10" s="74">
        <v>3583359</v>
      </c>
      <c r="BU10" s="74">
        <v>3422557</v>
      </c>
      <c r="BV10" s="74">
        <v>3290789</v>
      </c>
      <c r="BW10" s="74">
        <v>3182931</v>
      </c>
      <c r="BX10" s="74">
        <v>3062569</v>
      </c>
      <c r="BY10" s="74">
        <v>3000949</v>
      </c>
      <c r="BZ10" s="74">
        <v>3086675</v>
      </c>
      <c r="CA10" s="74">
        <v>2250016</v>
      </c>
      <c r="CB10" s="74">
        <v>2184430</v>
      </c>
      <c r="CC10" s="74">
        <v>2095260</v>
      </c>
      <c r="CD10" s="74">
        <v>2102544</v>
      </c>
      <c r="CE10" s="74">
        <v>1793123</v>
      </c>
      <c r="CF10" s="74">
        <v>1598425</v>
      </c>
      <c r="CG10" s="74">
        <v>1470146</v>
      </c>
      <c r="CH10" s="74">
        <v>1341081</v>
      </c>
      <c r="CI10" s="74">
        <v>1239800</v>
      </c>
      <c r="CJ10" s="74">
        <v>1098846</v>
      </c>
      <c r="CK10" s="74">
        <v>1003165</v>
      </c>
      <c r="CL10" s="74">
        <v>914678</v>
      </c>
      <c r="CM10" s="74">
        <v>776808</v>
      </c>
      <c r="CN10" s="74">
        <v>705299</v>
      </c>
      <c r="CO10" s="74">
        <v>627960</v>
      </c>
      <c r="CP10" s="74">
        <v>552893</v>
      </c>
      <c r="CQ10" s="74">
        <v>485912</v>
      </c>
      <c r="CR10" s="74">
        <v>398206</v>
      </c>
      <c r="CS10" s="74">
        <v>335448</v>
      </c>
      <c r="CT10" s="74">
        <v>272583</v>
      </c>
      <c r="CU10" s="74">
        <v>214030</v>
      </c>
      <c r="CV10" s="74">
        <v>168454</v>
      </c>
      <c r="CW10" s="74">
        <v>126418</v>
      </c>
      <c r="CX10" s="74">
        <v>91500</v>
      </c>
      <c r="CY10" s="74">
        <v>65482</v>
      </c>
      <c r="CZ10" s="74">
        <v>96783</v>
      </c>
    </row>
    <row r="11" spans="1:104" ht="17.100000000000001">
      <c r="A11" s="69" t="s">
        <v>659</v>
      </c>
      <c r="B11" s="69">
        <v>2022</v>
      </c>
      <c r="C11" s="74">
        <v>339698079</v>
      </c>
      <c r="D11" s="74">
        <v>4159190</v>
      </c>
      <c r="E11" s="74">
        <v>4163587</v>
      </c>
      <c r="F11" s="74">
        <v>4163657</v>
      </c>
      <c r="G11" s="74">
        <v>4157230</v>
      </c>
      <c r="H11" s="74">
        <v>4145600</v>
      </c>
      <c r="I11" s="74">
        <v>4130675</v>
      </c>
      <c r="J11" s="74">
        <v>4113256</v>
      </c>
      <c r="K11" s="74">
        <v>4094835</v>
      </c>
      <c r="L11" s="74">
        <v>4075940</v>
      </c>
      <c r="M11" s="74">
        <v>4055771</v>
      </c>
      <c r="N11" s="74">
        <v>4064767</v>
      </c>
      <c r="O11" s="74">
        <v>4092212</v>
      </c>
      <c r="P11" s="74">
        <v>4089675</v>
      </c>
      <c r="Q11" s="74">
        <v>4090523</v>
      </c>
      <c r="R11" s="74">
        <v>4221138</v>
      </c>
      <c r="S11" s="74">
        <v>4246442</v>
      </c>
      <c r="T11" s="74">
        <v>4222441</v>
      </c>
      <c r="U11" s="74">
        <v>4225803</v>
      </c>
      <c r="V11" s="74">
        <v>4256742</v>
      </c>
      <c r="W11" s="74">
        <v>4253979</v>
      </c>
      <c r="X11" s="74">
        <v>4268217</v>
      </c>
      <c r="Y11" s="74">
        <v>4401014</v>
      </c>
      <c r="Z11" s="74">
        <v>4494973</v>
      </c>
      <c r="AA11" s="74">
        <v>4455346</v>
      </c>
      <c r="AB11" s="74">
        <v>4481147</v>
      </c>
      <c r="AC11" s="74">
        <v>4510517</v>
      </c>
      <c r="AD11" s="74">
        <v>4554854</v>
      </c>
      <c r="AE11" s="74">
        <v>4650843</v>
      </c>
      <c r="AF11" s="74">
        <v>4736639</v>
      </c>
      <c r="AG11" s="74">
        <v>4795281</v>
      </c>
      <c r="AH11" s="74">
        <v>4900898</v>
      </c>
      <c r="AI11" s="74">
        <v>4969244</v>
      </c>
      <c r="AJ11" s="74">
        <v>4943818</v>
      </c>
      <c r="AK11" s="74">
        <v>4742850</v>
      </c>
      <c r="AL11" s="74">
        <v>4619232</v>
      </c>
      <c r="AM11" s="74">
        <v>4526686</v>
      </c>
      <c r="AN11" s="74">
        <v>4525812</v>
      </c>
      <c r="AO11" s="74">
        <v>4541867</v>
      </c>
      <c r="AP11" s="74">
        <v>4390396</v>
      </c>
      <c r="AQ11" s="74">
        <v>4440247</v>
      </c>
      <c r="AR11" s="74">
        <v>4429245</v>
      </c>
      <c r="AS11" s="74">
        <v>4371267</v>
      </c>
      <c r="AT11" s="74">
        <v>4442063</v>
      </c>
      <c r="AU11" s="74">
        <v>4166270</v>
      </c>
      <c r="AV11" s="74">
        <v>4074316</v>
      </c>
      <c r="AW11" s="74">
        <v>4023845</v>
      </c>
      <c r="AX11" s="74">
        <v>3897679</v>
      </c>
      <c r="AY11" s="74">
        <v>4002613</v>
      </c>
      <c r="AZ11" s="74">
        <v>3870348</v>
      </c>
      <c r="BA11" s="74">
        <v>3915696</v>
      </c>
      <c r="BB11" s="74">
        <v>4079522</v>
      </c>
      <c r="BC11" s="74">
        <v>4298435</v>
      </c>
      <c r="BD11" s="74">
        <v>4339199</v>
      </c>
      <c r="BE11" s="74">
        <v>4105896</v>
      </c>
      <c r="BF11" s="74">
        <v>4008135</v>
      </c>
      <c r="BG11" s="74">
        <v>4002235</v>
      </c>
      <c r="BH11" s="74">
        <v>4062602</v>
      </c>
      <c r="BI11" s="74">
        <v>4289570</v>
      </c>
      <c r="BJ11" s="74">
        <v>4355166</v>
      </c>
      <c r="BK11" s="74">
        <v>4337704</v>
      </c>
      <c r="BL11" s="74">
        <v>4317163</v>
      </c>
      <c r="BM11" s="74">
        <v>4355355</v>
      </c>
      <c r="BN11" s="74">
        <v>4373909</v>
      </c>
      <c r="BO11" s="74">
        <v>4213691</v>
      </c>
      <c r="BP11" s="74">
        <v>4171436</v>
      </c>
      <c r="BQ11" s="74">
        <v>4106739</v>
      </c>
      <c r="BR11" s="74">
        <v>3940296</v>
      </c>
      <c r="BS11" s="74">
        <v>3882595</v>
      </c>
      <c r="BT11" s="74">
        <v>3701368</v>
      </c>
      <c r="BU11" s="74">
        <v>3535432</v>
      </c>
      <c r="BV11" s="74">
        <v>3372200</v>
      </c>
      <c r="BW11" s="74">
        <v>3237281</v>
      </c>
      <c r="BX11" s="74">
        <v>3125608</v>
      </c>
      <c r="BY11" s="74">
        <v>3001634</v>
      </c>
      <c r="BZ11" s="74">
        <v>2934759</v>
      </c>
      <c r="CA11" s="74">
        <v>3011121</v>
      </c>
      <c r="CB11" s="74">
        <v>2189523</v>
      </c>
      <c r="CC11" s="74">
        <v>2118978</v>
      </c>
      <c r="CD11" s="74">
        <v>2025401</v>
      </c>
      <c r="CE11" s="74">
        <v>2024429</v>
      </c>
      <c r="CF11" s="74">
        <v>1718925</v>
      </c>
      <c r="CG11" s="74">
        <v>1524763</v>
      </c>
      <c r="CH11" s="74">
        <v>1394722</v>
      </c>
      <c r="CI11" s="74">
        <v>1264295</v>
      </c>
      <c r="CJ11" s="74">
        <v>1160503</v>
      </c>
      <c r="CK11" s="74">
        <v>1020332</v>
      </c>
      <c r="CL11" s="74">
        <v>923203</v>
      </c>
      <c r="CM11" s="74">
        <v>833654</v>
      </c>
      <c r="CN11" s="74">
        <v>700482</v>
      </c>
      <c r="CO11" s="74">
        <v>628532</v>
      </c>
      <c r="CP11" s="74">
        <v>552408</v>
      </c>
      <c r="CQ11" s="74">
        <v>479477</v>
      </c>
      <c r="CR11" s="74">
        <v>414922</v>
      </c>
      <c r="CS11" s="74">
        <v>334356</v>
      </c>
      <c r="CT11" s="74">
        <v>276593</v>
      </c>
      <c r="CU11" s="74">
        <v>220420</v>
      </c>
      <c r="CV11" s="74">
        <v>169533</v>
      </c>
      <c r="CW11" s="74">
        <v>130487</v>
      </c>
      <c r="CX11" s="74">
        <v>95617</v>
      </c>
      <c r="CY11" s="74">
        <v>67505</v>
      </c>
      <c r="CZ11" s="74">
        <v>103282</v>
      </c>
    </row>
    <row r="12" spans="1:104" ht="17.100000000000001">
      <c r="A12" s="69" t="s">
        <v>659</v>
      </c>
      <c r="B12" s="69">
        <v>2023</v>
      </c>
      <c r="C12" s="74">
        <v>342267302</v>
      </c>
      <c r="D12" s="74">
        <v>4169856</v>
      </c>
      <c r="E12" s="74">
        <v>4177093</v>
      </c>
      <c r="F12" s="74">
        <v>4181156</v>
      </c>
      <c r="G12" s="74">
        <v>4178958</v>
      </c>
      <c r="H12" s="74">
        <v>4170441</v>
      </c>
      <c r="I12" s="74">
        <v>4157505</v>
      </c>
      <c r="J12" s="74">
        <v>4141921</v>
      </c>
      <c r="K12" s="74">
        <v>4124243</v>
      </c>
      <c r="L12" s="74">
        <v>4105873</v>
      </c>
      <c r="M12" s="74">
        <v>4086972</v>
      </c>
      <c r="N12" s="74">
        <v>4067021</v>
      </c>
      <c r="O12" s="74">
        <v>4075912</v>
      </c>
      <c r="P12" s="74">
        <v>4103340</v>
      </c>
      <c r="Q12" s="74">
        <v>4101314</v>
      </c>
      <c r="R12" s="74">
        <v>4103735</v>
      </c>
      <c r="S12" s="74">
        <v>4237527</v>
      </c>
      <c r="T12" s="74">
        <v>4267848</v>
      </c>
      <c r="U12" s="74">
        <v>4250334</v>
      </c>
      <c r="V12" s="74">
        <v>4260620</v>
      </c>
      <c r="W12" s="74">
        <v>4297345</v>
      </c>
      <c r="X12" s="74">
        <v>4298332</v>
      </c>
      <c r="Y12" s="74">
        <v>4314659</v>
      </c>
      <c r="Z12" s="74">
        <v>4447640</v>
      </c>
      <c r="AA12" s="74">
        <v>4540773</v>
      </c>
      <c r="AB12" s="74">
        <v>4499720</v>
      </c>
      <c r="AC12" s="74">
        <v>4523491</v>
      </c>
      <c r="AD12" s="74">
        <v>4550776</v>
      </c>
      <c r="AE12" s="74">
        <v>4592675</v>
      </c>
      <c r="AF12" s="74">
        <v>4686136</v>
      </c>
      <c r="AG12" s="74">
        <v>4769158</v>
      </c>
      <c r="AH12" s="74">
        <v>4824830</v>
      </c>
      <c r="AI12" s="74">
        <v>4926893</v>
      </c>
      <c r="AJ12" s="74">
        <v>4991780</v>
      </c>
      <c r="AK12" s="74">
        <v>4963454</v>
      </c>
      <c r="AL12" s="74">
        <v>4760557</v>
      </c>
      <c r="AM12" s="74">
        <v>4635326</v>
      </c>
      <c r="AN12" s="74">
        <v>4541478</v>
      </c>
      <c r="AO12" s="74">
        <v>4539326</v>
      </c>
      <c r="AP12" s="74">
        <v>4554210</v>
      </c>
      <c r="AQ12" s="74">
        <v>4401757</v>
      </c>
      <c r="AR12" s="74">
        <v>4449836</v>
      </c>
      <c r="AS12" s="74">
        <v>4436897</v>
      </c>
      <c r="AT12" s="74">
        <v>4376982</v>
      </c>
      <c r="AU12" s="74">
        <v>4445835</v>
      </c>
      <c r="AV12" s="74">
        <v>4169257</v>
      </c>
      <c r="AW12" s="74">
        <v>4076196</v>
      </c>
      <c r="AX12" s="74">
        <v>4024553</v>
      </c>
      <c r="AY12" s="74">
        <v>3897152</v>
      </c>
      <c r="AZ12" s="74">
        <v>4000139</v>
      </c>
      <c r="BA12" s="74">
        <v>3866767</v>
      </c>
      <c r="BB12" s="74">
        <v>3910391</v>
      </c>
      <c r="BC12" s="74">
        <v>4072111</v>
      </c>
      <c r="BD12" s="74">
        <v>4288613</v>
      </c>
      <c r="BE12" s="74">
        <v>4327578</v>
      </c>
      <c r="BF12" s="74">
        <v>4093787</v>
      </c>
      <c r="BG12" s="74">
        <v>3994809</v>
      </c>
      <c r="BH12" s="74">
        <v>3987400</v>
      </c>
      <c r="BI12" s="74">
        <v>4045620</v>
      </c>
      <c r="BJ12" s="74">
        <v>4269367</v>
      </c>
      <c r="BK12" s="74">
        <v>4332735</v>
      </c>
      <c r="BL12" s="74">
        <v>4313409</v>
      </c>
      <c r="BM12" s="74">
        <v>4290948</v>
      </c>
      <c r="BN12" s="74">
        <v>4326370</v>
      </c>
      <c r="BO12" s="74">
        <v>4341718</v>
      </c>
      <c r="BP12" s="74">
        <v>4179902</v>
      </c>
      <c r="BQ12" s="74">
        <v>4134495</v>
      </c>
      <c r="BR12" s="74">
        <v>4066323</v>
      </c>
      <c r="BS12" s="74">
        <v>3897400</v>
      </c>
      <c r="BT12" s="74">
        <v>3835750</v>
      </c>
      <c r="BU12" s="74">
        <v>3652383</v>
      </c>
      <c r="BV12" s="74">
        <v>3483941</v>
      </c>
      <c r="BW12" s="74">
        <v>3318025</v>
      </c>
      <c r="BX12" s="74">
        <v>3179707</v>
      </c>
      <c r="BY12" s="74">
        <v>3064008</v>
      </c>
      <c r="BZ12" s="74">
        <v>2936156</v>
      </c>
      <c r="CA12" s="74">
        <v>2863753</v>
      </c>
      <c r="CB12" s="74">
        <v>2930152</v>
      </c>
      <c r="CC12" s="74">
        <v>2124576</v>
      </c>
      <c r="CD12" s="74">
        <v>2048931</v>
      </c>
      <c r="CE12" s="74">
        <v>1950875</v>
      </c>
      <c r="CF12" s="74">
        <v>1941180</v>
      </c>
      <c r="CG12" s="74">
        <v>1640206</v>
      </c>
      <c r="CH12" s="74">
        <v>1447120</v>
      </c>
      <c r="CI12" s="74">
        <v>1315441</v>
      </c>
      <c r="CJ12" s="74">
        <v>1183960</v>
      </c>
      <c r="CK12" s="74">
        <v>1078101</v>
      </c>
      <c r="CL12" s="74">
        <v>939547</v>
      </c>
      <c r="CM12" s="74">
        <v>841911</v>
      </c>
      <c r="CN12" s="74">
        <v>752256</v>
      </c>
      <c r="CO12" s="74">
        <v>624738</v>
      </c>
      <c r="CP12" s="74">
        <v>553358</v>
      </c>
      <c r="CQ12" s="74">
        <v>479515</v>
      </c>
      <c r="CR12" s="74">
        <v>409816</v>
      </c>
      <c r="CS12" s="74">
        <v>348788</v>
      </c>
      <c r="CT12" s="74">
        <v>276020</v>
      </c>
      <c r="CU12" s="74">
        <v>223961</v>
      </c>
      <c r="CV12" s="74">
        <v>174800</v>
      </c>
      <c r="CW12" s="74">
        <v>131520</v>
      </c>
      <c r="CX12" s="74">
        <v>98871</v>
      </c>
      <c r="CY12" s="74">
        <v>70657</v>
      </c>
      <c r="CZ12" s="74">
        <v>108704</v>
      </c>
    </row>
    <row r="13" spans="1:104" ht="17.100000000000001">
      <c r="A13" s="69" t="s">
        <v>659</v>
      </c>
      <c r="B13" s="69">
        <v>2024</v>
      </c>
      <c r="C13" s="74">
        <v>344814299</v>
      </c>
      <c r="D13" s="74">
        <v>4178872</v>
      </c>
      <c r="E13" s="74">
        <v>4187990</v>
      </c>
      <c r="F13" s="74">
        <v>4194843</v>
      </c>
      <c r="G13" s="74">
        <v>4196606</v>
      </c>
      <c r="H13" s="74">
        <v>4192301</v>
      </c>
      <c r="I13" s="74">
        <v>4182454</v>
      </c>
      <c r="J13" s="74">
        <v>4168855</v>
      </c>
      <c r="K13" s="74">
        <v>4153008</v>
      </c>
      <c r="L13" s="74">
        <v>4135377</v>
      </c>
      <c r="M13" s="74">
        <v>4117002</v>
      </c>
      <c r="N13" s="74">
        <v>4098318</v>
      </c>
      <c r="O13" s="74">
        <v>4078258</v>
      </c>
      <c r="P13" s="74">
        <v>4087134</v>
      </c>
      <c r="Q13" s="74">
        <v>4115048</v>
      </c>
      <c r="R13" s="74">
        <v>4114630</v>
      </c>
      <c r="S13" s="74">
        <v>4120318</v>
      </c>
      <c r="T13" s="74">
        <v>4259130</v>
      </c>
      <c r="U13" s="74">
        <v>4295979</v>
      </c>
      <c r="V13" s="74">
        <v>4285484</v>
      </c>
      <c r="W13" s="74">
        <v>4301642</v>
      </c>
      <c r="X13" s="74">
        <v>4342179</v>
      </c>
      <c r="Y13" s="74">
        <v>4345224</v>
      </c>
      <c r="Z13" s="74">
        <v>4361822</v>
      </c>
      <c r="AA13" s="74">
        <v>4493976</v>
      </c>
      <c r="AB13" s="74">
        <v>4585625</v>
      </c>
      <c r="AC13" s="74">
        <v>4542523</v>
      </c>
      <c r="AD13" s="74">
        <v>4564196</v>
      </c>
      <c r="AE13" s="74">
        <v>4589061</v>
      </c>
      <c r="AF13" s="74">
        <v>4628460</v>
      </c>
      <c r="AG13" s="74">
        <v>4719105</v>
      </c>
      <c r="AH13" s="74">
        <v>4799086</v>
      </c>
      <c r="AI13" s="74">
        <v>4851316</v>
      </c>
      <c r="AJ13" s="74">
        <v>4949773</v>
      </c>
      <c r="AK13" s="74">
        <v>5011725</v>
      </c>
      <c r="AL13" s="74">
        <v>4981300</v>
      </c>
      <c r="AM13" s="74">
        <v>4776905</v>
      </c>
      <c r="AN13" s="74">
        <v>4650275</v>
      </c>
      <c r="AO13" s="74">
        <v>4555266</v>
      </c>
      <c r="AP13" s="74">
        <v>4552003</v>
      </c>
      <c r="AQ13" s="74">
        <v>4565593</v>
      </c>
      <c r="AR13" s="74">
        <v>4411761</v>
      </c>
      <c r="AS13" s="74">
        <v>4457649</v>
      </c>
      <c r="AT13" s="74">
        <v>4442782</v>
      </c>
      <c r="AU13" s="74">
        <v>4381237</v>
      </c>
      <c r="AV13" s="74">
        <v>4448486</v>
      </c>
      <c r="AW13" s="74">
        <v>4171251</v>
      </c>
      <c r="AX13" s="74">
        <v>4077019</v>
      </c>
      <c r="AY13" s="74">
        <v>4023988</v>
      </c>
      <c r="AZ13" s="74">
        <v>3895292</v>
      </c>
      <c r="BA13" s="74">
        <v>3996399</v>
      </c>
      <c r="BB13" s="74">
        <v>3861981</v>
      </c>
      <c r="BC13" s="74">
        <v>3903838</v>
      </c>
      <c r="BD13" s="74">
        <v>4063484</v>
      </c>
      <c r="BE13" s="74">
        <v>4277641</v>
      </c>
      <c r="BF13" s="74">
        <v>4314791</v>
      </c>
      <c r="BG13" s="74">
        <v>4080577</v>
      </c>
      <c r="BH13" s="74">
        <v>3980300</v>
      </c>
      <c r="BI13" s="74">
        <v>3971350</v>
      </c>
      <c r="BJ13" s="74">
        <v>4027424</v>
      </c>
      <c r="BK13" s="74">
        <v>4247929</v>
      </c>
      <c r="BL13" s="74">
        <v>4309027</v>
      </c>
      <c r="BM13" s="74">
        <v>4287723</v>
      </c>
      <c r="BN13" s="74">
        <v>4263091</v>
      </c>
      <c r="BO13" s="74">
        <v>4295426</v>
      </c>
      <c r="BP13" s="74">
        <v>4307319</v>
      </c>
      <c r="BQ13" s="74">
        <v>4143486</v>
      </c>
      <c r="BR13" s="74">
        <v>4094503</v>
      </c>
      <c r="BS13" s="74">
        <v>4022610</v>
      </c>
      <c r="BT13" s="74">
        <v>3851079</v>
      </c>
      <c r="BU13" s="74">
        <v>3785442</v>
      </c>
      <c r="BV13" s="74">
        <v>3599744</v>
      </c>
      <c r="BW13" s="74">
        <v>3428544</v>
      </c>
      <c r="BX13" s="74">
        <v>3259716</v>
      </c>
      <c r="BY13" s="74">
        <v>3117764</v>
      </c>
      <c r="BZ13" s="74">
        <v>2997782</v>
      </c>
      <c r="CA13" s="74">
        <v>2865859</v>
      </c>
      <c r="CB13" s="74">
        <v>2787570</v>
      </c>
      <c r="CC13" s="74">
        <v>2843370</v>
      </c>
      <c r="CD13" s="74">
        <v>2055011</v>
      </c>
      <c r="CE13" s="74">
        <v>1974161</v>
      </c>
      <c r="CF13" s="74">
        <v>1871355</v>
      </c>
      <c r="CG13" s="74">
        <v>1852816</v>
      </c>
      <c r="CH13" s="74">
        <v>1557199</v>
      </c>
      <c r="CI13" s="74">
        <v>1365449</v>
      </c>
      <c r="CJ13" s="74">
        <v>1232454</v>
      </c>
      <c r="CK13" s="74">
        <v>1100420</v>
      </c>
      <c r="CL13" s="74">
        <v>993269</v>
      </c>
      <c r="CM13" s="74">
        <v>857358</v>
      </c>
      <c r="CN13" s="74">
        <v>760188</v>
      </c>
      <c r="CO13" s="74">
        <v>671414</v>
      </c>
      <c r="CP13" s="74">
        <v>550492</v>
      </c>
      <c r="CQ13" s="74">
        <v>480773</v>
      </c>
      <c r="CR13" s="74">
        <v>410281</v>
      </c>
      <c r="CS13" s="74">
        <v>344842</v>
      </c>
      <c r="CT13" s="74">
        <v>288291</v>
      </c>
      <c r="CU13" s="74">
        <v>223779</v>
      </c>
      <c r="CV13" s="74">
        <v>177858</v>
      </c>
      <c r="CW13" s="74">
        <v>135784</v>
      </c>
      <c r="CX13" s="74">
        <v>99809</v>
      </c>
      <c r="CY13" s="74">
        <v>73199</v>
      </c>
      <c r="CZ13" s="74">
        <v>114201</v>
      </c>
    </row>
    <row r="14" spans="1:104" ht="17.100000000000001">
      <c r="A14" s="69" t="s">
        <v>659</v>
      </c>
      <c r="B14" s="69">
        <v>2025</v>
      </c>
      <c r="C14" s="74">
        <v>347334912</v>
      </c>
      <c r="D14" s="74">
        <v>4186576</v>
      </c>
      <c r="E14" s="74">
        <v>4197220</v>
      </c>
      <c r="F14" s="74">
        <v>4205907</v>
      </c>
      <c r="G14" s="74">
        <v>4210440</v>
      </c>
      <c r="H14" s="74">
        <v>4210075</v>
      </c>
      <c r="I14" s="74">
        <v>4204428</v>
      </c>
      <c r="J14" s="74">
        <v>4193907</v>
      </c>
      <c r="K14" s="74">
        <v>4180042</v>
      </c>
      <c r="L14" s="74">
        <v>4164245</v>
      </c>
      <c r="M14" s="74">
        <v>4146602</v>
      </c>
      <c r="N14" s="74">
        <v>4128442</v>
      </c>
      <c r="O14" s="74">
        <v>4109654</v>
      </c>
      <c r="P14" s="74">
        <v>4089560</v>
      </c>
      <c r="Q14" s="74">
        <v>4098930</v>
      </c>
      <c r="R14" s="74">
        <v>4128441</v>
      </c>
      <c r="S14" s="74">
        <v>4131344</v>
      </c>
      <c r="T14" s="74">
        <v>4142165</v>
      </c>
      <c r="U14" s="74">
        <v>4287520</v>
      </c>
      <c r="V14" s="74">
        <v>4331448</v>
      </c>
      <c r="W14" s="74">
        <v>4326904</v>
      </c>
      <c r="X14" s="74">
        <v>4346931</v>
      </c>
      <c r="Y14" s="74">
        <v>4389574</v>
      </c>
      <c r="Z14" s="74">
        <v>4392852</v>
      </c>
      <c r="AA14" s="74">
        <v>4408702</v>
      </c>
      <c r="AB14" s="74">
        <v>4539354</v>
      </c>
      <c r="AC14" s="74">
        <v>4628888</v>
      </c>
      <c r="AD14" s="74">
        <v>4583669</v>
      </c>
      <c r="AE14" s="74">
        <v>4602895</v>
      </c>
      <c r="AF14" s="74">
        <v>4625272</v>
      </c>
      <c r="AG14" s="74">
        <v>4661876</v>
      </c>
      <c r="AH14" s="74">
        <v>4749435</v>
      </c>
      <c r="AI14" s="74">
        <v>4825917</v>
      </c>
      <c r="AJ14" s="74">
        <v>4874647</v>
      </c>
      <c r="AK14" s="74">
        <v>4970042</v>
      </c>
      <c r="AL14" s="74">
        <v>5029834</v>
      </c>
      <c r="AM14" s="74">
        <v>4997740</v>
      </c>
      <c r="AN14" s="74">
        <v>4792058</v>
      </c>
      <c r="AO14" s="74">
        <v>4664181</v>
      </c>
      <c r="AP14" s="74">
        <v>4568193</v>
      </c>
      <c r="AQ14" s="74">
        <v>4563702</v>
      </c>
      <c r="AR14" s="74">
        <v>4575594</v>
      </c>
      <c r="AS14" s="74">
        <v>4419964</v>
      </c>
      <c r="AT14" s="74">
        <v>4463654</v>
      </c>
      <c r="AU14" s="74">
        <v>4447184</v>
      </c>
      <c r="AV14" s="74">
        <v>4384387</v>
      </c>
      <c r="AW14" s="74">
        <v>4450111</v>
      </c>
      <c r="AX14" s="74">
        <v>4172187</v>
      </c>
      <c r="AY14" s="74">
        <v>4076565</v>
      </c>
      <c r="AZ14" s="74">
        <v>4022069</v>
      </c>
      <c r="BA14" s="74">
        <v>3892190</v>
      </c>
      <c r="BB14" s="74">
        <v>3991435</v>
      </c>
      <c r="BC14" s="74">
        <v>3855959</v>
      </c>
      <c r="BD14" s="74">
        <v>3896116</v>
      </c>
      <c r="BE14" s="74">
        <v>4053760</v>
      </c>
      <c r="BF14" s="74">
        <v>4265522</v>
      </c>
      <c r="BG14" s="74">
        <v>4300840</v>
      </c>
      <c r="BH14" s="74">
        <v>4066170</v>
      </c>
      <c r="BI14" s="74">
        <v>3964599</v>
      </c>
      <c r="BJ14" s="74">
        <v>3954133</v>
      </c>
      <c r="BK14" s="74">
        <v>4008084</v>
      </c>
      <c r="BL14" s="74">
        <v>4225261</v>
      </c>
      <c r="BM14" s="74">
        <v>4283946</v>
      </c>
      <c r="BN14" s="74">
        <v>4260421</v>
      </c>
      <c r="BO14" s="74">
        <v>4233305</v>
      </c>
      <c r="BP14" s="74">
        <v>4262292</v>
      </c>
      <c r="BQ14" s="74">
        <v>4270214</v>
      </c>
      <c r="BR14" s="74">
        <v>4104003</v>
      </c>
      <c r="BS14" s="74">
        <v>4051170</v>
      </c>
      <c r="BT14" s="74">
        <v>3975371</v>
      </c>
      <c r="BU14" s="74">
        <v>3801304</v>
      </c>
      <c r="BV14" s="74">
        <v>3731353</v>
      </c>
      <c r="BW14" s="74">
        <v>3543067</v>
      </c>
      <c r="BX14" s="74">
        <v>3368881</v>
      </c>
      <c r="BY14" s="74">
        <v>3196938</v>
      </c>
      <c r="BZ14" s="74">
        <v>3051136</v>
      </c>
      <c r="CA14" s="74">
        <v>2926656</v>
      </c>
      <c r="CB14" s="74">
        <v>2790385</v>
      </c>
      <c r="CC14" s="74">
        <v>2705841</v>
      </c>
      <c r="CD14" s="74">
        <v>2750507</v>
      </c>
      <c r="CE14" s="74">
        <v>1980674</v>
      </c>
      <c r="CF14" s="74">
        <v>1894298</v>
      </c>
      <c r="CG14" s="74">
        <v>1786857</v>
      </c>
      <c r="CH14" s="74">
        <v>1759610</v>
      </c>
      <c r="CI14" s="74">
        <v>1469854</v>
      </c>
      <c r="CJ14" s="74">
        <v>1279906</v>
      </c>
      <c r="CK14" s="74">
        <v>1146127</v>
      </c>
      <c r="CL14" s="74">
        <v>1014374</v>
      </c>
      <c r="CM14" s="74">
        <v>906904</v>
      </c>
      <c r="CN14" s="74">
        <v>774675</v>
      </c>
      <c r="CO14" s="74">
        <v>678967</v>
      </c>
      <c r="CP14" s="74">
        <v>592109</v>
      </c>
      <c r="CQ14" s="74">
        <v>478724</v>
      </c>
      <c r="CR14" s="74">
        <v>411762</v>
      </c>
      <c r="CS14" s="74">
        <v>345627</v>
      </c>
      <c r="CT14" s="74">
        <v>285336</v>
      </c>
      <c r="CU14" s="74">
        <v>234032</v>
      </c>
      <c r="CV14" s="74">
        <v>177955</v>
      </c>
      <c r="CW14" s="74">
        <v>138358</v>
      </c>
      <c r="CX14" s="74">
        <v>103182</v>
      </c>
      <c r="CY14" s="74">
        <v>74014</v>
      </c>
      <c r="CZ14" s="74">
        <v>119381</v>
      </c>
    </row>
    <row r="15" spans="1:104" ht="17.100000000000001">
      <c r="A15" s="69" t="s">
        <v>659</v>
      </c>
      <c r="B15" s="69">
        <v>2026</v>
      </c>
      <c r="C15" s="74">
        <v>349825585</v>
      </c>
      <c r="D15" s="74">
        <v>4192911</v>
      </c>
      <c r="E15" s="74">
        <v>4205144</v>
      </c>
      <c r="F15" s="74">
        <v>4215323</v>
      </c>
      <c r="G15" s="74">
        <v>4221656</v>
      </c>
      <c r="H15" s="74">
        <v>4224042</v>
      </c>
      <c r="I15" s="74">
        <v>4222316</v>
      </c>
      <c r="J15" s="74">
        <v>4215984</v>
      </c>
      <c r="K15" s="74">
        <v>4205193</v>
      </c>
      <c r="L15" s="74">
        <v>4191376</v>
      </c>
      <c r="M15" s="74">
        <v>4175561</v>
      </c>
      <c r="N15" s="74">
        <v>4158140</v>
      </c>
      <c r="O15" s="74">
        <v>4139867</v>
      </c>
      <c r="P15" s="74">
        <v>4121049</v>
      </c>
      <c r="Q15" s="74">
        <v>4101438</v>
      </c>
      <c r="R15" s="74">
        <v>4112431</v>
      </c>
      <c r="S15" s="74">
        <v>4145263</v>
      </c>
      <c r="T15" s="74">
        <v>4153364</v>
      </c>
      <c r="U15" s="74">
        <v>4170860</v>
      </c>
      <c r="V15" s="74">
        <v>4323290</v>
      </c>
      <c r="W15" s="74">
        <v>4373213</v>
      </c>
      <c r="X15" s="74">
        <v>4372624</v>
      </c>
      <c r="Y15" s="74">
        <v>4394794</v>
      </c>
      <c r="Z15" s="74">
        <v>4437695</v>
      </c>
      <c r="AA15" s="74">
        <v>4440190</v>
      </c>
      <c r="AB15" s="74">
        <v>4454612</v>
      </c>
      <c r="AC15" s="74">
        <v>4583134</v>
      </c>
      <c r="AD15" s="74">
        <v>4670474</v>
      </c>
      <c r="AE15" s="74">
        <v>4622786</v>
      </c>
      <c r="AF15" s="74">
        <v>4639484</v>
      </c>
      <c r="AG15" s="74">
        <v>4659073</v>
      </c>
      <c r="AH15" s="74">
        <v>4692631</v>
      </c>
      <c r="AI15" s="74">
        <v>4776642</v>
      </c>
      <c r="AJ15" s="74">
        <v>4849565</v>
      </c>
      <c r="AK15" s="74">
        <v>4895344</v>
      </c>
      <c r="AL15" s="74">
        <v>4988463</v>
      </c>
      <c r="AM15" s="74">
        <v>5046540</v>
      </c>
      <c r="AN15" s="74">
        <v>5012991</v>
      </c>
      <c r="AO15" s="74">
        <v>4806174</v>
      </c>
      <c r="AP15" s="74">
        <v>4677232</v>
      </c>
      <c r="AQ15" s="74">
        <v>4580145</v>
      </c>
      <c r="AR15" s="74">
        <v>4574004</v>
      </c>
      <c r="AS15" s="74">
        <v>4583777</v>
      </c>
      <c r="AT15" s="74">
        <v>4426350</v>
      </c>
      <c r="AU15" s="74">
        <v>4468180</v>
      </c>
      <c r="AV15" s="74">
        <v>4450472</v>
      </c>
      <c r="AW15" s="74">
        <v>4386521</v>
      </c>
      <c r="AX15" s="74">
        <v>4450637</v>
      </c>
      <c r="AY15" s="74">
        <v>4171827</v>
      </c>
      <c r="AZ15" s="74">
        <v>4074771</v>
      </c>
      <c r="BA15" s="74">
        <v>4018910</v>
      </c>
      <c r="BB15" s="74">
        <v>3887909</v>
      </c>
      <c r="BC15" s="74">
        <v>3985247</v>
      </c>
      <c r="BD15" s="74">
        <v>3848814</v>
      </c>
      <c r="BE15" s="74">
        <v>3887362</v>
      </c>
      <c r="BF15" s="74">
        <v>4042958</v>
      </c>
      <c r="BG15" s="74">
        <v>4252283</v>
      </c>
      <c r="BH15" s="74">
        <v>4285651</v>
      </c>
      <c r="BI15" s="74">
        <v>4050562</v>
      </c>
      <c r="BJ15" s="74">
        <v>3947752</v>
      </c>
      <c r="BK15" s="74">
        <v>3935811</v>
      </c>
      <c r="BL15" s="74">
        <v>3987598</v>
      </c>
      <c r="BM15" s="74">
        <v>4201266</v>
      </c>
      <c r="BN15" s="74">
        <v>4257257</v>
      </c>
      <c r="BO15" s="74">
        <v>4231183</v>
      </c>
      <c r="BP15" s="74">
        <v>4201368</v>
      </c>
      <c r="BQ15" s="74">
        <v>4226492</v>
      </c>
      <c r="BR15" s="74">
        <v>4229973</v>
      </c>
      <c r="BS15" s="74">
        <v>4061197</v>
      </c>
      <c r="BT15" s="74">
        <v>4004312</v>
      </c>
      <c r="BU15" s="74">
        <v>3924581</v>
      </c>
      <c r="BV15" s="74">
        <v>3747735</v>
      </c>
      <c r="BW15" s="74">
        <v>3673107</v>
      </c>
      <c r="BX15" s="74">
        <v>3482010</v>
      </c>
      <c r="BY15" s="74">
        <v>3304621</v>
      </c>
      <c r="BZ15" s="74">
        <v>3129366</v>
      </c>
      <c r="CA15" s="74">
        <v>2979535</v>
      </c>
      <c r="CB15" s="74">
        <v>2850256</v>
      </c>
      <c r="CC15" s="74">
        <v>2709360</v>
      </c>
      <c r="CD15" s="74">
        <v>2618321</v>
      </c>
      <c r="CE15" s="74">
        <v>2651383</v>
      </c>
      <c r="CF15" s="74">
        <v>1901200</v>
      </c>
      <c r="CG15" s="74">
        <v>1809377</v>
      </c>
      <c r="CH15" s="74">
        <v>1697683</v>
      </c>
      <c r="CI15" s="74">
        <v>1661512</v>
      </c>
      <c r="CJ15" s="74">
        <v>1378356</v>
      </c>
      <c r="CK15" s="74">
        <v>1190876</v>
      </c>
      <c r="CL15" s="74">
        <v>1057154</v>
      </c>
      <c r="CM15" s="74">
        <v>926724</v>
      </c>
      <c r="CN15" s="74">
        <v>819967</v>
      </c>
      <c r="CO15" s="74">
        <v>692417</v>
      </c>
      <c r="CP15" s="74">
        <v>599213</v>
      </c>
      <c r="CQ15" s="74">
        <v>515381</v>
      </c>
      <c r="CR15" s="74">
        <v>410419</v>
      </c>
      <c r="CS15" s="74">
        <v>347242</v>
      </c>
      <c r="CT15" s="74">
        <v>286334</v>
      </c>
      <c r="CU15" s="74">
        <v>231905</v>
      </c>
      <c r="CV15" s="74">
        <v>186364</v>
      </c>
      <c r="CW15" s="74">
        <v>138630</v>
      </c>
      <c r="CX15" s="74">
        <v>105303</v>
      </c>
      <c r="CY15" s="74">
        <v>76617</v>
      </c>
      <c r="CZ15" s="74">
        <v>123178</v>
      </c>
    </row>
    <row r="16" spans="1:104" ht="17.100000000000001">
      <c r="A16" s="69" t="s">
        <v>659</v>
      </c>
      <c r="B16" s="69">
        <v>2027</v>
      </c>
      <c r="C16" s="74">
        <v>352281475</v>
      </c>
      <c r="D16" s="74">
        <v>4197539</v>
      </c>
      <c r="E16" s="74">
        <v>4211689</v>
      </c>
      <c r="F16" s="74">
        <v>4223412</v>
      </c>
      <c r="G16" s="74">
        <v>4231219</v>
      </c>
      <c r="H16" s="74">
        <v>4235383</v>
      </c>
      <c r="I16" s="74">
        <v>4236394</v>
      </c>
      <c r="J16" s="74">
        <v>4233974</v>
      </c>
      <c r="K16" s="74">
        <v>4227367</v>
      </c>
      <c r="L16" s="74">
        <v>4216616</v>
      </c>
      <c r="M16" s="74">
        <v>4202781</v>
      </c>
      <c r="N16" s="74">
        <v>4187184</v>
      </c>
      <c r="O16" s="74">
        <v>4169653</v>
      </c>
      <c r="P16" s="74">
        <v>4151358</v>
      </c>
      <c r="Q16" s="74">
        <v>4133028</v>
      </c>
      <c r="R16" s="74">
        <v>4115044</v>
      </c>
      <c r="S16" s="74">
        <v>4129387</v>
      </c>
      <c r="T16" s="74">
        <v>4167434</v>
      </c>
      <c r="U16" s="74">
        <v>4182289</v>
      </c>
      <c r="V16" s="74">
        <v>4207009</v>
      </c>
      <c r="W16" s="74">
        <v>4365420</v>
      </c>
      <c r="X16" s="74">
        <v>4419307</v>
      </c>
      <c r="Y16" s="74">
        <v>4420938</v>
      </c>
      <c r="Z16" s="74">
        <v>4443401</v>
      </c>
      <c r="AA16" s="74">
        <v>4485518</v>
      </c>
      <c r="AB16" s="74">
        <v>4486543</v>
      </c>
      <c r="AC16" s="74">
        <v>4498887</v>
      </c>
      <c r="AD16" s="74">
        <v>4625202</v>
      </c>
      <c r="AE16" s="74">
        <v>4709995</v>
      </c>
      <c r="AF16" s="74">
        <v>4659763</v>
      </c>
      <c r="AG16" s="74">
        <v>4673649</v>
      </c>
      <c r="AH16" s="74">
        <v>4690199</v>
      </c>
      <c r="AI16" s="74">
        <v>4720224</v>
      </c>
      <c r="AJ16" s="74">
        <v>4800630</v>
      </c>
      <c r="AK16" s="74">
        <v>4870547</v>
      </c>
      <c r="AL16" s="74">
        <v>4914164</v>
      </c>
      <c r="AM16" s="74">
        <v>5005466</v>
      </c>
      <c r="AN16" s="74">
        <v>5062036</v>
      </c>
      <c r="AO16" s="74">
        <v>5027170</v>
      </c>
      <c r="AP16" s="74">
        <v>4819414</v>
      </c>
      <c r="AQ16" s="74">
        <v>4689282</v>
      </c>
      <c r="AR16" s="74">
        <v>4590687</v>
      </c>
      <c r="AS16" s="74">
        <v>4582476</v>
      </c>
      <c r="AT16" s="74">
        <v>4590131</v>
      </c>
      <c r="AU16" s="74">
        <v>4431266</v>
      </c>
      <c r="AV16" s="74">
        <v>4471590</v>
      </c>
      <c r="AW16" s="74">
        <v>4452743</v>
      </c>
      <c r="AX16" s="74">
        <v>4387571</v>
      </c>
      <c r="AY16" s="74">
        <v>4449830</v>
      </c>
      <c r="AZ16" s="74">
        <v>4170106</v>
      </c>
      <c r="BA16" s="74">
        <v>4071722</v>
      </c>
      <c r="BB16" s="74">
        <v>4014556</v>
      </c>
      <c r="BC16" s="74">
        <v>3882425</v>
      </c>
      <c r="BD16" s="74">
        <v>3977890</v>
      </c>
      <c r="BE16" s="74">
        <v>3840644</v>
      </c>
      <c r="BF16" s="74">
        <v>3877576</v>
      </c>
      <c r="BG16" s="74">
        <v>4031087</v>
      </c>
      <c r="BH16" s="74">
        <v>4237817</v>
      </c>
      <c r="BI16" s="74">
        <v>4269207</v>
      </c>
      <c r="BJ16" s="74">
        <v>4033792</v>
      </c>
      <c r="BK16" s="74">
        <v>3929814</v>
      </c>
      <c r="BL16" s="74">
        <v>3916389</v>
      </c>
      <c r="BM16" s="74">
        <v>3965870</v>
      </c>
      <c r="BN16" s="74">
        <v>4175708</v>
      </c>
      <c r="BO16" s="74">
        <v>4228655</v>
      </c>
      <c r="BP16" s="74">
        <v>4199810</v>
      </c>
      <c r="BQ16" s="74">
        <v>4166813</v>
      </c>
      <c r="BR16" s="74">
        <v>4187580</v>
      </c>
      <c r="BS16" s="74">
        <v>4186320</v>
      </c>
      <c r="BT16" s="74">
        <v>4014844</v>
      </c>
      <c r="BU16" s="74">
        <v>3953863</v>
      </c>
      <c r="BV16" s="74">
        <v>3869879</v>
      </c>
      <c r="BW16" s="74">
        <v>3689993</v>
      </c>
      <c r="BX16" s="74">
        <v>3610338</v>
      </c>
      <c r="BY16" s="74">
        <v>3416215</v>
      </c>
      <c r="BZ16" s="74">
        <v>3235422</v>
      </c>
      <c r="CA16" s="74">
        <v>3056691</v>
      </c>
      <c r="CB16" s="74">
        <v>2902569</v>
      </c>
      <c r="CC16" s="74">
        <v>2768198</v>
      </c>
      <c r="CD16" s="74">
        <v>2622527</v>
      </c>
      <c r="CE16" s="74">
        <v>2524804</v>
      </c>
      <c r="CF16" s="74">
        <v>2545435</v>
      </c>
      <c r="CG16" s="74">
        <v>1816606</v>
      </c>
      <c r="CH16" s="74">
        <v>1719706</v>
      </c>
      <c r="CI16" s="74">
        <v>1603771</v>
      </c>
      <c r="CJ16" s="74">
        <v>1558690</v>
      </c>
      <c r="CK16" s="74">
        <v>1283065</v>
      </c>
      <c r="CL16" s="74">
        <v>1099057</v>
      </c>
      <c r="CM16" s="74">
        <v>966460</v>
      </c>
      <c r="CN16" s="74">
        <v>838410</v>
      </c>
      <c r="CO16" s="74">
        <v>733407</v>
      </c>
      <c r="CP16" s="74">
        <v>611575</v>
      </c>
      <c r="CQ16" s="74">
        <v>521993</v>
      </c>
      <c r="CR16" s="74">
        <v>442273</v>
      </c>
      <c r="CS16" s="74">
        <v>346481</v>
      </c>
      <c r="CT16" s="74">
        <v>288003</v>
      </c>
      <c r="CU16" s="74">
        <v>233016</v>
      </c>
      <c r="CV16" s="74">
        <v>184894</v>
      </c>
      <c r="CW16" s="74">
        <v>145394</v>
      </c>
      <c r="CX16" s="74">
        <v>105664</v>
      </c>
      <c r="CY16" s="74">
        <v>78317</v>
      </c>
      <c r="CZ16" s="74">
        <v>127325</v>
      </c>
    </row>
    <row r="17" spans="1:104" ht="17.100000000000001">
      <c r="A17" s="69" t="s">
        <v>659</v>
      </c>
      <c r="B17" s="69">
        <v>2028</v>
      </c>
      <c r="C17" s="74">
        <v>354698370</v>
      </c>
      <c r="D17" s="74">
        <v>4200651</v>
      </c>
      <c r="E17" s="74">
        <v>4216535</v>
      </c>
      <c r="F17" s="74">
        <v>4230129</v>
      </c>
      <c r="G17" s="74">
        <v>4239445</v>
      </c>
      <c r="H17" s="74">
        <v>4245066</v>
      </c>
      <c r="I17" s="74">
        <v>4247842</v>
      </c>
      <c r="J17" s="74">
        <v>4248143</v>
      </c>
      <c r="K17" s="74">
        <v>4245449</v>
      </c>
      <c r="L17" s="74">
        <v>4238881</v>
      </c>
      <c r="M17" s="74">
        <v>4228112</v>
      </c>
      <c r="N17" s="74">
        <v>4214494</v>
      </c>
      <c r="O17" s="74">
        <v>4198781</v>
      </c>
      <c r="P17" s="74">
        <v>4181235</v>
      </c>
      <c r="Q17" s="74">
        <v>4163437</v>
      </c>
      <c r="R17" s="74">
        <v>4146752</v>
      </c>
      <c r="S17" s="74">
        <v>4132129</v>
      </c>
      <c r="T17" s="74">
        <v>4151748</v>
      </c>
      <c r="U17" s="74">
        <v>4196568</v>
      </c>
      <c r="V17" s="74">
        <v>4218726</v>
      </c>
      <c r="W17" s="74">
        <v>4249575</v>
      </c>
      <c r="X17" s="74">
        <v>4411919</v>
      </c>
      <c r="Y17" s="74">
        <v>4468013</v>
      </c>
      <c r="Z17" s="74">
        <v>4469998</v>
      </c>
      <c r="AA17" s="74">
        <v>4491700</v>
      </c>
      <c r="AB17" s="74">
        <v>4532330</v>
      </c>
      <c r="AC17" s="74">
        <v>4531234</v>
      </c>
      <c r="AD17" s="74">
        <v>4541445</v>
      </c>
      <c r="AE17" s="74">
        <v>4665193</v>
      </c>
      <c r="AF17" s="74">
        <v>4747350</v>
      </c>
      <c r="AG17" s="74">
        <v>4694292</v>
      </c>
      <c r="AH17" s="74">
        <v>4705097</v>
      </c>
      <c r="AI17" s="74">
        <v>4718128</v>
      </c>
      <c r="AJ17" s="74">
        <v>4744570</v>
      </c>
      <c r="AK17" s="74">
        <v>4821929</v>
      </c>
      <c r="AL17" s="74">
        <v>4889637</v>
      </c>
      <c r="AM17" s="74">
        <v>4931558</v>
      </c>
      <c r="AN17" s="74">
        <v>5021264</v>
      </c>
      <c r="AO17" s="74">
        <v>5076467</v>
      </c>
      <c r="AP17" s="74">
        <v>5040463</v>
      </c>
      <c r="AQ17" s="74">
        <v>4831636</v>
      </c>
      <c r="AR17" s="74">
        <v>4699907</v>
      </c>
      <c r="AS17" s="74">
        <v>4599387</v>
      </c>
      <c r="AT17" s="74">
        <v>4589114</v>
      </c>
      <c r="AU17" s="74">
        <v>4594985</v>
      </c>
      <c r="AV17" s="74">
        <v>4435071</v>
      </c>
      <c r="AW17" s="74">
        <v>4473996</v>
      </c>
      <c r="AX17" s="74">
        <v>4453926</v>
      </c>
      <c r="AY17" s="74">
        <v>4387309</v>
      </c>
      <c r="AZ17" s="74">
        <v>4447629</v>
      </c>
      <c r="BA17" s="74">
        <v>4167136</v>
      </c>
      <c r="BB17" s="74">
        <v>4067468</v>
      </c>
      <c r="BC17" s="74">
        <v>4008971</v>
      </c>
      <c r="BD17" s="74">
        <v>3875809</v>
      </c>
      <c r="BE17" s="74">
        <v>3969498</v>
      </c>
      <c r="BF17" s="74">
        <v>3831463</v>
      </c>
      <c r="BG17" s="74">
        <v>3866761</v>
      </c>
      <c r="BH17" s="74">
        <v>4018059</v>
      </c>
      <c r="BI17" s="74">
        <v>4222120</v>
      </c>
      <c r="BJ17" s="74">
        <v>4251540</v>
      </c>
      <c r="BK17" s="74">
        <v>4015916</v>
      </c>
      <c r="BL17" s="74">
        <v>3910784</v>
      </c>
      <c r="BM17" s="74">
        <v>3895749</v>
      </c>
      <c r="BN17" s="74">
        <v>3942666</v>
      </c>
      <c r="BO17" s="74">
        <v>4148269</v>
      </c>
      <c r="BP17" s="74">
        <v>4197921</v>
      </c>
      <c r="BQ17" s="74">
        <v>4165820</v>
      </c>
      <c r="BR17" s="74">
        <v>4129179</v>
      </c>
      <c r="BS17" s="74">
        <v>4145292</v>
      </c>
      <c r="BT17" s="74">
        <v>4139025</v>
      </c>
      <c r="BU17" s="74">
        <v>3964908</v>
      </c>
      <c r="BV17" s="74">
        <v>3899495</v>
      </c>
      <c r="BW17" s="74">
        <v>3810879</v>
      </c>
      <c r="BX17" s="74">
        <v>3627698</v>
      </c>
      <c r="BY17" s="74">
        <v>3542666</v>
      </c>
      <c r="BZ17" s="74">
        <v>3345317</v>
      </c>
      <c r="CA17" s="74">
        <v>3160971</v>
      </c>
      <c r="CB17" s="74">
        <v>2978539</v>
      </c>
      <c r="CC17" s="74">
        <v>2819838</v>
      </c>
      <c r="CD17" s="74">
        <v>2680205</v>
      </c>
      <c r="CE17" s="74">
        <v>2529680</v>
      </c>
      <c r="CF17" s="74">
        <v>2424725</v>
      </c>
      <c r="CG17" s="74">
        <v>2432652</v>
      </c>
      <c r="CH17" s="74">
        <v>1727230</v>
      </c>
      <c r="CI17" s="74">
        <v>1625228</v>
      </c>
      <c r="CJ17" s="74">
        <v>1505284</v>
      </c>
      <c r="CK17" s="74">
        <v>1451583</v>
      </c>
      <c r="CL17" s="74">
        <v>1184734</v>
      </c>
      <c r="CM17" s="74">
        <v>1005387</v>
      </c>
      <c r="CN17" s="74">
        <v>875008</v>
      </c>
      <c r="CO17" s="74">
        <v>750426</v>
      </c>
      <c r="CP17" s="74">
        <v>648267</v>
      </c>
      <c r="CQ17" s="74">
        <v>533212</v>
      </c>
      <c r="CR17" s="74">
        <v>448343</v>
      </c>
      <c r="CS17" s="74">
        <v>373754</v>
      </c>
      <c r="CT17" s="74">
        <v>287702</v>
      </c>
      <c r="CU17" s="74">
        <v>234661</v>
      </c>
      <c r="CV17" s="74">
        <v>186036</v>
      </c>
      <c r="CW17" s="74">
        <v>144428</v>
      </c>
      <c r="CX17" s="74">
        <v>110990</v>
      </c>
      <c r="CY17" s="74">
        <v>78709</v>
      </c>
      <c r="CZ17" s="74">
        <v>131124</v>
      </c>
    </row>
    <row r="18" spans="1:104" ht="17.100000000000001">
      <c r="A18" s="69" t="s">
        <v>659</v>
      </c>
      <c r="B18" s="69">
        <v>2029</v>
      </c>
      <c r="C18" s="74">
        <v>357072830</v>
      </c>
      <c r="D18" s="74">
        <v>4203058</v>
      </c>
      <c r="E18" s="74">
        <v>4219852</v>
      </c>
      <c r="F18" s="74">
        <v>4235134</v>
      </c>
      <c r="G18" s="74">
        <v>4246301</v>
      </c>
      <c r="H18" s="74">
        <v>4253413</v>
      </c>
      <c r="I18" s="74">
        <v>4257633</v>
      </c>
      <c r="J18" s="74">
        <v>4259697</v>
      </c>
      <c r="K18" s="74">
        <v>4259709</v>
      </c>
      <c r="L18" s="74">
        <v>4257047</v>
      </c>
      <c r="M18" s="74">
        <v>4250463</v>
      </c>
      <c r="N18" s="74">
        <v>4239908</v>
      </c>
      <c r="O18" s="74">
        <v>4226174</v>
      </c>
      <c r="P18" s="74">
        <v>4210450</v>
      </c>
      <c r="Q18" s="74">
        <v>4193410</v>
      </c>
      <c r="R18" s="74">
        <v>4177266</v>
      </c>
      <c r="S18" s="74">
        <v>4163981</v>
      </c>
      <c r="T18" s="74">
        <v>4154648</v>
      </c>
      <c r="U18" s="74">
        <v>4181110</v>
      </c>
      <c r="V18" s="74">
        <v>4233267</v>
      </c>
      <c r="W18" s="74">
        <v>4261623</v>
      </c>
      <c r="X18" s="74">
        <v>4296542</v>
      </c>
      <c r="Y18" s="74">
        <v>4461038</v>
      </c>
      <c r="Z18" s="74">
        <v>4517465</v>
      </c>
      <c r="AA18" s="74">
        <v>4518737</v>
      </c>
      <c r="AB18" s="74">
        <v>4538963</v>
      </c>
      <c r="AC18" s="74">
        <v>4577457</v>
      </c>
      <c r="AD18" s="74">
        <v>4574171</v>
      </c>
      <c r="AE18" s="74">
        <v>4581891</v>
      </c>
      <c r="AF18" s="74">
        <v>4702990</v>
      </c>
      <c r="AG18" s="74">
        <v>4782222</v>
      </c>
      <c r="AH18" s="74">
        <v>4726072</v>
      </c>
      <c r="AI18" s="74">
        <v>4733320</v>
      </c>
      <c r="AJ18" s="74">
        <v>4742769</v>
      </c>
      <c r="AK18" s="74">
        <v>4766191</v>
      </c>
      <c r="AL18" s="74">
        <v>4841319</v>
      </c>
      <c r="AM18" s="74">
        <v>4907281</v>
      </c>
      <c r="AN18" s="74">
        <v>4947727</v>
      </c>
      <c r="AO18" s="74">
        <v>5035978</v>
      </c>
      <c r="AP18" s="74">
        <v>5089999</v>
      </c>
      <c r="AQ18" s="74">
        <v>5052724</v>
      </c>
      <c r="AR18" s="74">
        <v>4842423</v>
      </c>
      <c r="AS18" s="74">
        <v>4708677</v>
      </c>
      <c r="AT18" s="74">
        <v>4606238</v>
      </c>
      <c r="AU18" s="74">
        <v>4594246</v>
      </c>
      <c r="AV18" s="74">
        <v>4598700</v>
      </c>
      <c r="AW18" s="74">
        <v>4437855</v>
      </c>
      <c r="AX18" s="74">
        <v>4475300</v>
      </c>
      <c r="AY18" s="74">
        <v>4453783</v>
      </c>
      <c r="AZ18" s="74">
        <v>4385668</v>
      </c>
      <c r="BA18" s="74">
        <v>4444117</v>
      </c>
      <c r="BB18" s="74">
        <v>4162945</v>
      </c>
      <c r="BC18" s="74">
        <v>4062001</v>
      </c>
      <c r="BD18" s="74">
        <v>4002235</v>
      </c>
      <c r="BE18" s="74">
        <v>3868186</v>
      </c>
      <c r="BF18" s="74">
        <v>3960072</v>
      </c>
      <c r="BG18" s="74">
        <v>3821290</v>
      </c>
      <c r="BH18" s="74">
        <v>3854844</v>
      </c>
      <c r="BI18" s="74">
        <v>4003858</v>
      </c>
      <c r="BJ18" s="74">
        <v>4205227</v>
      </c>
      <c r="BK18" s="74">
        <v>4232735</v>
      </c>
      <c r="BL18" s="74">
        <v>3996944</v>
      </c>
      <c r="BM18" s="74">
        <v>3890566</v>
      </c>
      <c r="BN18" s="74">
        <v>3873679</v>
      </c>
      <c r="BO18" s="74">
        <v>3917684</v>
      </c>
      <c r="BP18" s="74">
        <v>4118730</v>
      </c>
      <c r="BQ18" s="74">
        <v>4164554</v>
      </c>
      <c r="BR18" s="74">
        <v>4128744</v>
      </c>
      <c r="BS18" s="74">
        <v>4088201</v>
      </c>
      <c r="BT18" s="74">
        <v>4099394</v>
      </c>
      <c r="BU18" s="74">
        <v>4088057</v>
      </c>
      <c r="BV18" s="74">
        <v>3911047</v>
      </c>
      <c r="BW18" s="74">
        <v>3840780</v>
      </c>
      <c r="BX18" s="74">
        <v>3747182</v>
      </c>
      <c r="BY18" s="74">
        <v>3560489</v>
      </c>
      <c r="BZ18" s="74">
        <v>3469739</v>
      </c>
      <c r="CA18" s="74">
        <v>3269009</v>
      </c>
      <c r="CB18" s="74">
        <v>3080858</v>
      </c>
      <c r="CC18" s="74">
        <v>2894454</v>
      </c>
      <c r="CD18" s="74">
        <v>2731049</v>
      </c>
      <c r="CE18" s="74">
        <v>2586043</v>
      </c>
      <c r="CF18" s="74">
        <v>2430201</v>
      </c>
      <c r="CG18" s="74">
        <v>2318089</v>
      </c>
      <c r="CH18" s="74">
        <v>2313511</v>
      </c>
      <c r="CI18" s="74">
        <v>1633014</v>
      </c>
      <c r="CJ18" s="74">
        <v>1526099</v>
      </c>
      <c r="CK18" s="74">
        <v>1402622</v>
      </c>
      <c r="CL18" s="74">
        <v>1341005</v>
      </c>
      <c r="CM18" s="74">
        <v>1084360</v>
      </c>
      <c r="CN18" s="74">
        <v>910866</v>
      </c>
      <c r="CO18" s="74">
        <v>783816</v>
      </c>
      <c r="CP18" s="74">
        <v>663807</v>
      </c>
      <c r="CQ18" s="74">
        <v>565661</v>
      </c>
      <c r="CR18" s="74">
        <v>458391</v>
      </c>
      <c r="CS18" s="74">
        <v>379243</v>
      </c>
      <c r="CT18" s="74">
        <v>310696</v>
      </c>
      <c r="CU18" s="74">
        <v>234696</v>
      </c>
      <c r="CV18" s="74">
        <v>187596</v>
      </c>
      <c r="CW18" s="74">
        <v>145534</v>
      </c>
      <c r="CX18" s="74">
        <v>110391</v>
      </c>
      <c r="CY18" s="74">
        <v>82806</v>
      </c>
      <c r="CZ18" s="74">
        <v>133823</v>
      </c>
    </row>
    <row r="19" spans="1:104" ht="17.100000000000001">
      <c r="A19" s="69" t="s">
        <v>659</v>
      </c>
      <c r="B19" s="69">
        <v>2030</v>
      </c>
      <c r="C19" s="74">
        <v>359402194</v>
      </c>
      <c r="D19" s="74">
        <v>4205295</v>
      </c>
      <c r="E19" s="74">
        <v>4222463</v>
      </c>
      <c r="F19" s="74">
        <v>4238612</v>
      </c>
      <c r="G19" s="74">
        <v>4251447</v>
      </c>
      <c r="H19" s="74">
        <v>4260389</v>
      </c>
      <c r="I19" s="74">
        <v>4266089</v>
      </c>
      <c r="J19" s="74">
        <v>4269586</v>
      </c>
      <c r="K19" s="74">
        <v>4271353</v>
      </c>
      <c r="L19" s="74">
        <v>4271393</v>
      </c>
      <c r="M19" s="74">
        <v>4268712</v>
      </c>
      <c r="N19" s="74">
        <v>4262337</v>
      </c>
      <c r="O19" s="74">
        <v>4251672</v>
      </c>
      <c r="P19" s="74">
        <v>4237919</v>
      </c>
      <c r="Q19" s="74">
        <v>4222711</v>
      </c>
      <c r="R19" s="74">
        <v>4207342</v>
      </c>
      <c r="S19" s="74">
        <v>4194611</v>
      </c>
      <c r="T19" s="74">
        <v>4186673</v>
      </c>
      <c r="U19" s="74">
        <v>4184223</v>
      </c>
      <c r="V19" s="74">
        <v>4218094</v>
      </c>
      <c r="W19" s="74">
        <v>4276471</v>
      </c>
      <c r="X19" s="74">
        <v>4308952</v>
      </c>
      <c r="Y19" s="74">
        <v>4346143</v>
      </c>
      <c r="Z19" s="74">
        <v>4510900</v>
      </c>
      <c r="AA19" s="74">
        <v>4566590</v>
      </c>
      <c r="AB19" s="74">
        <v>4566429</v>
      </c>
      <c r="AC19" s="74">
        <v>4584521</v>
      </c>
      <c r="AD19" s="74">
        <v>4620806</v>
      </c>
      <c r="AE19" s="74">
        <v>4614965</v>
      </c>
      <c r="AF19" s="74">
        <v>4620096</v>
      </c>
      <c r="AG19" s="74">
        <v>4738253</v>
      </c>
      <c r="AH19" s="74">
        <v>4814305</v>
      </c>
      <c r="AI19" s="74">
        <v>4754592</v>
      </c>
      <c r="AJ19" s="74">
        <v>4758229</v>
      </c>
      <c r="AK19" s="74">
        <v>4764665</v>
      </c>
      <c r="AL19" s="74">
        <v>4785893</v>
      </c>
      <c r="AM19" s="74">
        <v>4859240</v>
      </c>
      <c r="AN19" s="74">
        <v>4923678</v>
      </c>
      <c r="AO19" s="74">
        <v>4962808</v>
      </c>
      <c r="AP19" s="74">
        <v>5049777</v>
      </c>
      <c r="AQ19" s="74">
        <v>5102477</v>
      </c>
      <c r="AR19" s="74">
        <v>5063513</v>
      </c>
      <c r="AS19" s="74">
        <v>4851338</v>
      </c>
      <c r="AT19" s="74">
        <v>4715594</v>
      </c>
      <c r="AU19" s="74">
        <v>4611584</v>
      </c>
      <c r="AV19" s="74">
        <v>4598247</v>
      </c>
      <c r="AW19" s="74">
        <v>4601393</v>
      </c>
      <c r="AX19" s="74">
        <v>4439557</v>
      </c>
      <c r="AY19" s="74">
        <v>4475284</v>
      </c>
      <c r="AZ19" s="74">
        <v>4452247</v>
      </c>
      <c r="BA19" s="74">
        <v>4382747</v>
      </c>
      <c r="BB19" s="74">
        <v>4439358</v>
      </c>
      <c r="BC19" s="74">
        <v>4157525</v>
      </c>
      <c r="BD19" s="74">
        <v>4055387</v>
      </c>
      <c r="BE19" s="74">
        <v>3994484</v>
      </c>
      <c r="BF19" s="74">
        <v>3859564</v>
      </c>
      <c r="BG19" s="74">
        <v>3949620</v>
      </c>
      <c r="BH19" s="74">
        <v>3810023</v>
      </c>
      <c r="BI19" s="74">
        <v>3841818</v>
      </c>
      <c r="BJ19" s="74">
        <v>3988542</v>
      </c>
      <c r="BK19" s="74">
        <v>4187217</v>
      </c>
      <c r="BL19" s="74">
        <v>4212780</v>
      </c>
      <c r="BM19" s="74">
        <v>3976753</v>
      </c>
      <c r="BN19" s="74">
        <v>3868911</v>
      </c>
      <c r="BO19" s="74">
        <v>3849864</v>
      </c>
      <c r="BP19" s="74">
        <v>3890725</v>
      </c>
      <c r="BQ19" s="74">
        <v>4086612</v>
      </c>
      <c r="BR19" s="74">
        <v>4128129</v>
      </c>
      <c r="BS19" s="74">
        <v>4088360</v>
      </c>
      <c r="BT19" s="74">
        <v>4043664</v>
      </c>
      <c r="BU19" s="74">
        <v>4049855</v>
      </c>
      <c r="BV19" s="74">
        <v>4033036</v>
      </c>
      <c r="BW19" s="74">
        <v>3852822</v>
      </c>
      <c r="BX19" s="74">
        <v>3777331</v>
      </c>
      <c r="BY19" s="74">
        <v>3678407</v>
      </c>
      <c r="BZ19" s="74">
        <v>3487979</v>
      </c>
      <c r="CA19" s="74">
        <v>3391198</v>
      </c>
      <c r="CB19" s="74">
        <v>3186872</v>
      </c>
      <c r="CC19" s="74">
        <v>2994630</v>
      </c>
      <c r="CD19" s="74">
        <v>2804161</v>
      </c>
      <c r="CE19" s="74">
        <v>2635974</v>
      </c>
      <c r="CF19" s="74">
        <v>2485092</v>
      </c>
      <c r="CG19" s="74">
        <v>2324131</v>
      </c>
      <c r="CH19" s="74">
        <v>2205386</v>
      </c>
      <c r="CI19" s="74">
        <v>2187914</v>
      </c>
      <c r="CJ19" s="74">
        <v>1534098</v>
      </c>
      <c r="CK19" s="74">
        <v>1422714</v>
      </c>
      <c r="CL19" s="74">
        <v>1296548</v>
      </c>
      <c r="CM19" s="74">
        <v>1228066</v>
      </c>
      <c r="CN19" s="74">
        <v>982992</v>
      </c>
      <c r="CO19" s="74">
        <v>816519</v>
      </c>
      <c r="CP19" s="74">
        <v>693950</v>
      </c>
      <c r="CQ19" s="74">
        <v>579688</v>
      </c>
      <c r="CR19" s="74">
        <v>486714</v>
      </c>
      <c r="CS19" s="74">
        <v>388119</v>
      </c>
      <c r="CT19" s="74">
        <v>315575</v>
      </c>
      <c r="CU19" s="74">
        <v>253754</v>
      </c>
      <c r="CV19" s="74">
        <v>187862</v>
      </c>
      <c r="CW19" s="74">
        <v>146958</v>
      </c>
      <c r="CX19" s="74">
        <v>111416</v>
      </c>
      <c r="CY19" s="74">
        <v>82471</v>
      </c>
      <c r="CZ19" s="74">
        <v>138411</v>
      </c>
    </row>
    <row r="20" spans="1:104" ht="17.100000000000001">
      <c r="A20" s="69" t="s">
        <v>659</v>
      </c>
      <c r="B20" s="69">
        <v>2031</v>
      </c>
      <c r="C20" s="74">
        <v>361684740</v>
      </c>
      <c r="D20" s="74">
        <v>4207608</v>
      </c>
      <c r="E20" s="74">
        <v>4224897</v>
      </c>
      <c r="F20" s="74">
        <v>4241383</v>
      </c>
      <c r="G20" s="74">
        <v>4255071</v>
      </c>
      <c r="H20" s="74">
        <v>4265658</v>
      </c>
      <c r="I20" s="74">
        <v>4273166</v>
      </c>
      <c r="J20" s="74">
        <v>4278135</v>
      </c>
      <c r="K20" s="74">
        <v>4281325</v>
      </c>
      <c r="L20" s="74">
        <v>4283122</v>
      </c>
      <c r="M20" s="74">
        <v>4283139</v>
      </c>
      <c r="N20" s="74">
        <v>4280670</v>
      </c>
      <c r="O20" s="74">
        <v>4274179</v>
      </c>
      <c r="P20" s="74">
        <v>4263500</v>
      </c>
      <c r="Q20" s="74">
        <v>4250263</v>
      </c>
      <c r="R20" s="74">
        <v>4236739</v>
      </c>
      <c r="S20" s="74">
        <v>4224818</v>
      </c>
      <c r="T20" s="74">
        <v>4217477</v>
      </c>
      <c r="U20" s="74">
        <v>4216488</v>
      </c>
      <c r="V20" s="74">
        <v>4221487</v>
      </c>
      <c r="W20" s="74">
        <v>4261634</v>
      </c>
      <c r="X20" s="74">
        <v>4324129</v>
      </c>
      <c r="Y20" s="74">
        <v>4358934</v>
      </c>
      <c r="Z20" s="74">
        <v>4396504</v>
      </c>
      <c r="AA20" s="74">
        <v>4560431</v>
      </c>
      <c r="AB20" s="74">
        <v>4614639</v>
      </c>
      <c r="AC20" s="74">
        <v>4612391</v>
      </c>
      <c r="AD20" s="74">
        <v>4628279</v>
      </c>
      <c r="AE20" s="74">
        <v>4661994</v>
      </c>
      <c r="AF20" s="74">
        <v>4653517</v>
      </c>
      <c r="AG20" s="74">
        <v>4655767</v>
      </c>
      <c r="AH20" s="74">
        <v>4770711</v>
      </c>
      <c r="AI20" s="74">
        <v>4843095</v>
      </c>
      <c r="AJ20" s="74">
        <v>4779770</v>
      </c>
      <c r="AK20" s="74">
        <v>4780358</v>
      </c>
      <c r="AL20" s="74">
        <v>4784612</v>
      </c>
      <c r="AM20" s="74">
        <v>4804119</v>
      </c>
      <c r="AN20" s="74">
        <v>4875920</v>
      </c>
      <c r="AO20" s="74">
        <v>4938980</v>
      </c>
      <c r="AP20" s="74">
        <v>4976973</v>
      </c>
      <c r="AQ20" s="74">
        <v>5062532</v>
      </c>
      <c r="AR20" s="74">
        <v>5113488</v>
      </c>
      <c r="AS20" s="74">
        <v>5072399</v>
      </c>
      <c r="AT20" s="74">
        <v>4858373</v>
      </c>
      <c r="AU20" s="74">
        <v>4720983</v>
      </c>
      <c r="AV20" s="74">
        <v>4615786</v>
      </c>
      <c r="AW20" s="74">
        <v>4601231</v>
      </c>
      <c r="AX20" s="74">
        <v>4603007</v>
      </c>
      <c r="AY20" s="74">
        <v>4439959</v>
      </c>
      <c r="AZ20" s="74">
        <v>4473890</v>
      </c>
      <c r="BA20" s="74">
        <v>4449435</v>
      </c>
      <c r="BB20" s="74">
        <v>4378599</v>
      </c>
      <c r="BC20" s="74">
        <v>4433334</v>
      </c>
      <c r="BD20" s="74">
        <v>4150963</v>
      </c>
      <c r="BE20" s="74">
        <v>4047753</v>
      </c>
      <c r="BF20" s="74">
        <v>3985711</v>
      </c>
      <c r="BG20" s="74">
        <v>3849960</v>
      </c>
      <c r="BH20" s="74">
        <v>3938075</v>
      </c>
      <c r="BI20" s="74">
        <v>3797681</v>
      </c>
      <c r="BJ20" s="74">
        <v>3827728</v>
      </c>
      <c r="BK20" s="74">
        <v>3972184</v>
      </c>
      <c r="BL20" s="74">
        <v>4168093</v>
      </c>
      <c r="BM20" s="74">
        <v>4191561</v>
      </c>
      <c r="BN20" s="74">
        <v>3955114</v>
      </c>
      <c r="BO20" s="74">
        <v>3845523</v>
      </c>
      <c r="BP20" s="74">
        <v>3824105</v>
      </c>
      <c r="BQ20" s="74">
        <v>3861319</v>
      </c>
      <c r="BR20" s="74">
        <v>4051498</v>
      </c>
      <c r="BS20" s="74">
        <v>4088371</v>
      </c>
      <c r="BT20" s="74">
        <v>4044413</v>
      </c>
      <c r="BU20" s="74">
        <v>3995525</v>
      </c>
      <c r="BV20" s="74">
        <v>3996305</v>
      </c>
      <c r="BW20" s="74">
        <v>3973548</v>
      </c>
      <c r="BX20" s="74">
        <v>3789859</v>
      </c>
      <c r="BY20" s="74">
        <v>3708793</v>
      </c>
      <c r="BZ20" s="74">
        <v>3604195</v>
      </c>
      <c r="CA20" s="74">
        <v>3409850</v>
      </c>
      <c r="CB20" s="74">
        <v>3306631</v>
      </c>
      <c r="CC20" s="74">
        <v>3098426</v>
      </c>
      <c r="CD20" s="74">
        <v>2901986</v>
      </c>
      <c r="CE20" s="74">
        <v>2707402</v>
      </c>
      <c r="CF20" s="74">
        <v>2533923</v>
      </c>
      <c r="CG20" s="74">
        <v>2377363</v>
      </c>
      <c r="CH20" s="74">
        <v>2211963</v>
      </c>
      <c r="CI20" s="74">
        <v>2086507</v>
      </c>
      <c r="CJ20" s="74">
        <v>2056046</v>
      </c>
      <c r="CK20" s="74">
        <v>1430872</v>
      </c>
      <c r="CL20" s="74">
        <v>1315836</v>
      </c>
      <c r="CM20" s="74">
        <v>1188122</v>
      </c>
      <c r="CN20" s="74">
        <v>1113931</v>
      </c>
      <c r="CO20" s="74">
        <v>881734</v>
      </c>
      <c r="CP20" s="74">
        <v>723466</v>
      </c>
      <c r="CQ20" s="74">
        <v>606585</v>
      </c>
      <c r="CR20" s="74">
        <v>499212</v>
      </c>
      <c r="CS20" s="74">
        <v>412476</v>
      </c>
      <c r="CT20" s="74">
        <v>323284</v>
      </c>
      <c r="CU20" s="74">
        <v>258015</v>
      </c>
      <c r="CV20" s="74">
        <v>203365</v>
      </c>
      <c r="CW20" s="74">
        <v>147359</v>
      </c>
      <c r="CX20" s="74">
        <v>112670</v>
      </c>
      <c r="CY20" s="74">
        <v>83367</v>
      </c>
      <c r="CZ20" s="74">
        <v>141174</v>
      </c>
    </row>
    <row r="21" spans="1:104" ht="17.100000000000001">
      <c r="A21" s="69" t="s">
        <v>659</v>
      </c>
      <c r="B21" s="69">
        <v>2032</v>
      </c>
      <c r="C21" s="74">
        <v>363919527</v>
      </c>
      <c r="D21" s="74">
        <v>4210700</v>
      </c>
      <c r="E21" s="74">
        <v>4227406</v>
      </c>
      <c r="F21" s="74">
        <v>4243979</v>
      </c>
      <c r="G21" s="74">
        <v>4257968</v>
      </c>
      <c r="H21" s="74">
        <v>4269396</v>
      </c>
      <c r="I21" s="74">
        <v>4278542</v>
      </c>
      <c r="J21" s="74">
        <v>4285306</v>
      </c>
      <c r="K21" s="74">
        <v>4289969</v>
      </c>
      <c r="L21" s="74">
        <v>4293178</v>
      </c>
      <c r="M21" s="74">
        <v>4294948</v>
      </c>
      <c r="N21" s="74">
        <v>4295183</v>
      </c>
      <c r="O21" s="74">
        <v>4292603</v>
      </c>
      <c r="P21" s="74">
        <v>4286087</v>
      </c>
      <c r="Q21" s="74">
        <v>4275916</v>
      </c>
      <c r="R21" s="74">
        <v>4264379</v>
      </c>
      <c r="S21" s="74">
        <v>4254333</v>
      </c>
      <c r="T21" s="74">
        <v>4247848</v>
      </c>
      <c r="U21" s="74">
        <v>4247504</v>
      </c>
      <c r="V21" s="74">
        <v>4254030</v>
      </c>
      <c r="W21" s="74">
        <v>4265352</v>
      </c>
      <c r="X21" s="74">
        <v>4309674</v>
      </c>
      <c r="Y21" s="74">
        <v>4374462</v>
      </c>
      <c r="Z21" s="74">
        <v>4409678</v>
      </c>
      <c r="AA21" s="74">
        <v>4446525</v>
      </c>
      <c r="AB21" s="74">
        <v>4608882</v>
      </c>
      <c r="AC21" s="74">
        <v>4660951</v>
      </c>
      <c r="AD21" s="74">
        <v>4656519</v>
      </c>
      <c r="AE21" s="74">
        <v>4669842</v>
      </c>
      <c r="AF21" s="74">
        <v>4700910</v>
      </c>
      <c r="AG21" s="74">
        <v>4689502</v>
      </c>
      <c r="AH21" s="74">
        <v>4688607</v>
      </c>
      <c r="AI21" s="74">
        <v>4799849</v>
      </c>
      <c r="AJ21" s="74">
        <v>4868513</v>
      </c>
      <c r="AK21" s="74">
        <v>4802146</v>
      </c>
      <c r="AL21" s="74">
        <v>4800530</v>
      </c>
      <c r="AM21" s="74">
        <v>4803089</v>
      </c>
      <c r="AN21" s="74">
        <v>4821087</v>
      </c>
      <c r="AO21" s="74">
        <v>4891476</v>
      </c>
      <c r="AP21" s="74">
        <v>4953356</v>
      </c>
      <c r="AQ21" s="74">
        <v>4990078</v>
      </c>
      <c r="AR21" s="74">
        <v>5073802</v>
      </c>
      <c r="AS21" s="74">
        <v>5122594</v>
      </c>
      <c r="AT21" s="74">
        <v>5079397</v>
      </c>
      <c r="AU21" s="74">
        <v>4863864</v>
      </c>
      <c r="AV21" s="74">
        <v>4725225</v>
      </c>
      <c r="AW21" s="74">
        <v>4618973</v>
      </c>
      <c r="AX21" s="74">
        <v>4603119</v>
      </c>
      <c r="AY21" s="74">
        <v>4603288</v>
      </c>
      <c r="AZ21" s="74">
        <v>4438991</v>
      </c>
      <c r="BA21" s="74">
        <v>4471232</v>
      </c>
      <c r="BB21" s="74">
        <v>4445396</v>
      </c>
      <c r="BC21" s="74">
        <v>4373200</v>
      </c>
      <c r="BD21" s="74">
        <v>4426115</v>
      </c>
      <c r="BE21" s="74">
        <v>4143361</v>
      </c>
      <c r="BF21" s="74">
        <v>4039087</v>
      </c>
      <c r="BG21" s="74">
        <v>3975942</v>
      </c>
      <c r="BH21" s="74">
        <v>3839279</v>
      </c>
      <c r="BI21" s="74">
        <v>3925401</v>
      </c>
      <c r="BJ21" s="74">
        <v>3784279</v>
      </c>
      <c r="BK21" s="74">
        <v>3812641</v>
      </c>
      <c r="BL21" s="74">
        <v>3954784</v>
      </c>
      <c r="BM21" s="74">
        <v>4147745</v>
      </c>
      <c r="BN21" s="74">
        <v>4168840</v>
      </c>
      <c r="BO21" s="74">
        <v>3931722</v>
      </c>
      <c r="BP21" s="74">
        <v>3820216</v>
      </c>
      <c r="BQ21" s="74">
        <v>3795952</v>
      </c>
      <c r="BR21" s="74">
        <v>3829058</v>
      </c>
      <c r="BS21" s="74">
        <v>4013111</v>
      </c>
      <c r="BT21" s="74">
        <v>4045067</v>
      </c>
      <c r="BU21" s="74">
        <v>3996878</v>
      </c>
      <c r="BV21" s="74">
        <v>3943434</v>
      </c>
      <c r="BW21" s="74">
        <v>3938321</v>
      </c>
      <c r="BX21" s="74">
        <v>3909201</v>
      </c>
      <c r="BY21" s="74">
        <v>3721785</v>
      </c>
      <c r="BZ21" s="74">
        <v>3634770</v>
      </c>
      <c r="CA21" s="74">
        <v>3524196</v>
      </c>
      <c r="CB21" s="74">
        <v>3325657</v>
      </c>
      <c r="CC21" s="74">
        <v>3215545</v>
      </c>
      <c r="CD21" s="74">
        <v>3003351</v>
      </c>
      <c r="CE21" s="74">
        <v>2802665</v>
      </c>
      <c r="CF21" s="74">
        <v>2603441</v>
      </c>
      <c r="CG21" s="74">
        <v>2424925</v>
      </c>
      <c r="CH21" s="74">
        <v>2263396</v>
      </c>
      <c r="CI21" s="74">
        <v>2093593</v>
      </c>
      <c r="CJ21" s="74">
        <v>1961640</v>
      </c>
      <c r="CK21" s="74">
        <v>1918420</v>
      </c>
      <c r="CL21" s="74">
        <v>1324090</v>
      </c>
      <c r="CM21" s="74">
        <v>1206515</v>
      </c>
      <c r="CN21" s="74">
        <v>1078456</v>
      </c>
      <c r="CO21" s="74">
        <v>999828</v>
      </c>
      <c r="CP21" s="74">
        <v>781784</v>
      </c>
      <c r="CQ21" s="74">
        <v>632911</v>
      </c>
      <c r="CR21" s="74">
        <v>522911</v>
      </c>
      <c r="CS21" s="74">
        <v>423463</v>
      </c>
      <c r="CT21" s="74">
        <v>343909</v>
      </c>
      <c r="CU21" s="74">
        <v>264591</v>
      </c>
      <c r="CV21" s="74">
        <v>207007</v>
      </c>
      <c r="CW21" s="74">
        <v>159717</v>
      </c>
      <c r="CX21" s="74">
        <v>113132</v>
      </c>
      <c r="CY21" s="74">
        <v>84436</v>
      </c>
      <c r="CZ21" s="74">
        <v>143575</v>
      </c>
    </row>
    <row r="22" spans="1:104" ht="17.100000000000001">
      <c r="A22" s="69" t="s">
        <v>659</v>
      </c>
      <c r="B22" s="69">
        <v>2033</v>
      </c>
      <c r="C22" s="74">
        <v>366106294</v>
      </c>
      <c r="D22" s="74">
        <v>4214950</v>
      </c>
      <c r="E22" s="74">
        <v>4230679</v>
      </c>
      <c r="F22" s="74">
        <v>4246629</v>
      </c>
      <c r="G22" s="74">
        <v>4260685</v>
      </c>
      <c r="H22" s="74">
        <v>4272398</v>
      </c>
      <c r="I22" s="74">
        <v>4282369</v>
      </c>
      <c r="J22" s="74">
        <v>4290768</v>
      </c>
      <c r="K22" s="74">
        <v>4297218</v>
      </c>
      <c r="L22" s="74">
        <v>4301901</v>
      </c>
      <c r="M22" s="74">
        <v>4305083</v>
      </c>
      <c r="N22" s="74">
        <v>4307066</v>
      </c>
      <c r="O22" s="74">
        <v>4307195</v>
      </c>
      <c r="P22" s="74">
        <v>4304598</v>
      </c>
      <c r="Q22" s="74">
        <v>4298592</v>
      </c>
      <c r="R22" s="74">
        <v>4290127</v>
      </c>
      <c r="S22" s="74">
        <v>4282096</v>
      </c>
      <c r="T22" s="74">
        <v>4277522</v>
      </c>
      <c r="U22" s="74">
        <v>4278081</v>
      </c>
      <c r="V22" s="74">
        <v>4285303</v>
      </c>
      <c r="W22" s="74">
        <v>4298205</v>
      </c>
      <c r="X22" s="74">
        <v>4313732</v>
      </c>
      <c r="Y22" s="74">
        <v>4360394</v>
      </c>
      <c r="Z22" s="74">
        <v>4425560</v>
      </c>
      <c r="AA22" s="74">
        <v>4460073</v>
      </c>
      <c r="AB22" s="74">
        <v>4495451</v>
      </c>
      <c r="AC22" s="74">
        <v>4655565</v>
      </c>
      <c r="AD22" s="74">
        <v>4705415</v>
      </c>
      <c r="AE22" s="74">
        <v>4698451</v>
      </c>
      <c r="AF22" s="74">
        <v>4709123</v>
      </c>
      <c r="AG22" s="74">
        <v>4737239</v>
      </c>
      <c r="AH22" s="74">
        <v>4722629</v>
      </c>
      <c r="AI22" s="74">
        <v>4718097</v>
      </c>
      <c r="AJ22" s="74">
        <v>4825592</v>
      </c>
      <c r="AK22" s="74">
        <v>4891100</v>
      </c>
      <c r="AL22" s="74">
        <v>4822540</v>
      </c>
      <c r="AM22" s="74">
        <v>4819196</v>
      </c>
      <c r="AN22" s="74">
        <v>4820281</v>
      </c>
      <c r="AO22" s="74">
        <v>4836931</v>
      </c>
      <c r="AP22" s="74">
        <v>4906104</v>
      </c>
      <c r="AQ22" s="74">
        <v>4966679</v>
      </c>
      <c r="AR22" s="74">
        <v>5001703</v>
      </c>
      <c r="AS22" s="74">
        <v>5083151</v>
      </c>
      <c r="AT22" s="74">
        <v>5129776</v>
      </c>
      <c r="AU22" s="74">
        <v>5084831</v>
      </c>
      <c r="AV22" s="74">
        <v>4868197</v>
      </c>
      <c r="AW22" s="74">
        <v>4728438</v>
      </c>
      <c r="AX22" s="74">
        <v>4621076</v>
      </c>
      <c r="AY22" s="74">
        <v>4603693</v>
      </c>
      <c r="AZ22" s="74">
        <v>4602183</v>
      </c>
      <c r="BA22" s="74">
        <v>4436766</v>
      </c>
      <c r="BB22" s="74">
        <v>4467350</v>
      </c>
      <c r="BC22" s="74">
        <v>4440103</v>
      </c>
      <c r="BD22" s="74">
        <v>4366636</v>
      </c>
      <c r="BE22" s="74">
        <v>4417828</v>
      </c>
      <c r="BF22" s="74">
        <v>4134731</v>
      </c>
      <c r="BG22" s="74">
        <v>4029422</v>
      </c>
      <c r="BH22" s="74">
        <v>3965076</v>
      </c>
      <c r="BI22" s="74">
        <v>3827514</v>
      </c>
      <c r="BJ22" s="74">
        <v>3911664</v>
      </c>
      <c r="BK22" s="74">
        <v>3769917</v>
      </c>
      <c r="BL22" s="74">
        <v>3796572</v>
      </c>
      <c r="BM22" s="74">
        <v>3936222</v>
      </c>
      <c r="BN22" s="74">
        <v>4125899</v>
      </c>
      <c r="BO22" s="74">
        <v>4144276</v>
      </c>
      <c r="BP22" s="74">
        <v>3906363</v>
      </c>
      <c r="BQ22" s="74">
        <v>3792514</v>
      </c>
      <c r="BR22" s="74">
        <v>3764969</v>
      </c>
      <c r="BS22" s="74">
        <v>3793686</v>
      </c>
      <c r="BT22" s="74">
        <v>3971240</v>
      </c>
      <c r="BU22" s="74">
        <v>3998192</v>
      </c>
      <c r="BV22" s="74">
        <v>3945406</v>
      </c>
      <c r="BW22" s="74">
        <v>3886973</v>
      </c>
      <c r="BX22" s="74">
        <v>3875507</v>
      </c>
      <c r="BY22" s="74">
        <v>3839581</v>
      </c>
      <c r="BZ22" s="74">
        <v>3648207</v>
      </c>
      <c r="CA22" s="74">
        <v>3554905</v>
      </c>
      <c r="CB22" s="74">
        <v>3437943</v>
      </c>
      <c r="CC22" s="74">
        <v>3234890</v>
      </c>
      <c r="CD22" s="74">
        <v>3117569</v>
      </c>
      <c r="CE22" s="74">
        <v>2901349</v>
      </c>
      <c r="CF22" s="74">
        <v>2695842</v>
      </c>
      <c r="CG22" s="74">
        <v>2492298</v>
      </c>
      <c r="CH22" s="74">
        <v>2309553</v>
      </c>
      <c r="CI22" s="74">
        <v>2143075</v>
      </c>
      <c r="CJ22" s="74">
        <v>1969190</v>
      </c>
      <c r="CK22" s="74">
        <v>1831253</v>
      </c>
      <c r="CL22" s="74">
        <v>1776030</v>
      </c>
      <c r="CM22" s="74">
        <v>1214778</v>
      </c>
      <c r="CN22" s="74">
        <v>1095857</v>
      </c>
      <c r="CO22" s="74">
        <v>968728</v>
      </c>
      <c r="CP22" s="74">
        <v>887116</v>
      </c>
      <c r="CQ22" s="74">
        <v>684440</v>
      </c>
      <c r="CR22" s="74">
        <v>546085</v>
      </c>
      <c r="CS22" s="74">
        <v>444051</v>
      </c>
      <c r="CT22" s="74">
        <v>353415</v>
      </c>
      <c r="CU22" s="74">
        <v>281770</v>
      </c>
      <c r="CV22" s="74">
        <v>212515</v>
      </c>
      <c r="CW22" s="74">
        <v>162774</v>
      </c>
      <c r="CX22" s="74">
        <v>122777</v>
      </c>
      <c r="CY22" s="74">
        <v>84902</v>
      </c>
      <c r="CZ22" s="74">
        <v>145910</v>
      </c>
    </row>
    <row r="23" spans="1:104" ht="17.100000000000001">
      <c r="A23" s="69" t="s">
        <v>659</v>
      </c>
      <c r="B23" s="69">
        <v>2034</v>
      </c>
      <c r="C23" s="74">
        <v>368245560</v>
      </c>
      <c r="D23" s="74">
        <v>4220635</v>
      </c>
      <c r="E23" s="74">
        <v>4235121</v>
      </c>
      <c r="F23" s="74">
        <v>4250052</v>
      </c>
      <c r="G23" s="74">
        <v>4263453</v>
      </c>
      <c r="H23" s="74">
        <v>4275213</v>
      </c>
      <c r="I23" s="74">
        <v>4285465</v>
      </c>
      <c r="J23" s="74">
        <v>4294674</v>
      </c>
      <c r="K23" s="74">
        <v>4302760</v>
      </c>
      <c r="L23" s="74">
        <v>4309227</v>
      </c>
      <c r="M23" s="74">
        <v>4313882</v>
      </c>
      <c r="N23" s="74">
        <v>4317278</v>
      </c>
      <c r="O23" s="74">
        <v>4319153</v>
      </c>
      <c r="P23" s="74">
        <v>4319260</v>
      </c>
      <c r="Q23" s="74">
        <v>4317186</v>
      </c>
      <c r="R23" s="74">
        <v>4312908</v>
      </c>
      <c r="S23" s="74">
        <v>4307960</v>
      </c>
      <c r="T23" s="74">
        <v>4305421</v>
      </c>
      <c r="U23" s="74">
        <v>4307952</v>
      </c>
      <c r="V23" s="74">
        <v>4316144</v>
      </c>
      <c r="W23" s="74">
        <v>4329791</v>
      </c>
      <c r="X23" s="74">
        <v>4346933</v>
      </c>
      <c r="Y23" s="74">
        <v>4364799</v>
      </c>
      <c r="Z23" s="74">
        <v>4411876</v>
      </c>
      <c r="AA23" s="74">
        <v>4476301</v>
      </c>
      <c r="AB23" s="74">
        <v>4509348</v>
      </c>
      <c r="AC23" s="74">
        <v>4542579</v>
      </c>
      <c r="AD23" s="74">
        <v>4700377</v>
      </c>
      <c r="AE23" s="74">
        <v>4747642</v>
      </c>
      <c r="AF23" s="74">
        <v>4738041</v>
      </c>
      <c r="AG23" s="74">
        <v>4745758</v>
      </c>
      <c r="AH23" s="74">
        <v>4770673</v>
      </c>
      <c r="AI23" s="74">
        <v>4752366</v>
      </c>
      <c r="AJ23" s="74">
        <v>4744159</v>
      </c>
      <c r="AK23" s="74">
        <v>4848462</v>
      </c>
      <c r="AL23" s="74">
        <v>4911686</v>
      </c>
      <c r="AM23" s="74">
        <v>4841419</v>
      </c>
      <c r="AN23" s="74">
        <v>4836570</v>
      </c>
      <c r="AO23" s="74">
        <v>4836349</v>
      </c>
      <c r="AP23" s="74">
        <v>4851858</v>
      </c>
      <c r="AQ23" s="74">
        <v>4919685</v>
      </c>
      <c r="AR23" s="74">
        <v>4978506</v>
      </c>
      <c r="AS23" s="74">
        <v>5011413</v>
      </c>
      <c r="AT23" s="74">
        <v>5090598</v>
      </c>
      <c r="AU23" s="74">
        <v>5135393</v>
      </c>
      <c r="AV23" s="74">
        <v>5089087</v>
      </c>
      <c r="AW23" s="74">
        <v>4871482</v>
      </c>
      <c r="AX23" s="74">
        <v>4730548</v>
      </c>
      <c r="AY23" s="74">
        <v>4621850</v>
      </c>
      <c r="AZ23" s="74">
        <v>4602864</v>
      </c>
      <c r="BA23" s="74">
        <v>4599789</v>
      </c>
      <c r="BB23" s="74">
        <v>4433335</v>
      </c>
      <c r="BC23" s="74">
        <v>4462227</v>
      </c>
      <c r="BD23" s="74">
        <v>4433641</v>
      </c>
      <c r="BE23" s="74">
        <v>4359016</v>
      </c>
      <c r="BF23" s="74">
        <v>4408446</v>
      </c>
      <c r="BG23" s="74">
        <v>4125077</v>
      </c>
      <c r="BH23" s="74">
        <v>4018656</v>
      </c>
      <c r="BI23" s="74">
        <v>3953102</v>
      </c>
      <c r="BJ23" s="74">
        <v>3814724</v>
      </c>
      <c r="BK23" s="74">
        <v>3896943</v>
      </c>
      <c r="BL23" s="74">
        <v>3754593</v>
      </c>
      <c r="BM23" s="74">
        <v>3779412</v>
      </c>
      <c r="BN23" s="74">
        <v>3916264</v>
      </c>
      <c r="BO23" s="74">
        <v>4102247</v>
      </c>
      <c r="BP23" s="74">
        <v>4117667</v>
      </c>
      <c r="BQ23" s="74">
        <v>3878571</v>
      </c>
      <c r="BR23" s="74">
        <v>3761991</v>
      </c>
      <c r="BS23" s="74">
        <v>3730912</v>
      </c>
      <c r="BT23" s="74">
        <v>3754996</v>
      </c>
      <c r="BU23" s="74">
        <v>3925850</v>
      </c>
      <c r="BV23" s="74">
        <v>3947359</v>
      </c>
      <c r="BW23" s="74">
        <v>3889550</v>
      </c>
      <c r="BX23" s="74">
        <v>3825721</v>
      </c>
      <c r="BY23" s="74">
        <v>3807456</v>
      </c>
      <c r="BZ23" s="74">
        <v>3764295</v>
      </c>
      <c r="CA23" s="74">
        <v>3568783</v>
      </c>
      <c r="CB23" s="74">
        <v>3468747</v>
      </c>
      <c r="CC23" s="74">
        <v>3344922</v>
      </c>
      <c r="CD23" s="74">
        <v>3137209</v>
      </c>
      <c r="CE23" s="74">
        <v>3012413</v>
      </c>
      <c r="CF23" s="74">
        <v>2791555</v>
      </c>
      <c r="CG23" s="74">
        <v>2581543</v>
      </c>
      <c r="CH23" s="74">
        <v>2374581</v>
      </c>
      <c r="CI23" s="74">
        <v>2187695</v>
      </c>
      <c r="CJ23" s="74">
        <v>2016567</v>
      </c>
      <c r="CK23" s="74">
        <v>1839210</v>
      </c>
      <c r="CL23" s="74">
        <v>1696256</v>
      </c>
      <c r="CM23" s="74">
        <v>1630207</v>
      </c>
      <c r="CN23" s="74">
        <v>1104043</v>
      </c>
      <c r="CO23" s="74">
        <v>985046</v>
      </c>
      <c r="CP23" s="74">
        <v>860222</v>
      </c>
      <c r="CQ23" s="74">
        <v>777258</v>
      </c>
      <c r="CR23" s="74">
        <v>591024</v>
      </c>
      <c r="CS23" s="74">
        <v>464170</v>
      </c>
      <c r="CT23" s="74">
        <v>371033</v>
      </c>
      <c r="CU23" s="74">
        <v>289861</v>
      </c>
      <c r="CV23" s="74">
        <v>226571</v>
      </c>
      <c r="CW23" s="74">
        <v>167297</v>
      </c>
      <c r="CX23" s="74">
        <v>125281</v>
      </c>
      <c r="CY23" s="74">
        <v>92265</v>
      </c>
      <c r="CZ23" s="74">
        <v>147804</v>
      </c>
    </row>
    <row r="24" spans="1:104" ht="17.100000000000001">
      <c r="A24" s="69" t="s">
        <v>659</v>
      </c>
      <c r="B24" s="69">
        <v>2035</v>
      </c>
      <c r="C24" s="74">
        <v>370338137</v>
      </c>
      <c r="D24" s="74">
        <v>4227748</v>
      </c>
      <c r="E24" s="74">
        <v>4240984</v>
      </c>
      <c r="F24" s="74">
        <v>4254635</v>
      </c>
      <c r="G24" s="74">
        <v>4267001</v>
      </c>
      <c r="H24" s="74">
        <v>4278084</v>
      </c>
      <c r="I24" s="74">
        <v>4288369</v>
      </c>
      <c r="J24" s="74">
        <v>4297855</v>
      </c>
      <c r="K24" s="74">
        <v>4306741</v>
      </c>
      <c r="L24" s="74">
        <v>4314845</v>
      </c>
      <c r="M24" s="74">
        <v>4321281</v>
      </c>
      <c r="N24" s="74">
        <v>4326146</v>
      </c>
      <c r="O24" s="74">
        <v>4329437</v>
      </c>
      <c r="P24" s="74">
        <v>4331287</v>
      </c>
      <c r="Q24" s="74">
        <v>4331929</v>
      </c>
      <c r="R24" s="74">
        <v>4331587</v>
      </c>
      <c r="S24" s="74">
        <v>4330857</v>
      </c>
      <c r="T24" s="74">
        <v>4331452</v>
      </c>
      <c r="U24" s="74">
        <v>4336055</v>
      </c>
      <c r="V24" s="74">
        <v>4346259</v>
      </c>
      <c r="W24" s="74">
        <v>4360924</v>
      </c>
      <c r="X24" s="74">
        <v>4378852</v>
      </c>
      <c r="Y24" s="74">
        <v>4398370</v>
      </c>
      <c r="Z24" s="74">
        <v>4416639</v>
      </c>
      <c r="AA24" s="74">
        <v>4462991</v>
      </c>
      <c r="AB24" s="74">
        <v>4525918</v>
      </c>
      <c r="AC24" s="74">
        <v>4556824</v>
      </c>
      <c r="AD24" s="74">
        <v>4587818</v>
      </c>
      <c r="AE24" s="74">
        <v>4742927</v>
      </c>
      <c r="AF24" s="74">
        <v>4787503</v>
      </c>
      <c r="AG24" s="74">
        <v>4774985</v>
      </c>
      <c r="AH24" s="74">
        <v>4779472</v>
      </c>
      <c r="AI24" s="74">
        <v>4800686</v>
      </c>
      <c r="AJ24" s="74">
        <v>4778646</v>
      </c>
      <c r="AK24" s="74">
        <v>4767349</v>
      </c>
      <c r="AL24" s="74">
        <v>4869342</v>
      </c>
      <c r="AM24" s="74">
        <v>4930738</v>
      </c>
      <c r="AN24" s="74">
        <v>4858996</v>
      </c>
      <c r="AO24" s="74">
        <v>4852828</v>
      </c>
      <c r="AP24" s="74">
        <v>4851495</v>
      </c>
      <c r="AQ24" s="74">
        <v>4865720</v>
      </c>
      <c r="AR24" s="74">
        <v>4931750</v>
      </c>
      <c r="AS24" s="74">
        <v>4988406</v>
      </c>
      <c r="AT24" s="74">
        <v>5019197</v>
      </c>
      <c r="AU24" s="74">
        <v>5096462</v>
      </c>
      <c r="AV24" s="74">
        <v>5139817</v>
      </c>
      <c r="AW24" s="74">
        <v>5092267</v>
      </c>
      <c r="AX24" s="74">
        <v>4873646</v>
      </c>
      <c r="AY24" s="74">
        <v>4731317</v>
      </c>
      <c r="AZ24" s="74">
        <v>4621243</v>
      </c>
      <c r="BA24" s="74">
        <v>4600776</v>
      </c>
      <c r="BB24" s="74">
        <v>4596174</v>
      </c>
      <c r="BC24" s="74">
        <v>4428663</v>
      </c>
      <c r="BD24" s="74">
        <v>4455932</v>
      </c>
      <c r="BE24" s="74">
        <v>4426122</v>
      </c>
      <c r="BF24" s="74">
        <v>4350339</v>
      </c>
      <c r="BG24" s="74">
        <v>4397973</v>
      </c>
      <c r="BH24" s="74">
        <v>4114300</v>
      </c>
      <c r="BI24" s="74">
        <v>4006770</v>
      </c>
      <c r="BJ24" s="74">
        <v>3940067</v>
      </c>
      <c r="BK24" s="74">
        <v>3800971</v>
      </c>
      <c r="BL24" s="74">
        <v>3881237</v>
      </c>
      <c r="BM24" s="74">
        <v>3738191</v>
      </c>
      <c r="BN24" s="74">
        <v>3760910</v>
      </c>
      <c r="BO24" s="74">
        <v>3894587</v>
      </c>
      <c r="BP24" s="74">
        <v>4076564</v>
      </c>
      <c r="BQ24" s="74">
        <v>4088503</v>
      </c>
      <c r="BR24" s="74">
        <v>3847904</v>
      </c>
      <c r="BS24" s="74">
        <v>3728407</v>
      </c>
      <c r="BT24" s="74">
        <v>3693594</v>
      </c>
      <c r="BU24" s="74">
        <v>3712956</v>
      </c>
      <c r="BV24" s="74">
        <v>3876570</v>
      </c>
      <c r="BW24" s="74">
        <v>3892132</v>
      </c>
      <c r="BX24" s="74">
        <v>3828907</v>
      </c>
      <c r="BY24" s="74">
        <v>3759294</v>
      </c>
      <c r="BZ24" s="74">
        <v>3733775</v>
      </c>
      <c r="CA24" s="74">
        <v>3682973</v>
      </c>
      <c r="CB24" s="74">
        <v>3483024</v>
      </c>
      <c r="CC24" s="74">
        <v>3375744</v>
      </c>
      <c r="CD24" s="74">
        <v>3244736</v>
      </c>
      <c r="CE24" s="74">
        <v>3032282</v>
      </c>
      <c r="CF24" s="74">
        <v>2899147</v>
      </c>
      <c r="CG24" s="74">
        <v>2673990</v>
      </c>
      <c r="CH24" s="74">
        <v>2460445</v>
      </c>
      <c r="CI24" s="74">
        <v>2250181</v>
      </c>
      <c r="CJ24" s="74">
        <v>2059491</v>
      </c>
      <c r="CK24" s="74">
        <v>1884330</v>
      </c>
      <c r="CL24" s="74">
        <v>1704562</v>
      </c>
      <c r="CM24" s="74">
        <v>1557917</v>
      </c>
      <c r="CN24" s="74">
        <v>1482402</v>
      </c>
      <c r="CO24" s="74">
        <v>993062</v>
      </c>
      <c r="CP24" s="74">
        <v>875370</v>
      </c>
      <c r="CQ24" s="74">
        <v>754344</v>
      </c>
      <c r="CR24" s="74">
        <v>671729</v>
      </c>
      <c r="CS24" s="74">
        <v>502806</v>
      </c>
      <c r="CT24" s="74">
        <v>388237</v>
      </c>
      <c r="CU24" s="74">
        <v>304687</v>
      </c>
      <c r="CV24" s="74">
        <v>233324</v>
      </c>
      <c r="CW24" s="74">
        <v>178574</v>
      </c>
      <c r="CX24" s="74">
        <v>128920</v>
      </c>
      <c r="CY24" s="74">
        <v>94272</v>
      </c>
      <c r="CZ24" s="74">
        <v>154290</v>
      </c>
    </row>
    <row r="25" spans="1:104" ht="17.100000000000001">
      <c r="A25" s="69" t="s">
        <v>659</v>
      </c>
      <c r="B25" s="69">
        <v>2036</v>
      </c>
      <c r="C25" s="74">
        <v>372389679</v>
      </c>
      <c r="D25" s="74">
        <v>4235922</v>
      </c>
      <c r="E25" s="74">
        <v>4248266</v>
      </c>
      <c r="F25" s="74">
        <v>4260634</v>
      </c>
      <c r="G25" s="74">
        <v>4271700</v>
      </c>
      <c r="H25" s="74">
        <v>4281738</v>
      </c>
      <c r="I25" s="74">
        <v>4291328</v>
      </c>
      <c r="J25" s="74">
        <v>4300837</v>
      </c>
      <c r="K25" s="74">
        <v>4310005</v>
      </c>
      <c r="L25" s="74">
        <v>4318909</v>
      </c>
      <c r="M25" s="74">
        <v>4326981</v>
      </c>
      <c r="N25" s="74">
        <v>4333623</v>
      </c>
      <c r="O25" s="74">
        <v>4338377</v>
      </c>
      <c r="P25" s="74">
        <v>4341637</v>
      </c>
      <c r="Q25" s="74">
        <v>4344020</v>
      </c>
      <c r="R25" s="74">
        <v>4346410</v>
      </c>
      <c r="S25" s="74">
        <v>4349633</v>
      </c>
      <c r="T25" s="74">
        <v>4354484</v>
      </c>
      <c r="U25" s="74">
        <v>4362274</v>
      </c>
      <c r="V25" s="74">
        <v>4374602</v>
      </c>
      <c r="W25" s="74">
        <v>4391320</v>
      </c>
      <c r="X25" s="74">
        <v>4410296</v>
      </c>
      <c r="Y25" s="74">
        <v>4430626</v>
      </c>
      <c r="Z25" s="74">
        <v>4450582</v>
      </c>
      <c r="AA25" s="74">
        <v>4468122</v>
      </c>
      <c r="AB25" s="74">
        <v>4512981</v>
      </c>
      <c r="AC25" s="74">
        <v>4573723</v>
      </c>
      <c r="AD25" s="74">
        <v>4602389</v>
      </c>
      <c r="AE25" s="74">
        <v>4630779</v>
      </c>
      <c r="AF25" s="74">
        <v>4783110</v>
      </c>
      <c r="AG25" s="74">
        <v>4824718</v>
      </c>
      <c r="AH25" s="74">
        <v>4808995</v>
      </c>
      <c r="AI25" s="74">
        <v>4809764</v>
      </c>
      <c r="AJ25" s="74">
        <v>4827232</v>
      </c>
      <c r="AK25" s="74">
        <v>4802044</v>
      </c>
      <c r="AL25" s="74">
        <v>4788523</v>
      </c>
      <c r="AM25" s="74">
        <v>4888686</v>
      </c>
      <c r="AN25" s="74">
        <v>4948499</v>
      </c>
      <c r="AO25" s="74">
        <v>4875453</v>
      </c>
      <c r="AP25" s="74">
        <v>4868157</v>
      </c>
      <c r="AQ25" s="74">
        <v>4865578</v>
      </c>
      <c r="AR25" s="74">
        <v>4878088</v>
      </c>
      <c r="AS25" s="74">
        <v>4941917</v>
      </c>
      <c r="AT25" s="74">
        <v>4996413</v>
      </c>
      <c r="AU25" s="74">
        <v>5025439</v>
      </c>
      <c r="AV25" s="74">
        <v>5101166</v>
      </c>
      <c r="AW25" s="74">
        <v>5143203</v>
      </c>
      <c r="AX25" s="74">
        <v>5094338</v>
      </c>
      <c r="AY25" s="74">
        <v>4874485</v>
      </c>
      <c r="AZ25" s="74">
        <v>4730731</v>
      </c>
      <c r="BA25" s="74">
        <v>4619396</v>
      </c>
      <c r="BB25" s="74">
        <v>4597503</v>
      </c>
      <c r="BC25" s="74">
        <v>4591349</v>
      </c>
      <c r="BD25" s="74">
        <v>4422882</v>
      </c>
      <c r="BE25" s="74">
        <v>4448622</v>
      </c>
      <c r="BF25" s="74">
        <v>4417574</v>
      </c>
      <c r="BG25" s="74">
        <v>4340638</v>
      </c>
      <c r="BH25" s="74">
        <v>4386370</v>
      </c>
      <c r="BI25" s="74">
        <v>4102428</v>
      </c>
      <c r="BJ25" s="74">
        <v>3993857</v>
      </c>
      <c r="BK25" s="74">
        <v>3926097</v>
      </c>
      <c r="BL25" s="74">
        <v>3786313</v>
      </c>
      <c r="BM25" s="74">
        <v>3864469</v>
      </c>
      <c r="BN25" s="74">
        <v>3720498</v>
      </c>
      <c r="BO25" s="74">
        <v>3740782</v>
      </c>
      <c r="BP25" s="74">
        <v>3871018</v>
      </c>
      <c r="BQ25" s="74">
        <v>4048396</v>
      </c>
      <c r="BR25" s="74">
        <v>4056393</v>
      </c>
      <c r="BS25" s="74">
        <v>3814163</v>
      </c>
      <c r="BT25" s="74">
        <v>3691597</v>
      </c>
      <c r="BU25" s="74">
        <v>3653030</v>
      </c>
      <c r="BV25" s="74">
        <v>3667284</v>
      </c>
      <c r="BW25" s="74">
        <v>3823049</v>
      </c>
      <c r="BX25" s="74">
        <v>3832198</v>
      </c>
      <c r="BY25" s="74">
        <v>3763170</v>
      </c>
      <c r="BZ25" s="74">
        <v>3687397</v>
      </c>
      <c r="CA25" s="74">
        <v>3654214</v>
      </c>
      <c r="CB25" s="74">
        <v>3595253</v>
      </c>
      <c r="CC25" s="74">
        <v>3390518</v>
      </c>
      <c r="CD25" s="74">
        <v>3275606</v>
      </c>
      <c r="CE25" s="74">
        <v>3137163</v>
      </c>
      <c r="CF25" s="74">
        <v>2919248</v>
      </c>
      <c r="CG25" s="74">
        <v>2777884</v>
      </c>
      <c r="CH25" s="74">
        <v>2549479</v>
      </c>
      <c r="CI25" s="74">
        <v>2332513</v>
      </c>
      <c r="CJ25" s="74">
        <v>2119345</v>
      </c>
      <c r="CK25" s="74">
        <v>1925522</v>
      </c>
      <c r="CL25" s="74">
        <v>1747395</v>
      </c>
      <c r="CM25" s="74">
        <v>1566626</v>
      </c>
      <c r="CN25" s="74">
        <v>1417740</v>
      </c>
      <c r="CO25" s="74">
        <v>1334326</v>
      </c>
      <c r="CP25" s="74">
        <v>883259</v>
      </c>
      <c r="CQ25" s="74">
        <v>768379</v>
      </c>
      <c r="CR25" s="74">
        <v>652656</v>
      </c>
      <c r="CS25" s="74">
        <v>572091</v>
      </c>
      <c r="CT25" s="74">
        <v>421040</v>
      </c>
      <c r="CU25" s="74">
        <v>319248</v>
      </c>
      <c r="CV25" s="74">
        <v>245668</v>
      </c>
      <c r="CW25" s="74">
        <v>184167</v>
      </c>
      <c r="CX25" s="74">
        <v>137832</v>
      </c>
      <c r="CY25" s="74">
        <v>97173</v>
      </c>
      <c r="CZ25" s="74">
        <v>160124</v>
      </c>
    </row>
    <row r="26" spans="1:104" ht="17.100000000000001">
      <c r="A26" s="69" t="s">
        <v>659</v>
      </c>
      <c r="B26" s="69">
        <v>2037</v>
      </c>
      <c r="C26" s="74">
        <v>374401359</v>
      </c>
      <c r="D26" s="74">
        <v>4244914</v>
      </c>
      <c r="E26" s="74">
        <v>4256601</v>
      </c>
      <c r="F26" s="74">
        <v>4268043</v>
      </c>
      <c r="G26" s="74">
        <v>4277812</v>
      </c>
      <c r="H26" s="74">
        <v>4286539</v>
      </c>
      <c r="I26" s="74">
        <v>4295076</v>
      </c>
      <c r="J26" s="74">
        <v>4303886</v>
      </c>
      <c r="K26" s="74">
        <v>4313065</v>
      </c>
      <c r="L26" s="74">
        <v>4322246</v>
      </c>
      <c r="M26" s="74">
        <v>4331115</v>
      </c>
      <c r="N26" s="74">
        <v>4339388</v>
      </c>
      <c r="O26" s="74">
        <v>4345919</v>
      </c>
      <c r="P26" s="74">
        <v>4350642</v>
      </c>
      <c r="Q26" s="74">
        <v>4354447</v>
      </c>
      <c r="R26" s="74">
        <v>4358599</v>
      </c>
      <c r="S26" s="74">
        <v>4364570</v>
      </c>
      <c r="T26" s="74">
        <v>4373405</v>
      </c>
      <c r="U26" s="74">
        <v>4385493</v>
      </c>
      <c r="V26" s="74">
        <v>4401064</v>
      </c>
      <c r="W26" s="74">
        <v>4419963</v>
      </c>
      <c r="X26" s="74">
        <v>4441027</v>
      </c>
      <c r="Y26" s="74">
        <v>4462418</v>
      </c>
      <c r="Z26" s="74">
        <v>4483186</v>
      </c>
      <c r="AA26" s="74">
        <v>4502428</v>
      </c>
      <c r="AB26" s="74">
        <v>4518460</v>
      </c>
      <c r="AC26" s="74">
        <v>4561129</v>
      </c>
      <c r="AD26" s="74">
        <v>4619585</v>
      </c>
      <c r="AE26" s="74">
        <v>4645654</v>
      </c>
      <c r="AF26" s="74">
        <v>4671357</v>
      </c>
      <c r="AG26" s="74">
        <v>4820608</v>
      </c>
      <c r="AH26" s="74">
        <v>4858966</v>
      </c>
      <c r="AI26" s="74">
        <v>4839538</v>
      </c>
      <c r="AJ26" s="74">
        <v>4836549</v>
      </c>
      <c r="AK26" s="74">
        <v>4850873</v>
      </c>
      <c r="AL26" s="74">
        <v>4823416</v>
      </c>
      <c r="AM26" s="74">
        <v>4808156</v>
      </c>
      <c r="AN26" s="74">
        <v>4906714</v>
      </c>
      <c r="AO26" s="74">
        <v>4965126</v>
      </c>
      <c r="AP26" s="74">
        <v>4890998</v>
      </c>
      <c r="AQ26" s="74">
        <v>4882438</v>
      </c>
      <c r="AR26" s="74">
        <v>4878168</v>
      </c>
      <c r="AS26" s="74">
        <v>4888547</v>
      </c>
      <c r="AT26" s="74">
        <v>4950181</v>
      </c>
      <c r="AU26" s="74">
        <v>5002866</v>
      </c>
      <c r="AV26" s="74">
        <v>5030523</v>
      </c>
      <c r="AW26" s="74">
        <v>5104818</v>
      </c>
      <c r="AX26" s="74">
        <v>5145458</v>
      </c>
      <c r="AY26" s="74">
        <v>5095048</v>
      </c>
      <c r="AZ26" s="74">
        <v>4873944</v>
      </c>
      <c r="BA26" s="74">
        <v>4728883</v>
      </c>
      <c r="BB26" s="74">
        <v>4616362</v>
      </c>
      <c r="BC26" s="74">
        <v>4593018</v>
      </c>
      <c r="BD26" s="74">
        <v>4585379</v>
      </c>
      <c r="BE26" s="74">
        <v>4416096</v>
      </c>
      <c r="BF26" s="74">
        <v>4440288</v>
      </c>
      <c r="BG26" s="74">
        <v>4408006</v>
      </c>
      <c r="BH26" s="74">
        <v>4329814</v>
      </c>
      <c r="BI26" s="74">
        <v>4373611</v>
      </c>
      <c r="BJ26" s="74">
        <v>4089504</v>
      </c>
      <c r="BK26" s="74">
        <v>3979998</v>
      </c>
      <c r="BL26" s="74">
        <v>3911188</v>
      </c>
      <c r="BM26" s="74">
        <v>3770621</v>
      </c>
      <c r="BN26" s="74">
        <v>3846378</v>
      </c>
      <c r="BO26" s="74">
        <v>3701196</v>
      </c>
      <c r="BP26" s="74">
        <v>3718822</v>
      </c>
      <c r="BQ26" s="74">
        <v>3845065</v>
      </c>
      <c r="BR26" s="74">
        <v>4017292</v>
      </c>
      <c r="BS26" s="74">
        <v>4021061</v>
      </c>
      <c r="BT26" s="74">
        <v>3777145</v>
      </c>
      <c r="BU26" s="74">
        <v>3651557</v>
      </c>
      <c r="BV26" s="74">
        <v>3608899</v>
      </c>
      <c r="BW26" s="74">
        <v>3617582</v>
      </c>
      <c r="BX26" s="74">
        <v>3764885</v>
      </c>
      <c r="BY26" s="74">
        <v>3767174</v>
      </c>
      <c r="BZ26" s="74">
        <v>3691977</v>
      </c>
      <c r="CA26" s="74">
        <v>3609699</v>
      </c>
      <c r="CB26" s="74">
        <v>3568300</v>
      </c>
      <c r="CC26" s="74">
        <v>3500579</v>
      </c>
      <c r="CD26" s="74">
        <v>3290836</v>
      </c>
      <c r="CE26" s="74">
        <v>3168002</v>
      </c>
      <c r="CF26" s="74">
        <v>3021162</v>
      </c>
      <c r="CG26" s="74">
        <v>2798129</v>
      </c>
      <c r="CH26" s="74">
        <v>2649404</v>
      </c>
      <c r="CI26" s="74">
        <v>2417891</v>
      </c>
      <c r="CJ26" s="74">
        <v>2197898</v>
      </c>
      <c r="CK26" s="74">
        <v>1982530</v>
      </c>
      <c r="CL26" s="74">
        <v>1786703</v>
      </c>
      <c r="CM26" s="74">
        <v>1607017</v>
      </c>
      <c r="CN26" s="74">
        <v>1426733</v>
      </c>
      <c r="CO26" s="74">
        <v>1277200</v>
      </c>
      <c r="CP26" s="74">
        <v>1187705</v>
      </c>
      <c r="CQ26" s="74">
        <v>776025</v>
      </c>
      <c r="CR26" s="74">
        <v>665506</v>
      </c>
      <c r="CS26" s="74">
        <v>556516</v>
      </c>
      <c r="CT26" s="74">
        <v>479614</v>
      </c>
      <c r="CU26" s="74">
        <v>346647</v>
      </c>
      <c r="CV26" s="74">
        <v>257773</v>
      </c>
      <c r="CW26" s="74">
        <v>194251</v>
      </c>
      <c r="CX26" s="74">
        <v>142370</v>
      </c>
      <c r="CY26" s="74">
        <v>104065</v>
      </c>
      <c r="CZ26" s="74">
        <v>166037</v>
      </c>
    </row>
    <row r="27" spans="1:104" ht="17.100000000000001">
      <c r="A27" s="69" t="s">
        <v>659</v>
      </c>
      <c r="B27" s="69">
        <v>2038</v>
      </c>
      <c r="C27" s="74">
        <v>376375103</v>
      </c>
      <c r="D27" s="74">
        <v>4254616</v>
      </c>
      <c r="E27" s="74">
        <v>4265747</v>
      </c>
      <c r="F27" s="74">
        <v>4276512</v>
      </c>
      <c r="G27" s="74">
        <v>4285334</v>
      </c>
      <c r="H27" s="74">
        <v>4292755</v>
      </c>
      <c r="I27" s="74">
        <v>4299965</v>
      </c>
      <c r="J27" s="74">
        <v>4307709</v>
      </c>
      <c r="K27" s="74">
        <v>4316189</v>
      </c>
      <c r="L27" s="74">
        <v>4325381</v>
      </c>
      <c r="M27" s="74">
        <v>4334529</v>
      </c>
      <c r="N27" s="74">
        <v>4343588</v>
      </c>
      <c r="O27" s="74">
        <v>4351742</v>
      </c>
      <c r="P27" s="74">
        <v>4358258</v>
      </c>
      <c r="Q27" s="74">
        <v>4363531</v>
      </c>
      <c r="R27" s="74">
        <v>4369101</v>
      </c>
      <c r="S27" s="74">
        <v>4376873</v>
      </c>
      <c r="T27" s="74">
        <v>4388488</v>
      </c>
      <c r="U27" s="74">
        <v>4404602</v>
      </c>
      <c r="V27" s="74">
        <v>4424509</v>
      </c>
      <c r="W27" s="74">
        <v>4446691</v>
      </c>
      <c r="X27" s="74">
        <v>4469965</v>
      </c>
      <c r="Y27" s="74">
        <v>4493470</v>
      </c>
      <c r="Z27" s="74">
        <v>4515319</v>
      </c>
      <c r="AA27" s="74">
        <v>4535380</v>
      </c>
      <c r="AB27" s="74">
        <v>4553122</v>
      </c>
      <c r="AC27" s="74">
        <v>4566945</v>
      </c>
      <c r="AD27" s="74">
        <v>4607323</v>
      </c>
      <c r="AE27" s="74">
        <v>4663130</v>
      </c>
      <c r="AF27" s="74">
        <v>4686494</v>
      </c>
      <c r="AG27" s="74">
        <v>4709211</v>
      </c>
      <c r="AH27" s="74">
        <v>4855128</v>
      </c>
      <c r="AI27" s="74">
        <v>4889734</v>
      </c>
      <c r="AJ27" s="74">
        <v>4866567</v>
      </c>
      <c r="AK27" s="74">
        <v>4860405</v>
      </c>
      <c r="AL27" s="74">
        <v>4872464</v>
      </c>
      <c r="AM27" s="74">
        <v>4843242</v>
      </c>
      <c r="AN27" s="74">
        <v>4826479</v>
      </c>
      <c r="AO27" s="74">
        <v>4923606</v>
      </c>
      <c r="AP27" s="74">
        <v>4980807</v>
      </c>
      <c r="AQ27" s="74">
        <v>4905458</v>
      </c>
      <c r="AR27" s="74">
        <v>4895206</v>
      </c>
      <c r="AS27" s="74">
        <v>4888831</v>
      </c>
      <c r="AT27" s="74">
        <v>4897090</v>
      </c>
      <c r="AU27" s="74">
        <v>4956887</v>
      </c>
      <c r="AV27" s="74">
        <v>5008152</v>
      </c>
      <c r="AW27" s="74">
        <v>5034571</v>
      </c>
      <c r="AX27" s="74">
        <v>5107367</v>
      </c>
      <c r="AY27" s="74">
        <v>5146362</v>
      </c>
      <c r="AZ27" s="74">
        <v>5094357</v>
      </c>
      <c r="BA27" s="74">
        <v>4872134</v>
      </c>
      <c r="BB27" s="74">
        <v>4725855</v>
      </c>
      <c r="BC27" s="74">
        <v>4612133</v>
      </c>
      <c r="BD27" s="74">
        <v>4587391</v>
      </c>
      <c r="BE27" s="74">
        <v>4578386</v>
      </c>
      <c r="BF27" s="74">
        <v>4408304</v>
      </c>
      <c r="BG27" s="74">
        <v>4430947</v>
      </c>
      <c r="BH27" s="74">
        <v>4397315</v>
      </c>
      <c r="BI27" s="74">
        <v>4317861</v>
      </c>
      <c r="BJ27" s="74">
        <v>4359752</v>
      </c>
      <c r="BK27" s="74">
        <v>4075632</v>
      </c>
      <c r="BL27" s="74">
        <v>3965208</v>
      </c>
      <c r="BM27" s="74">
        <v>3895223</v>
      </c>
      <c r="BN27" s="74">
        <v>3753649</v>
      </c>
      <c r="BO27" s="74">
        <v>3826648</v>
      </c>
      <c r="BP27" s="74">
        <v>3680097</v>
      </c>
      <c r="BQ27" s="74">
        <v>3694583</v>
      </c>
      <c r="BR27" s="74">
        <v>3816320</v>
      </c>
      <c r="BS27" s="74">
        <v>3983015</v>
      </c>
      <c r="BT27" s="74">
        <v>3982306</v>
      </c>
      <c r="BU27" s="74">
        <v>3736841</v>
      </c>
      <c r="BV27" s="74">
        <v>3607964</v>
      </c>
      <c r="BW27" s="74">
        <v>3560800</v>
      </c>
      <c r="BX27" s="74">
        <v>3563467</v>
      </c>
      <c r="BY27" s="74">
        <v>3701721</v>
      </c>
      <c r="BZ27" s="74">
        <v>3696678</v>
      </c>
      <c r="CA27" s="74">
        <v>3614973</v>
      </c>
      <c r="CB27" s="74">
        <v>3525725</v>
      </c>
      <c r="CC27" s="74">
        <v>3475474</v>
      </c>
      <c r="CD27" s="74">
        <v>3398518</v>
      </c>
      <c r="CE27" s="74">
        <v>3183660</v>
      </c>
      <c r="CF27" s="74">
        <v>3051858</v>
      </c>
      <c r="CG27" s="74">
        <v>2896769</v>
      </c>
      <c r="CH27" s="74">
        <v>2669731</v>
      </c>
      <c r="CI27" s="74">
        <v>2513568</v>
      </c>
      <c r="CJ27" s="74">
        <v>2279373</v>
      </c>
      <c r="CK27" s="74">
        <v>2057077</v>
      </c>
      <c r="CL27" s="74">
        <v>1840681</v>
      </c>
      <c r="CM27" s="74">
        <v>1644285</v>
      </c>
      <c r="CN27" s="74">
        <v>1464564</v>
      </c>
      <c r="CO27" s="74">
        <v>1286365</v>
      </c>
      <c r="CP27" s="74">
        <v>1137908</v>
      </c>
      <c r="CQ27" s="74">
        <v>1044398</v>
      </c>
      <c r="CR27" s="74">
        <v>672808</v>
      </c>
      <c r="CS27" s="74">
        <v>568138</v>
      </c>
      <c r="CT27" s="74">
        <v>467176</v>
      </c>
      <c r="CU27" s="74">
        <v>395352</v>
      </c>
      <c r="CV27" s="74">
        <v>280258</v>
      </c>
      <c r="CW27" s="74">
        <v>204125</v>
      </c>
      <c r="CX27" s="74">
        <v>150449</v>
      </c>
      <c r="CY27" s="74">
        <v>107670</v>
      </c>
      <c r="CZ27" s="74">
        <v>174778</v>
      </c>
    </row>
    <row r="28" spans="1:104" ht="17.100000000000001">
      <c r="A28" s="69" t="s">
        <v>659</v>
      </c>
      <c r="B28" s="69">
        <v>2039</v>
      </c>
      <c r="C28" s="74">
        <v>378313410</v>
      </c>
      <c r="D28" s="74">
        <v>4265131</v>
      </c>
      <c r="E28" s="74">
        <v>4275611</v>
      </c>
      <c r="F28" s="74">
        <v>4285791</v>
      </c>
      <c r="G28" s="74">
        <v>4293912</v>
      </c>
      <c r="H28" s="74">
        <v>4300368</v>
      </c>
      <c r="I28" s="74">
        <v>4306268</v>
      </c>
      <c r="J28" s="74">
        <v>4312672</v>
      </c>
      <c r="K28" s="74">
        <v>4320087</v>
      </c>
      <c r="L28" s="74">
        <v>4328579</v>
      </c>
      <c r="M28" s="74">
        <v>4337732</v>
      </c>
      <c r="N28" s="74">
        <v>4347070</v>
      </c>
      <c r="O28" s="74">
        <v>4356004</v>
      </c>
      <c r="P28" s="74">
        <v>4364143</v>
      </c>
      <c r="Q28" s="74">
        <v>4371207</v>
      </c>
      <c r="R28" s="74">
        <v>4378256</v>
      </c>
      <c r="S28" s="74">
        <v>4387465</v>
      </c>
      <c r="T28" s="74">
        <v>4400927</v>
      </c>
      <c r="U28" s="74">
        <v>4419865</v>
      </c>
      <c r="V28" s="74">
        <v>4443840</v>
      </c>
      <c r="W28" s="74">
        <v>4470408</v>
      </c>
      <c r="X28" s="74">
        <v>4496994</v>
      </c>
      <c r="Y28" s="74">
        <v>4522725</v>
      </c>
      <c r="Z28" s="74">
        <v>4546695</v>
      </c>
      <c r="AA28" s="74">
        <v>4567835</v>
      </c>
      <c r="AB28" s="74">
        <v>4586388</v>
      </c>
      <c r="AC28" s="74">
        <v>4601933</v>
      </c>
      <c r="AD28" s="74">
        <v>4613453</v>
      </c>
      <c r="AE28" s="74">
        <v>4651172</v>
      </c>
      <c r="AF28" s="74">
        <v>4704235</v>
      </c>
      <c r="AG28" s="74">
        <v>4724605</v>
      </c>
      <c r="AH28" s="74">
        <v>4744064</v>
      </c>
      <c r="AI28" s="74">
        <v>4886123</v>
      </c>
      <c r="AJ28" s="74">
        <v>4916942</v>
      </c>
      <c r="AK28" s="74">
        <v>4890636</v>
      </c>
      <c r="AL28" s="74">
        <v>4882204</v>
      </c>
      <c r="AM28" s="74">
        <v>4892504</v>
      </c>
      <c r="AN28" s="74">
        <v>4861742</v>
      </c>
      <c r="AO28" s="74">
        <v>4843653</v>
      </c>
      <c r="AP28" s="74">
        <v>4939550</v>
      </c>
      <c r="AQ28" s="74">
        <v>4995411</v>
      </c>
      <c r="AR28" s="74">
        <v>4918420</v>
      </c>
      <c r="AS28" s="74">
        <v>4906037</v>
      </c>
      <c r="AT28" s="74">
        <v>4897578</v>
      </c>
      <c r="AU28" s="74">
        <v>4904084</v>
      </c>
      <c r="AV28" s="74">
        <v>4962452</v>
      </c>
      <c r="AW28" s="74">
        <v>5012426</v>
      </c>
      <c r="AX28" s="74">
        <v>5037526</v>
      </c>
      <c r="AY28" s="74">
        <v>5108566</v>
      </c>
      <c r="AZ28" s="74">
        <v>5145849</v>
      </c>
      <c r="BA28" s="74">
        <v>5092369</v>
      </c>
      <c r="BB28" s="74">
        <v>4869122</v>
      </c>
      <c r="BC28" s="74">
        <v>4721608</v>
      </c>
      <c r="BD28" s="74">
        <v>4606761</v>
      </c>
      <c r="BE28" s="74">
        <v>4580751</v>
      </c>
      <c r="BF28" s="74">
        <v>4570381</v>
      </c>
      <c r="BG28" s="74">
        <v>4399512</v>
      </c>
      <c r="BH28" s="74">
        <v>4420472</v>
      </c>
      <c r="BI28" s="74">
        <v>4385488</v>
      </c>
      <c r="BJ28" s="74">
        <v>4304836</v>
      </c>
      <c r="BK28" s="74">
        <v>4344877</v>
      </c>
      <c r="BL28" s="74">
        <v>4060806</v>
      </c>
      <c r="BM28" s="74">
        <v>3949361</v>
      </c>
      <c r="BN28" s="74">
        <v>3877948</v>
      </c>
      <c r="BO28" s="74">
        <v>3735075</v>
      </c>
      <c r="BP28" s="74">
        <v>3805066</v>
      </c>
      <c r="BQ28" s="74">
        <v>3656734</v>
      </c>
      <c r="BR28" s="74">
        <v>3667651</v>
      </c>
      <c r="BS28" s="74">
        <v>3784543</v>
      </c>
      <c r="BT28" s="74">
        <v>3945361</v>
      </c>
      <c r="BU28" s="74">
        <v>3940119</v>
      </c>
      <c r="BV28" s="74">
        <v>3692912</v>
      </c>
      <c r="BW28" s="74">
        <v>3560416</v>
      </c>
      <c r="BX28" s="74">
        <v>3508378</v>
      </c>
      <c r="BY28" s="74">
        <v>3504607</v>
      </c>
      <c r="BZ28" s="74">
        <v>3633192</v>
      </c>
      <c r="CA28" s="74">
        <v>3620389</v>
      </c>
      <c r="CB28" s="74">
        <v>3531702</v>
      </c>
      <c r="CC28" s="74">
        <v>3434924</v>
      </c>
      <c r="CD28" s="74">
        <v>3375304</v>
      </c>
      <c r="CE28" s="74">
        <v>3288712</v>
      </c>
      <c r="CF28" s="74">
        <v>3067865</v>
      </c>
      <c r="CG28" s="74">
        <v>2927197</v>
      </c>
      <c r="CH28" s="74">
        <v>2764841</v>
      </c>
      <c r="CI28" s="74">
        <v>2533913</v>
      </c>
      <c r="CJ28" s="74">
        <v>2370536</v>
      </c>
      <c r="CK28" s="74">
        <v>2134402</v>
      </c>
      <c r="CL28" s="74">
        <v>1910983</v>
      </c>
      <c r="CM28" s="74">
        <v>1695035</v>
      </c>
      <c r="CN28" s="74">
        <v>1499646</v>
      </c>
      <c r="CO28" s="74">
        <v>1321511</v>
      </c>
      <c r="CP28" s="74">
        <v>1147126</v>
      </c>
      <c r="CQ28" s="74">
        <v>1001631</v>
      </c>
      <c r="CR28" s="74">
        <v>906329</v>
      </c>
      <c r="CS28" s="74">
        <v>574986</v>
      </c>
      <c r="CT28" s="74">
        <v>477529</v>
      </c>
      <c r="CU28" s="74">
        <v>385649</v>
      </c>
      <c r="CV28" s="74">
        <v>320054</v>
      </c>
      <c r="CW28" s="74">
        <v>222241</v>
      </c>
      <c r="CX28" s="74">
        <v>158346</v>
      </c>
      <c r="CY28" s="74">
        <v>114005</v>
      </c>
      <c r="CZ28" s="74">
        <v>183070</v>
      </c>
    </row>
    <row r="29" spans="1:104" ht="17.100000000000001">
      <c r="A29" s="69" t="s">
        <v>659</v>
      </c>
      <c r="B29" s="69">
        <v>2040</v>
      </c>
      <c r="C29" s="74">
        <v>380219202</v>
      </c>
      <c r="D29" s="74">
        <v>4276345</v>
      </c>
      <c r="E29" s="74">
        <v>4286271</v>
      </c>
      <c r="F29" s="74">
        <v>4295781</v>
      </c>
      <c r="G29" s="74">
        <v>4303288</v>
      </c>
      <c r="H29" s="74">
        <v>4309036</v>
      </c>
      <c r="I29" s="74">
        <v>4313960</v>
      </c>
      <c r="J29" s="74">
        <v>4319048</v>
      </c>
      <c r="K29" s="74">
        <v>4325113</v>
      </c>
      <c r="L29" s="74">
        <v>4332539</v>
      </c>
      <c r="M29" s="74">
        <v>4340993</v>
      </c>
      <c r="N29" s="74">
        <v>4350329</v>
      </c>
      <c r="O29" s="74">
        <v>4359555</v>
      </c>
      <c r="P29" s="74">
        <v>4368471</v>
      </c>
      <c r="Q29" s="74">
        <v>4377161</v>
      </c>
      <c r="R29" s="74">
        <v>4386013</v>
      </c>
      <c r="S29" s="74">
        <v>4396713</v>
      </c>
      <c r="T29" s="74">
        <v>4411630</v>
      </c>
      <c r="U29" s="74">
        <v>4432471</v>
      </c>
      <c r="V29" s="74">
        <v>4459327</v>
      </c>
      <c r="W29" s="74">
        <v>4489998</v>
      </c>
      <c r="X29" s="74">
        <v>4521002</v>
      </c>
      <c r="Y29" s="74">
        <v>4550059</v>
      </c>
      <c r="Z29" s="74">
        <v>4576274</v>
      </c>
      <c r="AA29" s="74">
        <v>4599554</v>
      </c>
      <c r="AB29" s="74">
        <v>4619178</v>
      </c>
      <c r="AC29" s="74">
        <v>4635516</v>
      </c>
      <c r="AD29" s="74">
        <v>4648754</v>
      </c>
      <c r="AE29" s="74">
        <v>4657589</v>
      </c>
      <c r="AF29" s="74">
        <v>4692564</v>
      </c>
      <c r="AG29" s="74">
        <v>4742583</v>
      </c>
      <c r="AH29" s="74">
        <v>4759686</v>
      </c>
      <c r="AI29" s="74">
        <v>4775374</v>
      </c>
      <c r="AJ29" s="74">
        <v>4913541</v>
      </c>
      <c r="AK29" s="74">
        <v>4941176</v>
      </c>
      <c r="AL29" s="74">
        <v>4912628</v>
      </c>
      <c r="AM29" s="74">
        <v>4902427</v>
      </c>
      <c r="AN29" s="74">
        <v>4911194</v>
      </c>
      <c r="AO29" s="74">
        <v>4879080</v>
      </c>
      <c r="AP29" s="74">
        <v>4859878</v>
      </c>
      <c r="AQ29" s="74">
        <v>4954414</v>
      </c>
      <c r="AR29" s="74">
        <v>5008495</v>
      </c>
      <c r="AS29" s="74">
        <v>4929432</v>
      </c>
      <c r="AT29" s="74">
        <v>4914947</v>
      </c>
      <c r="AU29" s="74">
        <v>4904764</v>
      </c>
      <c r="AV29" s="74">
        <v>4909936</v>
      </c>
      <c r="AW29" s="74">
        <v>4966998</v>
      </c>
      <c r="AX29" s="74">
        <v>5015600</v>
      </c>
      <c r="AY29" s="74">
        <v>5039144</v>
      </c>
      <c r="AZ29" s="74">
        <v>5108370</v>
      </c>
      <c r="BA29" s="74">
        <v>5144068</v>
      </c>
      <c r="BB29" s="74">
        <v>5089170</v>
      </c>
      <c r="BC29" s="74">
        <v>4864889</v>
      </c>
      <c r="BD29" s="74">
        <v>4716225</v>
      </c>
      <c r="BE29" s="74">
        <v>4600384</v>
      </c>
      <c r="BF29" s="74">
        <v>4573091</v>
      </c>
      <c r="BG29" s="74">
        <v>4561332</v>
      </c>
      <c r="BH29" s="74">
        <v>4389608</v>
      </c>
      <c r="BI29" s="74">
        <v>4408868</v>
      </c>
      <c r="BJ29" s="74">
        <v>4372584</v>
      </c>
      <c r="BK29" s="74">
        <v>4290836</v>
      </c>
      <c r="BL29" s="74">
        <v>4329001</v>
      </c>
      <c r="BM29" s="74">
        <v>4044906</v>
      </c>
      <c r="BN29" s="74">
        <v>3932180</v>
      </c>
      <c r="BO29" s="74">
        <v>3859025</v>
      </c>
      <c r="BP29" s="74">
        <v>3714710</v>
      </c>
      <c r="BQ29" s="74">
        <v>3781158</v>
      </c>
      <c r="BR29" s="74">
        <v>3630715</v>
      </c>
      <c r="BS29" s="74">
        <v>3637806</v>
      </c>
      <c r="BT29" s="74">
        <v>3749541</v>
      </c>
      <c r="BU29" s="74">
        <v>3904322</v>
      </c>
      <c r="BV29" s="74">
        <v>3894143</v>
      </c>
      <c r="BW29" s="74">
        <v>3644943</v>
      </c>
      <c r="BX29" s="74">
        <v>3508545</v>
      </c>
      <c r="BY29" s="74">
        <v>3451276</v>
      </c>
      <c r="BZ29" s="74">
        <v>3440647</v>
      </c>
      <c r="CA29" s="74">
        <v>3558975</v>
      </c>
      <c r="CB29" s="74">
        <v>3537841</v>
      </c>
      <c r="CC29" s="74">
        <v>3441611</v>
      </c>
      <c r="CD29" s="74">
        <v>3336873</v>
      </c>
      <c r="CE29" s="74">
        <v>3267444</v>
      </c>
      <c r="CF29" s="74">
        <v>3169993</v>
      </c>
      <c r="CG29" s="74">
        <v>2943487</v>
      </c>
      <c r="CH29" s="74">
        <v>2794919</v>
      </c>
      <c r="CI29" s="74">
        <v>2625237</v>
      </c>
      <c r="CJ29" s="74">
        <v>2390834</v>
      </c>
      <c r="CK29" s="74">
        <v>2220784</v>
      </c>
      <c r="CL29" s="74">
        <v>1983918</v>
      </c>
      <c r="CM29" s="74">
        <v>1760890</v>
      </c>
      <c r="CN29" s="74">
        <v>1546998</v>
      </c>
      <c r="CO29" s="74">
        <v>1354264</v>
      </c>
      <c r="CP29" s="74">
        <v>1179486</v>
      </c>
      <c r="CQ29" s="74">
        <v>1010753</v>
      </c>
      <c r="CR29" s="74">
        <v>870186</v>
      </c>
      <c r="CS29" s="74">
        <v>775341</v>
      </c>
      <c r="CT29" s="74">
        <v>483850</v>
      </c>
      <c r="CU29" s="74">
        <v>394734</v>
      </c>
      <c r="CV29" s="74">
        <v>312674</v>
      </c>
      <c r="CW29" s="74">
        <v>254152</v>
      </c>
      <c r="CX29" s="74">
        <v>172652</v>
      </c>
      <c r="CY29" s="74">
        <v>120186</v>
      </c>
      <c r="CZ29" s="74">
        <v>192948</v>
      </c>
    </row>
    <row r="30" spans="1:104" ht="17.100000000000001">
      <c r="A30" s="69" t="s">
        <v>659</v>
      </c>
      <c r="B30" s="69">
        <v>2041</v>
      </c>
      <c r="C30" s="74">
        <v>382096402</v>
      </c>
      <c r="D30" s="74">
        <v>4288252</v>
      </c>
      <c r="E30" s="74">
        <v>4297626</v>
      </c>
      <c r="F30" s="74">
        <v>4306554</v>
      </c>
      <c r="G30" s="74">
        <v>4313384</v>
      </c>
      <c r="H30" s="74">
        <v>4318502</v>
      </c>
      <c r="I30" s="74">
        <v>4322706</v>
      </c>
      <c r="J30" s="74">
        <v>4326813</v>
      </c>
      <c r="K30" s="74">
        <v>4331559</v>
      </c>
      <c r="L30" s="74">
        <v>4337627</v>
      </c>
      <c r="M30" s="74">
        <v>4345013</v>
      </c>
      <c r="N30" s="74">
        <v>4353645</v>
      </c>
      <c r="O30" s="74">
        <v>4362872</v>
      </c>
      <c r="P30" s="74">
        <v>4372080</v>
      </c>
      <c r="Q30" s="74">
        <v>4381544</v>
      </c>
      <c r="R30" s="74">
        <v>4392025</v>
      </c>
      <c r="S30" s="74">
        <v>4404569</v>
      </c>
      <c r="T30" s="74">
        <v>4421017</v>
      </c>
      <c r="U30" s="74">
        <v>4443347</v>
      </c>
      <c r="V30" s="74">
        <v>4472142</v>
      </c>
      <c r="W30" s="74">
        <v>4505725</v>
      </c>
      <c r="X30" s="74">
        <v>4540869</v>
      </c>
      <c r="Y30" s="74">
        <v>4574372</v>
      </c>
      <c r="Z30" s="74">
        <v>4603918</v>
      </c>
      <c r="AA30" s="74">
        <v>4629432</v>
      </c>
      <c r="AB30" s="74">
        <v>4651201</v>
      </c>
      <c r="AC30" s="74">
        <v>4668603</v>
      </c>
      <c r="AD30" s="74">
        <v>4682620</v>
      </c>
      <c r="AE30" s="74">
        <v>4693180</v>
      </c>
      <c r="AF30" s="74">
        <v>4699235</v>
      </c>
      <c r="AG30" s="74">
        <v>4731169</v>
      </c>
      <c r="AH30" s="74">
        <v>4777879</v>
      </c>
      <c r="AI30" s="74">
        <v>4791191</v>
      </c>
      <c r="AJ30" s="74">
        <v>4803082</v>
      </c>
      <c r="AK30" s="74">
        <v>4937976</v>
      </c>
      <c r="AL30" s="74">
        <v>4963316</v>
      </c>
      <c r="AM30" s="74">
        <v>4933024</v>
      </c>
      <c r="AN30" s="74">
        <v>4921291</v>
      </c>
      <c r="AO30" s="74">
        <v>4928725</v>
      </c>
      <c r="AP30" s="74">
        <v>4895472</v>
      </c>
      <c r="AQ30" s="74">
        <v>4875031</v>
      </c>
      <c r="AR30" s="74">
        <v>4967763</v>
      </c>
      <c r="AS30" s="74">
        <v>5019634</v>
      </c>
      <c r="AT30" s="74">
        <v>4938524</v>
      </c>
      <c r="AU30" s="74">
        <v>4922314</v>
      </c>
      <c r="AV30" s="74">
        <v>4910828</v>
      </c>
      <c r="AW30" s="74">
        <v>4914778</v>
      </c>
      <c r="AX30" s="74">
        <v>4970465</v>
      </c>
      <c r="AY30" s="74">
        <v>5017461</v>
      </c>
      <c r="AZ30" s="74">
        <v>5039388</v>
      </c>
      <c r="BA30" s="74">
        <v>5106916</v>
      </c>
      <c r="BB30" s="74">
        <v>5141061</v>
      </c>
      <c r="BC30" s="74">
        <v>5084722</v>
      </c>
      <c r="BD30" s="74">
        <v>4859520</v>
      </c>
      <c r="BE30" s="74">
        <v>4709837</v>
      </c>
      <c r="BF30" s="74">
        <v>4592999</v>
      </c>
      <c r="BG30" s="74">
        <v>4564420</v>
      </c>
      <c r="BH30" s="74">
        <v>4551149</v>
      </c>
      <c r="BI30" s="74">
        <v>4378600</v>
      </c>
      <c r="BJ30" s="74">
        <v>4396207</v>
      </c>
      <c r="BK30" s="74">
        <v>4358703</v>
      </c>
      <c r="BL30" s="74">
        <v>4275857</v>
      </c>
      <c r="BM30" s="74">
        <v>4311996</v>
      </c>
      <c r="BN30" s="74">
        <v>4027679</v>
      </c>
      <c r="BO30" s="74">
        <v>3913363</v>
      </c>
      <c r="BP30" s="74">
        <v>3838259</v>
      </c>
      <c r="BQ30" s="74">
        <v>3692081</v>
      </c>
      <c r="BR30" s="74">
        <v>3754536</v>
      </c>
      <c r="BS30" s="74">
        <v>3601823</v>
      </c>
      <c r="BT30" s="74">
        <v>3604860</v>
      </c>
      <c r="BU30" s="74">
        <v>3711319</v>
      </c>
      <c r="BV30" s="74">
        <v>3859542</v>
      </c>
      <c r="BW30" s="74">
        <v>3843960</v>
      </c>
      <c r="BX30" s="74">
        <v>3592583</v>
      </c>
      <c r="BY30" s="74">
        <v>3452021</v>
      </c>
      <c r="BZ30" s="74">
        <v>3389173</v>
      </c>
      <c r="CA30" s="74">
        <v>3371313</v>
      </c>
      <c r="CB30" s="74">
        <v>3478625</v>
      </c>
      <c r="CC30" s="74">
        <v>3448487</v>
      </c>
      <c r="CD30" s="74">
        <v>3344268</v>
      </c>
      <c r="CE30" s="74">
        <v>3231220</v>
      </c>
      <c r="CF30" s="74">
        <v>3150702</v>
      </c>
      <c r="CG30" s="74">
        <v>3042397</v>
      </c>
      <c r="CH30" s="74">
        <v>2811457</v>
      </c>
      <c r="CI30" s="74">
        <v>2654887</v>
      </c>
      <c r="CJ30" s="74">
        <v>2478117</v>
      </c>
      <c r="CK30" s="74">
        <v>2240972</v>
      </c>
      <c r="CL30" s="74">
        <v>2065298</v>
      </c>
      <c r="CM30" s="74">
        <v>1829259</v>
      </c>
      <c r="CN30" s="74">
        <v>1608245</v>
      </c>
      <c r="CO30" s="74">
        <v>1398100</v>
      </c>
      <c r="CP30" s="74">
        <v>1209813</v>
      </c>
      <c r="CQ30" s="74">
        <v>1040272</v>
      </c>
      <c r="CR30" s="74">
        <v>879088</v>
      </c>
      <c r="CS30" s="74">
        <v>745351</v>
      </c>
      <c r="CT30" s="74">
        <v>653167</v>
      </c>
      <c r="CU30" s="74">
        <v>400467</v>
      </c>
      <c r="CV30" s="74">
        <v>320515</v>
      </c>
      <c r="CW30" s="74">
        <v>248700</v>
      </c>
      <c r="CX30" s="74">
        <v>197735</v>
      </c>
      <c r="CY30" s="74">
        <v>131246</v>
      </c>
      <c r="CZ30" s="74">
        <v>203772</v>
      </c>
    </row>
    <row r="31" spans="1:104" ht="17.100000000000001">
      <c r="A31" s="69" t="s">
        <v>659</v>
      </c>
      <c r="B31" s="69">
        <v>2042</v>
      </c>
      <c r="C31" s="74">
        <v>383948648</v>
      </c>
      <c r="D31" s="74">
        <v>4300985</v>
      </c>
      <c r="E31" s="74">
        <v>4309661</v>
      </c>
      <c r="F31" s="74">
        <v>4318020</v>
      </c>
      <c r="G31" s="74">
        <v>4324265</v>
      </c>
      <c r="H31" s="74">
        <v>4328686</v>
      </c>
      <c r="I31" s="74">
        <v>4332247</v>
      </c>
      <c r="J31" s="74">
        <v>4335628</v>
      </c>
      <c r="K31" s="74">
        <v>4339387</v>
      </c>
      <c r="L31" s="74">
        <v>4344137</v>
      </c>
      <c r="M31" s="74">
        <v>4350162</v>
      </c>
      <c r="N31" s="74">
        <v>4357730</v>
      </c>
      <c r="O31" s="74">
        <v>4366243</v>
      </c>
      <c r="P31" s="74">
        <v>4375449</v>
      </c>
      <c r="Q31" s="74">
        <v>4385216</v>
      </c>
      <c r="R31" s="74">
        <v>4396479</v>
      </c>
      <c r="S31" s="74">
        <v>4410658</v>
      </c>
      <c r="T31" s="74">
        <v>4428986</v>
      </c>
      <c r="U31" s="74">
        <v>4452884</v>
      </c>
      <c r="V31" s="74">
        <v>4483232</v>
      </c>
      <c r="W31" s="74">
        <v>4518800</v>
      </c>
      <c r="X31" s="74">
        <v>4556864</v>
      </c>
      <c r="Y31" s="74">
        <v>4594522</v>
      </c>
      <c r="Z31" s="74">
        <v>4628542</v>
      </c>
      <c r="AA31" s="74">
        <v>4657392</v>
      </c>
      <c r="AB31" s="74">
        <v>4681382</v>
      </c>
      <c r="AC31" s="74">
        <v>4700912</v>
      </c>
      <c r="AD31" s="74">
        <v>4715981</v>
      </c>
      <c r="AE31" s="74">
        <v>4727311</v>
      </c>
      <c r="AF31" s="74">
        <v>4735089</v>
      </c>
      <c r="AG31" s="74">
        <v>4738070</v>
      </c>
      <c r="AH31" s="74">
        <v>4766693</v>
      </c>
      <c r="AI31" s="74">
        <v>4809572</v>
      </c>
      <c r="AJ31" s="74">
        <v>4819083</v>
      </c>
      <c r="AK31" s="74">
        <v>4827776</v>
      </c>
      <c r="AL31" s="74">
        <v>4960299</v>
      </c>
      <c r="AM31" s="74">
        <v>4983846</v>
      </c>
      <c r="AN31" s="74">
        <v>4952066</v>
      </c>
      <c r="AO31" s="74">
        <v>4939004</v>
      </c>
      <c r="AP31" s="74">
        <v>4945310</v>
      </c>
      <c r="AQ31" s="74">
        <v>4910780</v>
      </c>
      <c r="AR31" s="74">
        <v>4888662</v>
      </c>
      <c r="AS31" s="74">
        <v>4979158</v>
      </c>
      <c r="AT31" s="74">
        <v>5028836</v>
      </c>
      <c r="AU31" s="74">
        <v>4946065</v>
      </c>
      <c r="AV31" s="74">
        <v>4928543</v>
      </c>
      <c r="AW31" s="74">
        <v>4915890</v>
      </c>
      <c r="AX31" s="74">
        <v>4918567</v>
      </c>
      <c r="AY31" s="74">
        <v>4972638</v>
      </c>
      <c r="AZ31" s="74">
        <v>5017961</v>
      </c>
      <c r="BA31" s="74">
        <v>5038369</v>
      </c>
      <c r="BB31" s="74">
        <v>5104246</v>
      </c>
      <c r="BC31" s="74">
        <v>5136810</v>
      </c>
      <c r="BD31" s="74">
        <v>5079103</v>
      </c>
      <c r="BE31" s="74">
        <v>4853113</v>
      </c>
      <c r="BF31" s="74">
        <v>4702423</v>
      </c>
      <c r="BG31" s="74">
        <v>4584604</v>
      </c>
      <c r="BH31" s="74">
        <v>4554626</v>
      </c>
      <c r="BI31" s="74">
        <v>4539840</v>
      </c>
      <c r="BJ31" s="74">
        <v>4366540</v>
      </c>
      <c r="BK31" s="74">
        <v>4382574</v>
      </c>
      <c r="BL31" s="74">
        <v>4343848</v>
      </c>
      <c r="BM31" s="74">
        <v>4259786</v>
      </c>
      <c r="BN31" s="74">
        <v>4293598</v>
      </c>
      <c r="BO31" s="74">
        <v>4008783</v>
      </c>
      <c r="BP31" s="74">
        <v>3892700</v>
      </c>
      <c r="BQ31" s="74">
        <v>3815199</v>
      </c>
      <c r="BR31" s="74">
        <v>3666795</v>
      </c>
      <c r="BS31" s="74">
        <v>3724963</v>
      </c>
      <c r="BT31" s="74">
        <v>3569869</v>
      </c>
      <c r="BU31" s="74">
        <v>3568813</v>
      </c>
      <c r="BV31" s="74">
        <v>3669550</v>
      </c>
      <c r="BW31" s="74">
        <v>3810599</v>
      </c>
      <c r="BX31" s="74">
        <v>3789169</v>
      </c>
      <c r="BY31" s="74">
        <v>3535475</v>
      </c>
      <c r="BZ31" s="74">
        <v>3390508</v>
      </c>
      <c r="CA31" s="74">
        <v>3321768</v>
      </c>
      <c r="CB31" s="74">
        <v>3296150</v>
      </c>
      <c r="CC31" s="74">
        <v>3391571</v>
      </c>
      <c r="CD31" s="74">
        <v>3351885</v>
      </c>
      <c r="CE31" s="74">
        <v>3239325</v>
      </c>
      <c r="CF31" s="74">
        <v>3116756</v>
      </c>
      <c r="CG31" s="74">
        <v>3025093</v>
      </c>
      <c r="CH31" s="74">
        <v>2906902</v>
      </c>
      <c r="CI31" s="74">
        <v>2671637</v>
      </c>
      <c r="CJ31" s="74">
        <v>2507234</v>
      </c>
      <c r="CK31" s="74">
        <v>2323950</v>
      </c>
      <c r="CL31" s="74">
        <v>2085273</v>
      </c>
      <c r="CM31" s="74">
        <v>1905404</v>
      </c>
      <c r="CN31" s="74">
        <v>1671854</v>
      </c>
      <c r="CO31" s="74">
        <v>1454586</v>
      </c>
      <c r="CP31" s="74">
        <v>1250005</v>
      </c>
      <c r="CQ31" s="74">
        <v>1068074</v>
      </c>
      <c r="CR31" s="74">
        <v>905722</v>
      </c>
      <c r="CS31" s="74">
        <v>753887</v>
      </c>
      <c r="CT31" s="74">
        <v>628760</v>
      </c>
      <c r="CU31" s="74">
        <v>541233</v>
      </c>
      <c r="CV31" s="74">
        <v>325623</v>
      </c>
      <c r="CW31" s="74">
        <v>255351</v>
      </c>
      <c r="CX31" s="74">
        <v>193836</v>
      </c>
      <c r="CY31" s="74">
        <v>150550</v>
      </c>
      <c r="CZ31" s="74">
        <v>218647</v>
      </c>
    </row>
    <row r="32" spans="1:104" ht="17.100000000000001">
      <c r="A32" s="69" t="s">
        <v>659</v>
      </c>
      <c r="B32" s="69">
        <v>2043</v>
      </c>
      <c r="C32" s="74">
        <v>385779465</v>
      </c>
      <c r="D32" s="74">
        <v>4314403</v>
      </c>
      <c r="E32" s="74">
        <v>4322529</v>
      </c>
      <c r="F32" s="74">
        <v>4330172</v>
      </c>
      <c r="G32" s="74">
        <v>4335831</v>
      </c>
      <c r="H32" s="74">
        <v>4339656</v>
      </c>
      <c r="I32" s="74">
        <v>4342503</v>
      </c>
      <c r="J32" s="74">
        <v>4345231</v>
      </c>
      <c r="K32" s="74">
        <v>4348259</v>
      </c>
      <c r="L32" s="74">
        <v>4352024</v>
      </c>
      <c r="M32" s="74">
        <v>4356731</v>
      </c>
      <c r="N32" s="74">
        <v>4362929</v>
      </c>
      <c r="O32" s="74">
        <v>4370386</v>
      </c>
      <c r="P32" s="74">
        <v>4378874</v>
      </c>
      <c r="Q32" s="74">
        <v>4388637</v>
      </c>
      <c r="R32" s="74">
        <v>4400229</v>
      </c>
      <c r="S32" s="74">
        <v>4415205</v>
      </c>
      <c r="T32" s="74">
        <v>4435193</v>
      </c>
      <c r="U32" s="74">
        <v>4460995</v>
      </c>
      <c r="V32" s="74">
        <v>4492947</v>
      </c>
      <c r="W32" s="74">
        <v>4530111</v>
      </c>
      <c r="X32" s="74">
        <v>4570194</v>
      </c>
      <c r="Y32" s="74">
        <v>4610798</v>
      </c>
      <c r="Z32" s="74">
        <v>4648972</v>
      </c>
      <c r="AA32" s="74">
        <v>4682305</v>
      </c>
      <c r="AB32" s="74">
        <v>4709644</v>
      </c>
      <c r="AC32" s="74">
        <v>4731392</v>
      </c>
      <c r="AD32" s="74">
        <v>4748581</v>
      </c>
      <c r="AE32" s="74">
        <v>4760931</v>
      </c>
      <c r="AF32" s="74">
        <v>4769466</v>
      </c>
      <c r="AG32" s="74">
        <v>4774172</v>
      </c>
      <c r="AH32" s="74">
        <v>4773803</v>
      </c>
      <c r="AI32" s="74">
        <v>4798610</v>
      </c>
      <c r="AJ32" s="74">
        <v>4837639</v>
      </c>
      <c r="AK32" s="74">
        <v>4843947</v>
      </c>
      <c r="AL32" s="74">
        <v>4850341</v>
      </c>
      <c r="AM32" s="74">
        <v>4981009</v>
      </c>
      <c r="AN32" s="74">
        <v>5003022</v>
      </c>
      <c r="AO32" s="74">
        <v>4969944</v>
      </c>
      <c r="AP32" s="74">
        <v>4955748</v>
      </c>
      <c r="AQ32" s="74">
        <v>4960794</v>
      </c>
      <c r="AR32" s="74">
        <v>4924568</v>
      </c>
      <c r="AS32" s="74">
        <v>4900343</v>
      </c>
      <c r="AT32" s="74">
        <v>4988625</v>
      </c>
      <c r="AU32" s="74">
        <v>5036479</v>
      </c>
      <c r="AV32" s="74">
        <v>4952469</v>
      </c>
      <c r="AW32" s="74">
        <v>4933779</v>
      </c>
      <c r="AX32" s="74">
        <v>4919882</v>
      </c>
      <c r="AY32" s="74">
        <v>4921061</v>
      </c>
      <c r="AZ32" s="74">
        <v>4973463</v>
      </c>
      <c r="BA32" s="74">
        <v>5017228</v>
      </c>
      <c r="BB32" s="74">
        <v>5036182</v>
      </c>
      <c r="BC32" s="74">
        <v>5100366</v>
      </c>
      <c r="BD32" s="74">
        <v>5131395</v>
      </c>
      <c r="BE32" s="74">
        <v>5072432</v>
      </c>
      <c r="BF32" s="74">
        <v>4845660</v>
      </c>
      <c r="BG32" s="74">
        <v>4693972</v>
      </c>
      <c r="BH32" s="74">
        <v>4575090</v>
      </c>
      <c r="BI32" s="74">
        <v>4543715</v>
      </c>
      <c r="BJ32" s="74">
        <v>4527458</v>
      </c>
      <c r="BK32" s="74">
        <v>4353534</v>
      </c>
      <c r="BL32" s="74">
        <v>4367975</v>
      </c>
      <c r="BM32" s="74">
        <v>4327891</v>
      </c>
      <c r="BN32" s="74">
        <v>4242335</v>
      </c>
      <c r="BO32" s="74">
        <v>4273442</v>
      </c>
      <c r="BP32" s="74">
        <v>3987981</v>
      </c>
      <c r="BQ32" s="74">
        <v>3869693</v>
      </c>
      <c r="BR32" s="74">
        <v>3789412</v>
      </c>
      <c r="BS32" s="74">
        <v>3638631</v>
      </c>
      <c r="BT32" s="74">
        <v>3692258</v>
      </c>
      <c r="BU32" s="74">
        <v>3534865</v>
      </c>
      <c r="BV32" s="74">
        <v>3529350</v>
      </c>
      <c r="BW32" s="74">
        <v>3623803</v>
      </c>
      <c r="BX32" s="74">
        <v>3757107</v>
      </c>
      <c r="BY32" s="74">
        <v>3729419</v>
      </c>
      <c r="BZ32" s="74">
        <v>3473276</v>
      </c>
      <c r="CA32" s="74">
        <v>3323716</v>
      </c>
      <c r="CB32" s="74">
        <v>3248634</v>
      </c>
      <c r="CC32" s="74">
        <v>3214625</v>
      </c>
      <c r="CD32" s="74">
        <v>3297392</v>
      </c>
      <c r="CE32" s="74">
        <v>3247644</v>
      </c>
      <c r="CF32" s="74">
        <v>3125507</v>
      </c>
      <c r="CG32" s="74">
        <v>2993486</v>
      </c>
      <c r="CH32" s="74">
        <v>2891614</v>
      </c>
      <c r="CI32" s="74">
        <v>2763333</v>
      </c>
      <c r="CJ32" s="74">
        <v>2524146</v>
      </c>
      <c r="CK32" s="74">
        <v>2352424</v>
      </c>
      <c r="CL32" s="74">
        <v>2163688</v>
      </c>
      <c r="CM32" s="74">
        <v>1925062</v>
      </c>
      <c r="CN32" s="74">
        <v>1742567</v>
      </c>
      <c r="CO32" s="74">
        <v>1513279</v>
      </c>
      <c r="CP32" s="74">
        <v>1301632</v>
      </c>
      <c r="CQ32" s="74">
        <v>1104557</v>
      </c>
      <c r="CR32" s="74">
        <v>930921</v>
      </c>
      <c r="CS32" s="74">
        <v>777626</v>
      </c>
      <c r="CT32" s="74">
        <v>636793</v>
      </c>
      <c r="CU32" s="74">
        <v>521772</v>
      </c>
      <c r="CV32" s="74">
        <v>440612</v>
      </c>
      <c r="CW32" s="74">
        <v>259801</v>
      </c>
      <c r="CX32" s="74">
        <v>199359</v>
      </c>
      <c r="CY32" s="74">
        <v>147859</v>
      </c>
      <c r="CZ32" s="74">
        <v>242120</v>
      </c>
    </row>
    <row r="33" spans="1:104" ht="17.100000000000001">
      <c r="A33" s="69" t="s">
        <v>659</v>
      </c>
      <c r="B33" s="69">
        <v>2044</v>
      </c>
      <c r="C33" s="74">
        <v>387593232</v>
      </c>
      <c r="D33" s="74">
        <v>4328503</v>
      </c>
      <c r="E33" s="74">
        <v>4336069</v>
      </c>
      <c r="F33" s="74">
        <v>4343151</v>
      </c>
      <c r="G33" s="74">
        <v>4348082</v>
      </c>
      <c r="H33" s="74">
        <v>4351304</v>
      </c>
      <c r="I33" s="74">
        <v>4353546</v>
      </c>
      <c r="J33" s="74">
        <v>4355549</v>
      </c>
      <c r="K33" s="74">
        <v>4357926</v>
      </c>
      <c r="L33" s="74">
        <v>4360955</v>
      </c>
      <c r="M33" s="74">
        <v>4364674</v>
      </c>
      <c r="N33" s="74">
        <v>4369554</v>
      </c>
      <c r="O33" s="74">
        <v>4375628</v>
      </c>
      <c r="P33" s="74">
        <v>4383070</v>
      </c>
      <c r="Q33" s="74">
        <v>4392116</v>
      </c>
      <c r="R33" s="74">
        <v>4403708</v>
      </c>
      <c r="S33" s="74">
        <v>4419031</v>
      </c>
      <c r="T33" s="74">
        <v>4439838</v>
      </c>
      <c r="U33" s="74">
        <v>4467349</v>
      </c>
      <c r="V33" s="74">
        <v>4501257</v>
      </c>
      <c r="W33" s="74">
        <v>4540051</v>
      </c>
      <c r="X33" s="74">
        <v>4581767</v>
      </c>
      <c r="Y33" s="74">
        <v>4624410</v>
      </c>
      <c r="Z33" s="74">
        <v>4665526</v>
      </c>
      <c r="AA33" s="74">
        <v>4703019</v>
      </c>
      <c r="AB33" s="74">
        <v>4734837</v>
      </c>
      <c r="AC33" s="74">
        <v>4759919</v>
      </c>
      <c r="AD33" s="74">
        <v>4779323</v>
      </c>
      <c r="AE33" s="74">
        <v>4793790</v>
      </c>
      <c r="AF33" s="74">
        <v>4803334</v>
      </c>
      <c r="AG33" s="74">
        <v>4808783</v>
      </c>
      <c r="AH33" s="74">
        <v>4810135</v>
      </c>
      <c r="AI33" s="74">
        <v>4805900</v>
      </c>
      <c r="AJ33" s="74">
        <v>4826847</v>
      </c>
      <c r="AK33" s="74">
        <v>4862644</v>
      </c>
      <c r="AL33" s="74">
        <v>4866666</v>
      </c>
      <c r="AM33" s="74">
        <v>4871278</v>
      </c>
      <c r="AN33" s="74">
        <v>5000337</v>
      </c>
      <c r="AO33" s="74">
        <v>5021012</v>
      </c>
      <c r="AP33" s="74">
        <v>4986856</v>
      </c>
      <c r="AQ33" s="74">
        <v>4971387</v>
      </c>
      <c r="AR33" s="74">
        <v>4974748</v>
      </c>
      <c r="AS33" s="74">
        <v>4936393</v>
      </c>
      <c r="AT33" s="74">
        <v>4910070</v>
      </c>
      <c r="AU33" s="74">
        <v>4996513</v>
      </c>
      <c r="AV33" s="74">
        <v>5042982</v>
      </c>
      <c r="AW33" s="74">
        <v>4957882</v>
      </c>
      <c r="AX33" s="74">
        <v>4937958</v>
      </c>
      <c r="AY33" s="74">
        <v>4922611</v>
      </c>
      <c r="AZ33" s="74">
        <v>4922230</v>
      </c>
      <c r="BA33" s="74">
        <v>4973070</v>
      </c>
      <c r="BB33" s="74">
        <v>5015326</v>
      </c>
      <c r="BC33" s="74">
        <v>5032798</v>
      </c>
      <c r="BD33" s="74">
        <v>5095345</v>
      </c>
      <c r="BE33" s="74">
        <v>5124939</v>
      </c>
      <c r="BF33" s="74">
        <v>5064700</v>
      </c>
      <c r="BG33" s="74">
        <v>4837171</v>
      </c>
      <c r="BH33" s="74">
        <v>4684392</v>
      </c>
      <c r="BI33" s="74">
        <v>4564456</v>
      </c>
      <c r="BJ33" s="74">
        <v>4531735</v>
      </c>
      <c r="BK33" s="74">
        <v>4514103</v>
      </c>
      <c r="BL33" s="74">
        <v>4339583</v>
      </c>
      <c r="BM33" s="74">
        <v>4352294</v>
      </c>
      <c r="BN33" s="74">
        <v>4310546</v>
      </c>
      <c r="BO33" s="74">
        <v>4223162</v>
      </c>
      <c r="BP33" s="74">
        <v>4251286</v>
      </c>
      <c r="BQ33" s="74">
        <v>3964810</v>
      </c>
      <c r="BR33" s="74">
        <v>3843938</v>
      </c>
      <c r="BS33" s="74">
        <v>3760669</v>
      </c>
      <c r="BT33" s="74">
        <v>3607404</v>
      </c>
      <c r="BU33" s="74">
        <v>3656423</v>
      </c>
      <c r="BV33" s="74">
        <v>3496478</v>
      </c>
      <c r="BW33" s="74">
        <v>3486076</v>
      </c>
      <c r="BX33" s="74">
        <v>3573727</v>
      </c>
      <c r="BY33" s="74">
        <v>3698705</v>
      </c>
      <c r="BZ33" s="74">
        <v>3664334</v>
      </c>
      <c r="CA33" s="74">
        <v>3405695</v>
      </c>
      <c r="CB33" s="74">
        <v>3251194</v>
      </c>
      <c r="CC33" s="74">
        <v>3169229</v>
      </c>
      <c r="CD33" s="74">
        <v>3126324</v>
      </c>
      <c r="CE33" s="74">
        <v>3195713</v>
      </c>
      <c r="CF33" s="74">
        <v>3134490</v>
      </c>
      <c r="CG33" s="74">
        <v>3002837</v>
      </c>
      <c r="CH33" s="74">
        <v>2862417</v>
      </c>
      <c r="CI33" s="74">
        <v>2750090</v>
      </c>
      <c r="CJ33" s="74">
        <v>2611857</v>
      </c>
      <c r="CK33" s="74">
        <v>2369449</v>
      </c>
      <c r="CL33" s="74">
        <v>2191407</v>
      </c>
      <c r="CM33" s="74">
        <v>1998666</v>
      </c>
      <c r="CN33" s="74">
        <v>1761777</v>
      </c>
      <c r="CO33" s="74">
        <v>1578406</v>
      </c>
      <c r="CP33" s="74">
        <v>1355284</v>
      </c>
      <c r="CQ33" s="74">
        <v>1151258</v>
      </c>
      <c r="CR33" s="74">
        <v>963660</v>
      </c>
      <c r="CS33" s="74">
        <v>800188</v>
      </c>
      <c r="CT33" s="74">
        <v>657665</v>
      </c>
      <c r="CU33" s="74">
        <v>529197</v>
      </c>
      <c r="CV33" s="74">
        <v>425452</v>
      </c>
      <c r="CW33" s="74">
        <v>351985</v>
      </c>
      <c r="CX33" s="74">
        <v>203148</v>
      </c>
      <c r="CY33" s="74">
        <v>152350</v>
      </c>
      <c r="CZ33" s="74">
        <v>255506</v>
      </c>
    </row>
    <row r="34" spans="1:104" ht="17.100000000000001">
      <c r="A34" s="69" t="s">
        <v>659</v>
      </c>
      <c r="B34" s="69">
        <v>2045</v>
      </c>
      <c r="C34" s="74">
        <v>389394178</v>
      </c>
      <c r="D34" s="74">
        <v>4343204</v>
      </c>
      <c r="E34" s="74">
        <v>4350298</v>
      </c>
      <c r="F34" s="74">
        <v>4356791</v>
      </c>
      <c r="G34" s="74">
        <v>4361141</v>
      </c>
      <c r="H34" s="74">
        <v>4363628</v>
      </c>
      <c r="I34" s="74">
        <v>4365255</v>
      </c>
      <c r="J34" s="74">
        <v>4366648</v>
      </c>
      <c r="K34" s="74">
        <v>4368299</v>
      </c>
      <c r="L34" s="74">
        <v>4370675</v>
      </c>
      <c r="M34" s="74">
        <v>4373659</v>
      </c>
      <c r="N34" s="74">
        <v>4377543</v>
      </c>
      <c r="O34" s="74">
        <v>4382301</v>
      </c>
      <c r="P34" s="74">
        <v>4388363</v>
      </c>
      <c r="Q34" s="74">
        <v>4396356</v>
      </c>
      <c r="R34" s="74">
        <v>4407239</v>
      </c>
      <c r="S34" s="74">
        <v>4422590</v>
      </c>
      <c r="T34" s="74">
        <v>4443766</v>
      </c>
      <c r="U34" s="74">
        <v>4472137</v>
      </c>
      <c r="V34" s="74">
        <v>4507800</v>
      </c>
      <c r="W34" s="74">
        <v>4548583</v>
      </c>
      <c r="X34" s="74">
        <v>4591948</v>
      </c>
      <c r="Y34" s="74">
        <v>4636231</v>
      </c>
      <c r="Z34" s="74">
        <v>4679413</v>
      </c>
      <c r="AA34" s="74">
        <v>4719856</v>
      </c>
      <c r="AB34" s="74">
        <v>4755825</v>
      </c>
      <c r="AC34" s="74">
        <v>4785393</v>
      </c>
      <c r="AD34" s="74">
        <v>4808111</v>
      </c>
      <c r="AE34" s="74">
        <v>4824776</v>
      </c>
      <c r="AF34" s="74">
        <v>4836412</v>
      </c>
      <c r="AG34" s="74">
        <v>4842847</v>
      </c>
      <c r="AH34" s="74">
        <v>4844937</v>
      </c>
      <c r="AI34" s="74">
        <v>4842421</v>
      </c>
      <c r="AJ34" s="74">
        <v>4834297</v>
      </c>
      <c r="AK34" s="74">
        <v>4852015</v>
      </c>
      <c r="AL34" s="74">
        <v>4885493</v>
      </c>
      <c r="AM34" s="74">
        <v>4887745</v>
      </c>
      <c r="AN34" s="74">
        <v>4890835</v>
      </c>
      <c r="AO34" s="74">
        <v>5018488</v>
      </c>
      <c r="AP34" s="74">
        <v>5038040</v>
      </c>
      <c r="AQ34" s="74">
        <v>5002664</v>
      </c>
      <c r="AR34" s="74">
        <v>4985498</v>
      </c>
      <c r="AS34" s="74">
        <v>4986724</v>
      </c>
      <c r="AT34" s="74">
        <v>4946263</v>
      </c>
      <c r="AU34" s="74">
        <v>4918245</v>
      </c>
      <c r="AV34" s="74">
        <v>5003261</v>
      </c>
      <c r="AW34" s="74">
        <v>5048481</v>
      </c>
      <c r="AX34" s="74">
        <v>4962247</v>
      </c>
      <c r="AY34" s="74">
        <v>4940860</v>
      </c>
      <c r="AZ34" s="74">
        <v>4924002</v>
      </c>
      <c r="BA34" s="74">
        <v>4922193</v>
      </c>
      <c r="BB34" s="74">
        <v>4971532</v>
      </c>
      <c r="BC34" s="74">
        <v>5012238</v>
      </c>
      <c r="BD34" s="74">
        <v>5028278</v>
      </c>
      <c r="BE34" s="74">
        <v>5089276</v>
      </c>
      <c r="BF34" s="74">
        <v>5117406</v>
      </c>
      <c r="BG34" s="74">
        <v>5055866</v>
      </c>
      <c r="BH34" s="74">
        <v>4827505</v>
      </c>
      <c r="BI34" s="74">
        <v>4673687</v>
      </c>
      <c r="BJ34" s="74">
        <v>4552774</v>
      </c>
      <c r="BK34" s="74">
        <v>4518795</v>
      </c>
      <c r="BL34" s="74">
        <v>4499767</v>
      </c>
      <c r="BM34" s="74">
        <v>4324545</v>
      </c>
      <c r="BN34" s="74">
        <v>4335227</v>
      </c>
      <c r="BO34" s="74">
        <v>4291463</v>
      </c>
      <c r="BP34" s="74">
        <v>4202034</v>
      </c>
      <c r="BQ34" s="74">
        <v>4226652</v>
      </c>
      <c r="BR34" s="74">
        <v>3938860</v>
      </c>
      <c r="BS34" s="74">
        <v>3815222</v>
      </c>
      <c r="BT34" s="74">
        <v>3728795</v>
      </c>
      <c r="BU34" s="74">
        <v>3573116</v>
      </c>
      <c r="BV34" s="74">
        <v>3617108</v>
      </c>
      <c r="BW34" s="74">
        <v>3454324</v>
      </c>
      <c r="BX34" s="74">
        <v>3438636</v>
      </c>
      <c r="BY34" s="74">
        <v>3518964</v>
      </c>
      <c r="BZ34" s="74">
        <v>3635018</v>
      </c>
      <c r="CA34" s="74">
        <v>3593602</v>
      </c>
      <c r="CB34" s="74">
        <v>3332271</v>
      </c>
      <c r="CC34" s="74">
        <v>3172415</v>
      </c>
      <c r="CD34" s="74">
        <v>3083136</v>
      </c>
      <c r="CE34" s="74">
        <v>3030891</v>
      </c>
      <c r="CF34" s="74">
        <v>3085224</v>
      </c>
      <c r="CG34" s="74">
        <v>3012430</v>
      </c>
      <c r="CH34" s="74">
        <v>2872352</v>
      </c>
      <c r="CI34" s="74">
        <v>2723385</v>
      </c>
      <c r="CJ34" s="74">
        <v>2600652</v>
      </c>
      <c r="CK34" s="74">
        <v>2452884</v>
      </c>
      <c r="CL34" s="74">
        <v>2208445</v>
      </c>
      <c r="CM34" s="74">
        <v>2025493</v>
      </c>
      <c r="CN34" s="74">
        <v>1830358</v>
      </c>
      <c r="CO34" s="74">
        <v>1597024</v>
      </c>
      <c r="CP34" s="74">
        <v>1414722</v>
      </c>
      <c r="CQ34" s="74">
        <v>1199811</v>
      </c>
      <c r="CR34" s="74">
        <v>1005433</v>
      </c>
      <c r="CS34" s="74">
        <v>829204</v>
      </c>
      <c r="CT34" s="74">
        <v>677593</v>
      </c>
      <c r="CU34" s="74">
        <v>547283</v>
      </c>
      <c r="CV34" s="74">
        <v>432160</v>
      </c>
      <c r="CW34" s="74">
        <v>340464</v>
      </c>
      <c r="CX34" s="74">
        <v>275584</v>
      </c>
      <c r="CY34" s="74">
        <v>155500</v>
      </c>
      <c r="CZ34" s="74">
        <v>266977</v>
      </c>
    </row>
    <row r="35" spans="1:104" ht="17.100000000000001">
      <c r="A35" s="69" t="s">
        <v>659</v>
      </c>
      <c r="B35" s="69">
        <v>2046</v>
      </c>
      <c r="C35" s="74">
        <v>391186552</v>
      </c>
      <c r="D35" s="74">
        <v>4358264</v>
      </c>
      <c r="E35" s="74">
        <v>4365110</v>
      </c>
      <c r="F35" s="74">
        <v>4371119</v>
      </c>
      <c r="G35" s="74">
        <v>4374872</v>
      </c>
      <c r="H35" s="74">
        <v>4376766</v>
      </c>
      <c r="I35" s="74">
        <v>4377649</v>
      </c>
      <c r="J35" s="74">
        <v>4378421</v>
      </c>
      <c r="K35" s="74">
        <v>4379450</v>
      </c>
      <c r="L35" s="74">
        <v>4381098</v>
      </c>
      <c r="M35" s="74">
        <v>4383419</v>
      </c>
      <c r="N35" s="74">
        <v>4386576</v>
      </c>
      <c r="O35" s="74">
        <v>4390332</v>
      </c>
      <c r="P35" s="74">
        <v>4395074</v>
      </c>
      <c r="Q35" s="74">
        <v>4401707</v>
      </c>
      <c r="R35" s="74">
        <v>4411549</v>
      </c>
      <c r="S35" s="74">
        <v>4426196</v>
      </c>
      <c r="T35" s="74">
        <v>4447439</v>
      </c>
      <c r="U35" s="74">
        <v>4476200</v>
      </c>
      <c r="V35" s="74">
        <v>4512748</v>
      </c>
      <c r="W35" s="74">
        <v>4555328</v>
      </c>
      <c r="X35" s="74">
        <v>4600709</v>
      </c>
      <c r="Y35" s="74">
        <v>4646673</v>
      </c>
      <c r="Z35" s="74">
        <v>4691509</v>
      </c>
      <c r="AA35" s="74">
        <v>4734013</v>
      </c>
      <c r="AB35" s="74">
        <v>4772916</v>
      </c>
      <c r="AC35" s="74">
        <v>4806628</v>
      </c>
      <c r="AD35" s="74">
        <v>4833819</v>
      </c>
      <c r="AE35" s="74">
        <v>4853798</v>
      </c>
      <c r="AF35" s="74">
        <v>4867626</v>
      </c>
      <c r="AG35" s="74">
        <v>4876139</v>
      </c>
      <c r="AH35" s="74">
        <v>4879189</v>
      </c>
      <c r="AI35" s="74">
        <v>4877404</v>
      </c>
      <c r="AJ35" s="74">
        <v>4870997</v>
      </c>
      <c r="AK35" s="74">
        <v>4859611</v>
      </c>
      <c r="AL35" s="74">
        <v>4875018</v>
      </c>
      <c r="AM35" s="74">
        <v>4906691</v>
      </c>
      <c r="AN35" s="74">
        <v>4907429</v>
      </c>
      <c r="AO35" s="74">
        <v>4909214</v>
      </c>
      <c r="AP35" s="74">
        <v>5035663</v>
      </c>
      <c r="AQ35" s="74">
        <v>5053950</v>
      </c>
      <c r="AR35" s="74">
        <v>5016924</v>
      </c>
      <c r="AS35" s="74">
        <v>4997640</v>
      </c>
      <c r="AT35" s="74">
        <v>4996755</v>
      </c>
      <c r="AU35" s="74">
        <v>4954579</v>
      </c>
      <c r="AV35" s="74">
        <v>4925303</v>
      </c>
      <c r="AW35" s="74">
        <v>5009034</v>
      </c>
      <c r="AX35" s="74">
        <v>5052926</v>
      </c>
      <c r="AY35" s="74">
        <v>4965334</v>
      </c>
      <c r="AZ35" s="74">
        <v>4942443</v>
      </c>
      <c r="BA35" s="74">
        <v>4924195</v>
      </c>
      <c r="BB35" s="74">
        <v>4921023</v>
      </c>
      <c r="BC35" s="74">
        <v>4968820</v>
      </c>
      <c r="BD35" s="74">
        <v>5008031</v>
      </c>
      <c r="BE35" s="74">
        <v>5022742</v>
      </c>
      <c r="BF35" s="74">
        <v>5082143</v>
      </c>
      <c r="BG35" s="74">
        <v>5108776</v>
      </c>
      <c r="BH35" s="74">
        <v>5045842</v>
      </c>
      <c r="BI35" s="74">
        <v>4816688</v>
      </c>
      <c r="BJ35" s="74">
        <v>4661907</v>
      </c>
      <c r="BK35" s="74">
        <v>4540130</v>
      </c>
      <c r="BL35" s="74">
        <v>4504900</v>
      </c>
      <c r="BM35" s="74">
        <v>4484329</v>
      </c>
      <c r="BN35" s="74">
        <v>4308154</v>
      </c>
      <c r="BO35" s="74">
        <v>4316412</v>
      </c>
      <c r="BP35" s="74">
        <v>4270385</v>
      </c>
      <c r="BQ35" s="74">
        <v>4178427</v>
      </c>
      <c r="BR35" s="74">
        <v>4199074</v>
      </c>
      <c r="BS35" s="74">
        <v>3909875</v>
      </c>
      <c r="BT35" s="74">
        <v>3783350</v>
      </c>
      <c r="BU35" s="74">
        <v>3693774</v>
      </c>
      <c r="BV35" s="74">
        <v>3535437</v>
      </c>
      <c r="BW35" s="74">
        <v>3573913</v>
      </c>
      <c r="BX35" s="74">
        <v>3408034</v>
      </c>
      <c r="BY35" s="74">
        <v>3386673</v>
      </c>
      <c r="BZ35" s="74">
        <v>3459179</v>
      </c>
      <c r="CA35" s="74">
        <v>3565749</v>
      </c>
      <c r="CB35" s="74">
        <v>3516750</v>
      </c>
      <c r="CC35" s="74">
        <v>3252449</v>
      </c>
      <c r="CD35" s="74">
        <v>3086950</v>
      </c>
      <c r="CE35" s="74">
        <v>2989994</v>
      </c>
      <c r="CF35" s="74">
        <v>2927065</v>
      </c>
      <c r="CG35" s="74">
        <v>2965944</v>
      </c>
      <c r="CH35" s="74">
        <v>2882518</v>
      </c>
      <c r="CI35" s="74">
        <v>2733877</v>
      </c>
      <c r="CJ35" s="74">
        <v>2576506</v>
      </c>
      <c r="CK35" s="74">
        <v>2443721</v>
      </c>
      <c r="CL35" s="74">
        <v>2287368</v>
      </c>
      <c r="CM35" s="74">
        <v>2042437</v>
      </c>
      <c r="CN35" s="74">
        <v>1856146</v>
      </c>
      <c r="CO35" s="74">
        <v>1660399</v>
      </c>
      <c r="CP35" s="74">
        <v>1432598</v>
      </c>
      <c r="CQ35" s="74">
        <v>1253493</v>
      </c>
      <c r="CR35" s="74">
        <v>1048891</v>
      </c>
      <c r="CS35" s="74">
        <v>866096</v>
      </c>
      <c r="CT35" s="74">
        <v>702945</v>
      </c>
      <c r="CU35" s="74">
        <v>564608</v>
      </c>
      <c r="CV35" s="74">
        <v>447578</v>
      </c>
      <c r="CW35" s="74">
        <v>346389</v>
      </c>
      <c r="CX35" s="74">
        <v>267054</v>
      </c>
      <c r="CY35" s="74">
        <v>211220</v>
      </c>
      <c r="CZ35" s="74">
        <v>276343</v>
      </c>
    </row>
    <row r="36" spans="1:104" ht="17.100000000000001">
      <c r="A36" s="69" t="s">
        <v>659</v>
      </c>
      <c r="B36" s="69">
        <v>2047</v>
      </c>
      <c r="C36" s="74">
        <v>392972619</v>
      </c>
      <c r="D36" s="74">
        <v>4373494</v>
      </c>
      <c r="E36" s="74">
        <v>4380286</v>
      </c>
      <c r="F36" s="74">
        <v>4386026</v>
      </c>
      <c r="G36" s="74">
        <v>4389282</v>
      </c>
      <c r="H36" s="74">
        <v>4390564</v>
      </c>
      <c r="I36" s="74">
        <v>4390845</v>
      </c>
      <c r="J36" s="74">
        <v>4390870</v>
      </c>
      <c r="K36" s="74">
        <v>4391273</v>
      </c>
      <c r="L36" s="74">
        <v>4392294</v>
      </c>
      <c r="M36" s="74">
        <v>4393892</v>
      </c>
      <c r="N36" s="74">
        <v>4396383</v>
      </c>
      <c r="O36" s="74">
        <v>4399417</v>
      </c>
      <c r="P36" s="74">
        <v>4403153</v>
      </c>
      <c r="Q36" s="74">
        <v>4408460</v>
      </c>
      <c r="R36" s="74">
        <v>4416950</v>
      </c>
      <c r="S36" s="74">
        <v>4430579</v>
      </c>
      <c r="T36" s="74">
        <v>4451136</v>
      </c>
      <c r="U36" s="74">
        <v>4479986</v>
      </c>
      <c r="V36" s="74">
        <v>4516959</v>
      </c>
      <c r="W36" s="74">
        <v>4560446</v>
      </c>
      <c r="X36" s="74">
        <v>4607662</v>
      </c>
      <c r="Y36" s="74">
        <v>4655658</v>
      </c>
      <c r="Z36" s="74">
        <v>4702189</v>
      </c>
      <c r="AA36" s="74">
        <v>4746351</v>
      </c>
      <c r="AB36" s="74">
        <v>4787336</v>
      </c>
      <c r="AC36" s="74">
        <v>4823977</v>
      </c>
      <c r="AD36" s="74">
        <v>4855297</v>
      </c>
      <c r="AE36" s="74">
        <v>4879740</v>
      </c>
      <c r="AF36" s="74">
        <v>4896870</v>
      </c>
      <c r="AG36" s="74">
        <v>4907564</v>
      </c>
      <c r="AH36" s="74">
        <v>4912681</v>
      </c>
      <c r="AI36" s="74">
        <v>4911828</v>
      </c>
      <c r="AJ36" s="74">
        <v>4906128</v>
      </c>
      <c r="AK36" s="74">
        <v>4896462</v>
      </c>
      <c r="AL36" s="74">
        <v>4882734</v>
      </c>
      <c r="AM36" s="74">
        <v>4896350</v>
      </c>
      <c r="AN36" s="74">
        <v>4926484</v>
      </c>
      <c r="AO36" s="74">
        <v>4925909</v>
      </c>
      <c r="AP36" s="74">
        <v>4926609</v>
      </c>
      <c r="AQ36" s="74">
        <v>5051714</v>
      </c>
      <c r="AR36" s="74">
        <v>5068310</v>
      </c>
      <c r="AS36" s="74">
        <v>5029195</v>
      </c>
      <c r="AT36" s="74">
        <v>5007820</v>
      </c>
      <c r="AU36" s="74">
        <v>5005227</v>
      </c>
      <c r="AV36" s="74">
        <v>4961772</v>
      </c>
      <c r="AW36" s="74">
        <v>4931383</v>
      </c>
      <c r="AX36" s="74">
        <v>5013749</v>
      </c>
      <c r="AY36" s="74">
        <v>5056076</v>
      </c>
      <c r="AZ36" s="74">
        <v>4967091</v>
      </c>
      <c r="BA36" s="74">
        <v>4942826</v>
      </c>
      <c r="BB36" s="74">
        <v>4923278</v>
      </c>
      <c r="BC36" s="74">
        <v>4918709</v>
      </c>
      <c r="BD36" s="74">
        <v>4965015</v>
      </c>
      <c r="BE36" s="74">
        <v>5002829</v>
      </c>
      <c r="BF36" s="74">
        <v>5016175</v>
      </c>
      <c r="BG36" s="74">
        <v>5073951</v>
      </c>
      <c r="BH36" s="74">
        <v>5098953</v>
      </c>
      <c r="BI36" s="74">
        <v>5034620</v>
      </c>
      <c r="BJ36" s="74">
        <v>4804781</v>
      </c>
      <c r="BK36" s="74">
        <v>4649161</v>
      </c>
      <c r="BL36" s="74">
        <v>4526534</v>
      </c>
      <c r="BM36" s="74">
        <v>4489896</v>
      </c>
      <c r="BN36" s="74">
        <v>4467495</v>
      </c>
      <c r="BO36" s="74">
        <v>4290038</v>
      </c>
      <c r="BP36" s="74">
        <v>4295610</v>
      </c>
      <c r="BQ36" s="74">
        <v>4246820</v>
      </c>
      <c r="BR36" s="74">
        <v>4151926</v>
      </c>
      <c r="BS36" s="74">
        <v>4168310</v>
      </c>
      <c r="BT36" s="74">
        <v>3877672</v>
      </c>
      <c r="BU36" s="74">
        <v>3748296</v>
      </c>
      <c r="BV36" s="74">
        <v>3655277</v>
      </c>
      <c r="BW36" s="74">
        <v>3493965</v>
      </c>
      <c r="BX36" s="74">
        <v>3526470</v>
      </c>
      <c r="BY36" s="74">
        <v>3357261</v>
      </c>
      <c r="BZ36" s="74">
        <v>3329866</v>
      </c>
      <c r="CA36" s="74">
        <v>3394063</v>
      </c>
      <c r="CB36" s="74">
        <v>3490417</v>
      </c>
      <c r="CC36" s="74">
        <v>3433173</v>
      </c>
      <c r="CD36" s="74">
        <v>3165777</v>
      </c>
      <c r="CE36" s="74">
        <v>2994436</v>
      </c>
      <c r="CF36" s="74">
        <v>2888554</v>
      </c>
      <c r="CG36" s="74">
        <v>2814859</v>
      </c>
      <c r="CH36" s="74">
        <v>2838937</v>
      </c>
      <c r="CI36" s="74">
        <v>2744588</v>
      </c>
      <c r="CJ36" s="74">
        <v>2587507</v>
      </c>
      <c r="CK36" s="74">
        <v>2422187</v>
      </c>
      <c r="CL36" s="74">
        <v>2280201</v>
      </c>
      <c r="CM36" s="74">
        <v>2116618</v>
      </c>
      <c r="CN36" s="74">
        <v>1872887</v>
      </c>
      <c r="CO36" s="74">
        <v>1685002</v>
      </c>
      <c r="CP36" s="74">
        <v>1490624</v>
      </c>
      <c r="CQ36" s="74">
        <v>1270485</v>
      </c>
      <c r="CR36" s="74">
        <v>1096821</v>
      </c>
      <c r="CS36" s="74">
        <v>904512</v>
      </c>
      <c r="CT36" s="74">
        <v>735090</v>
      </c>
      <c r="CU36" s="74">
        <v>586436</v>
      </c>
      <c r="CV36" s="74">
        <v>462393</v>
      </c>
      <c r="CW36" s="74">
        <v>359300</v>
      </c>
      <c r="CX36" s="74">
        <v>272169</v>
      </c>
      <c r="CY36" s="74">
        <v>205087</v>
      </c>
      <c r="CZ36" s="74">
        <v>322301</v>
      </c>
    </row>
    <row r="37" spans="1:104" ht="17.100000000000001">
      <c r="A37" s="69" t="s">
        <v>659</v>
      </c>
      <c r="B37" s="69">
        <v>2048</v>
      </c>
      <c r="C37" s="74">
        <v>394755870</v>
      </c>
      <c r="D37" s="74">
        <v>4388677</v>
      </c>
      <c r="E37" s="74">
        <v>4395620</v>
      </c>
      <c r="F37" s="74">
        <v>4401301</v>
      </c>
      <c r="G37" s="74">
        <v>4404268</v>
      </c>
      <c r="H37" s="74">
        <v>4405042</v>
      </c>
      <c r="I37" s="74">
        <v>4404708</v>
      </c>
      <c r="J37" s="74">
        <v>4404125</v>
      </c>
      <c r="K37" s="74">
        <v>4403777</v>
      </c>
      <c r="L37" s="74">
        <v>4404164</v>
      </c>
      <c r="M37" s="74">
        <v>4405126</v>
      </c>
      <c r="N37" s="74">
        <v>4406897</v>
      </c>
      <c r="O37" s="74">
        <v>4409263</v>
      </c>
      <c r="P37" s="74">
        <v>4412273</v>
      </c>
      <c r="Q37" s="74">
        <v>4416576</v>
      </c>
      <c r="R37" s="74">
        <v>4423747</v>
      </c>
      <c r="S37" s="74">
        <v>4436036</v>
      </c>
      <c r="T37" s="74">
        <v>4455602</v>
      </c>
      <c r="U37" s="74">
        <v>4483817</v>
      </c>
      <c r="V37" s="74">
        <v>4520909</v>
      </c>
      <c r="W37" s="74">
        <v>4564852</v>
      </c>
      <c r="X37" s="74">
        <v>4612987</v>
      </c>
      <c r="Y37" s="74">
        <v>4662833</v>
      </c>
      <c r="Z37" s="74">
        <v>4711415</v>
      </c>
      <c r="AA37" s="74">
        <v>4757295</v>
      </c>
      <c r="AB37" s="74">
        <v>4799928</v>
      </c>
      <c r="AC37" s="74">
        <v>4838621</v>
      </c>
      <c r="AD37" s="74">
        <v>4872867</v>
      </c>
      <c r="AE37" s="74">
        <v>4901431</v>
      </c>
      <c r="AF37" s="74">
        <v>4923007</v>
      </c>
      <c r="AG37" s="74">
        <v>4936986</v>
      </c>
      <c r="AH37" s="74">
        <v>4944265</v>
      </c>
      <c r="AI37" s="74">
        <v>4945466</v>
      </c>
      <c r="AJ37" s="74">
        <v>4940687</v>
      </c>
      <c r="AK37" s="74">
        <v>4931721</v>
      </c>
      <c r="AL37" s="74">
        <v>4919717</v>
      </c>
      <c r="AM37" s="74">
        <v>4904195</v>
      </c>
      <c r="AN37" s="74">
        <v>4916282</v>
      </c>
      <c r="AO37" s="74">
        <v>4945078</v>
      </c>
      <c r="AP37" s="74">
        <v>4943410</v>
      </c>
      <c r="AQ37" s="74">
        <v>4942880</v>
      </c>
      <c r="AR37" s="74">
        <v>5066202</v>
      </c>
      <c r="AS37" s="74">
        <v>5080675</v>
      </c>
      <c r="AT37" s="74">
        <v>5039501</v>
      </c>
      <c r="AU37" s="74">
        <v>5016417</v>
      </c>
      <c r="AV37" s="74">
        <v>5012557</v>
      </c>
      <c r="AW37" s="74">
        <v>4967990</v>
      </c>
      <c r="AX37" s="74">
        <v>4936421</v>
      </c>
      <c r="AY37" s="74">
        <v>5017202</v>
      </c>
      <c r="AZ37" s="74">
        <v>5057919</v>
      </c>
      <c r="BA37" s="74">
        <v>4967669</v>
      </c>
      <c r="BB37" s="74">
        <v>4942106</v>
      </c>
      <c r="BC37" s="74">
        <v>4921216</v>
      </c>
      <c r="BD37" s="74">
        <v>4915309</v>
      </c>
      <c r="BE37" s="74">
        <v>4960210</v>
      </c>
      <c r="BF37" s="74">
        <v>4996604</v>
      </c>
      <c r="BG37" s="74">
        <v>5008553</v>
      </c>
      <c r="BH37" s="74">
        <v>5064571</v>
      </c>
      <c r="BI37" s="74">
        <v>5087936</v>
      </c>
      <c r="BJ37" s="74">
        <v>5022268</v>
      </c>
      <c r="BK37" s="74">
        <v>4791870</v>
      </c>
      <c r="BL37" s="74">
        <v>4635443</v>
      </c>
      <c r="BM37" s="74">
        <v>4511834</v>
      </c>
      <c r="BN37" s="74">
        <v>4473505</v>
      </c>
      <c r="BO37" s="74">
        <v>4448896</v>
      </c>
      <c r="BP37" s="74">
        <v>4269955</v>
      </c>
      <c r="BQ37" s="74">
        <v>4272320</v>
      </c>
      <c r="BR37" s="74">
        <v>4220340</v>
      </c>
      <c r="BS37" s="74">
        <v>4122295</v>
      </c>
      <c r="BT37" s="74">
        <v>4134151</v>
      </c>
      <c r="BU37" s="74">
        <v>3842231</v>
      </c>
      <c r="BV37" s="74">
        <v>3709723</v>
      </c>
      <c r="BW37" s="74">
        <v>3612888</v>
      </c>
      <c r="BX37" s="74">
        <v>3448338</v>
      </c>
      <c r="BY37" s="74">
        <v>3474427</v>
      </c>
      <c r="BZ37" s="74">
        <v>3301702</v>
      </c>
      <c r="CA37" s="74">
        <v>3267935</v>
      </c>
      <c r="CB37" s="74">
        <v>3323167</v>
      </c>
      <c r="CC37" s="74">
        <v>3408431</v>
      </c>
      <c r="CD37" s="74">
        <v>3342419</v>
      </c>
      <c r="CE37" s="74">
        <v>3071882</v>
      </c>
      <c r="CF37" s="74">
        <v>2893581</v>
      </c>
      <c r="CG37" s="74">
        <v>2778803</v>
      </c>
      <c r="CH37" s="74">
        <v>2695302</v>
      </c>
      <c r="CI37" s="74">
        <v>2704035</v>
      </c>
      <c r="CJ37" s="74">
        <v>2598737</v>
      </c>
      <c r="CK37" s="74">
        <v>2433644</v>
      </c>
      <c r="CL37" s="74">
        <v>2261282</v>
      </c>
      <c r="CM37" s="74">
        <v>2111364</v>
      </c>
      <c r="CN37" s="74">
        <v>1942100</v>
      </c>
      <c r="CO37" s="74">
        <v>1701411</v>
      </c>
      <c r="CP37" s="74">
        <v>1513892</v>
      </c>
      <c r="CQ37" s="74">
        <v>1323087</v>
      </c>
      <c r="CR37" s="74">
        <v>1112786</v>
      </c>
      <c r="CS37" s="74">
        <v>946801</v>
      </c>
      <c r="CT37" s="74">
        <v>768594</v>
      </c>
      <c r="CU37" s="74">
        <v>614034</v>
      </c>
      <c r="CV37" s="74">
        <v>480893</v>
      </c>
      <c r="CW37" s="74">
        <v>371750</v>
      </c>
      <c r="CX37" s="74">
        <v>282784</v>
      </c>
      <c r="CY37" s="74">
        <v>209397</v>
      </c>
      <c r="CZ37" s="74">
        <v>348664</v>
      </c>
    </row>
    <row r="38" spans="1:104" ht="17.100000000000001">
      <c r="A38" s="69" t="s">
        <v>659</v>
      </c>
      <c r="B38" s="69">
        <v>2049</v>
      </c>
      <c r="C38" s="74">
        <v>396540072</v>
      </c>
      <c r="D38" s="74">
        <v>4403625</v>
      </c>
      <c r="E38" s="74">
        <v>4410899</v>
      </c>
      <c r="F38" s="74">
        <v>4416713</v>
      </c>
      <c r="G38" s="74">
        <v>4419616</v>
      </c>
      <c r="H38" s="74">
        <v>4420089</v>
      </c>
      <c r="I38" s="74">
        <v>4419237</v>
      </c>
      <c r="J38" s="74">
        <v>4418037</v>
      </c>
      <c r="K38" s="74">
        <v>4417075</v>
      </c>
      <c r="L38" s="74">
        <v>4416710</v>
      </c>
      <c r="M38" s="74">
        <v>4417037</v>
      </c>
      <c r="N38" s="74">
        <v>4418169</v>
      </c>
      <c r="O38" s="74">
        <v>4419811</v>
      </c>
      <c r="P38" s="74">
        <v>4422156</v>
      </c>
      <c r="Q38" s="74">
        <v>4425735</v>
      </c>
      <c r="R38" s="74">
        <v>4431909</v>
      </c>
      <c r="S38" s="74">
        <v>4442894</v>
      </c>
      <c r="T38" s="74">
        <v>4461129</v>
      </c>
      <c r="U38" s="74">
        <v>4488381</v>
      </c>
      <c r="V38" s="74">
        <v>4524880</v>
      </c>
      <c r="W38" s="74">
        <v>4568975</v>
      </c>
      <c r="X38" s="74">
        <v>4617589</v>
      </c>
      <c r="Y38" s="74">
        <v>4668378</v>
      </c>
      <c r="Z38" s="74">
        <v>4718817</v>
      </c>
      <c r="AA38" s="74">
        <v>4766746</v>
      </c>
      <c r="AB38" s="74">
        <v>4811092</v>
      </c>
      <c r="AC38" s="74">
        <v>4851462</v>
      </c>
      <c r="AD38" s="74">
        <v>4887750</v>
      </c>
      <c r="AE38" s="74">
        <v>4919206</v>
      </c>
      <c r="AF38" s="74">
        <v>4944892</v>
      </c>
      <c r="AG38" s="74">
        <v>4963319</v>
      </c>
      <c r="AH38" s="74">
        <v>4973874</v>
      </c>
      <c r="AI38" s="74">
        <v>4977213</v>
      </c>
      <c r="AJ38" s="74">
        <v>4974474</v>
      </c>
      <c r="AK38" s="74">
        <v>4966408</v>
      </c>
      <c r="AL38" s="74">
        <v>4955104</v>
      </c>
      <c r="AM38" s="74">
        <v>4941298</v>
      </c>
      <c r="AN38" s="74">
        <v>4924230</v>
      </c>
      <c r="AO38" s="74">
        <v>4935001</v>
      </c>
      <c r="AP38" s="74">
        <v>4962685</v>
      </c>
      <c r="AQ38" s="74">
        <v>4959783</v>
      </c>
      <c r="AR38" s="74">
        <v>4957586</v>
      </c>
      <c r="AS38" s="74">
        <v>5078694</v>
      </c>
      <c r="AT38" s="74">
        <v>5091074</v>
      </c>
      <c r="AU38" s="74">
        <v>5048244</v>
      </c>
      <c r="AV38" s="74">
        <v>5023897</v>
      </c>
      <c r="AW38" s="74">
        <v>5018923</v>
      </c>
      <c r="AX38" s="74">
        <v>4973174</v>
      </c>
      <c r="AY38" s="74">
        <v>4940210</v>
      </c>
      <c r="AZ38" s="74">
        <v>5019344</v>
      </c>
      <c r="BA38" s="74">
        <v>5058585</v>
      </c>
      <c r="BB38" s="74">
        <v>4967151</v>
      </c>
      <c r="BC38" s="74">
        <v>4940257</v>
      </c>
      <c r="BD38" s="74">
        <v>4918097</v>
      </c>
      <c r="BE38" s="74">
        <v>4910960</v>
      </c>
      <c r="BF38" s="74">
        <v>4954433</v>
      </c>
      <c r="BG38" s="74">
        <v>4989371</v>
      </c>
      <c r="BH38" s="74">
        <v>4999787</v>
      </c>
      <c r="BI38" s="74">
        <v>5054006</v>
      </c>
      <c r="BJ38" s="74">
        <v>5075789</v>
      </c>
      <c r="BK38" s="74">
        <v>5008877</v>
      </c>
      <c r="BL38" s="74">
        <v>4777978</v>
      </c>
      <c r="BM38" s="74">
        <v>4620618</v>
      </c>
      <c r="BN38" s="74">
        <v>4495748</v>
      </c>
      <c r="BO38" s="74">
        <v>4455344</v>
      </c>
      <c r="BP38" s="74">
        <v>4428251</v>
      </c>
      <c r="BQ38" s="74">
        <v>4247393</v>
      </c>
      <c r="BR38" s="74">
        <v>4246098</v>
      </c>
      <c r="BS38" s="74">
        <v>4190690</v>
      </c>
      <c r="BT38" s="74">
        <v>4089314</v>
      </c>
      <c r="BU38" s="74">
        <v>4096583</v>
      </c>
      <c r="BV38" s="74">
        <v>3803207</v>
      </c>
      <c r="BW38" s="74">
        <v>3667218</v>
      </c>
      <c r="BX38" s="74">
        <v>3566223</v>
      </c>
      <c r="BY38" s="74">
        <v>3398225</v>
      </c>
      <c r="BZ38" s="74">
        <v>3417460</v>
      </c>
      <c r="CA38" s="74">
        <v>3241077</v>
      </c>
      <c r="CB38" s="74">
        <v>3200443</v>
      </c>
      <c r="CC38" s="74">
        <v>3245926</v>
      </c>
      <c r="CD38" s="74">
        <v>3319304</v>
      </c>
      <c r="CE38" s="74">
        <v>3244053</v>
      </c>
      <c r="CF38" s="74">
        <v>2969408</v>
      </c>
      <c r="CG38" s="74">
        <v>2784406</v>
      </c>
      <c r="CH38" s="74">
        <v>2661797</v>
      </c>
      <c r="CI38" s="74">
        <v>2568243</v>
      </c>
      <c r="CJ38" s="74">
        <v>2561323</v>
      </c>
      <c r="CK38" s="74">
        <v>2445351</v>
      </c>
      <c r="CL38" s="74">
        <v>2273141</v>
      </c>
      <c r="CM38" s="74">
        <v>2095056</v>
      </c>
      <c r="CN38" s="74">
        <v>1938659</v>
      </c>
      <c r="CO38" s="74">
        <v>1765473</v>
      </c>
      <c r="CP38" s="74">
        <v>1529836</v>
      </c>
      <c r="CQ38" s="74">
        <v>1344884</v>
      </c>
      <c r="CR38" s="74">
        <v>1159942</v>
      </c>
      <c r="CS38" s="74">
        <v>961603</v>
      </c>
      <c r="CT38" s="74">
        <v>805412</v>
      </c>
      <c r="CU38" s="74">
        <v>642840</v>
      </c>
      <c r="CV38" s="74">
        <v>504203</v>
      </c>
      <c r="CW38" s="74">
        <v>387147</v>
      </c>
      <c r="CX38" s="74">
        <v>293040</v>
      </c>
      <c r="CY38" s="74">
        <v>217946</v>
      </c>
      <c r="CZ38" s="74">
        <v>368352</v>
      </c>
    </row>
    <row r="39" spans="1:104" ht="17.100000000000001">
      <c r="A39" s="69" t="s">
        <v>659</v>
      </c>
      <c r="B39" s="69">
        <v>2050</v>
      </c>
      <c r="C39" s="74">
        <v>398328349</v>
      </c>
      <c r="D39" s="74">
        <v>4418211</v>
      </c>
      <c r="E39" s="74">
        <v>4425946</v>
      </c>
      <c r="F39" s="74">
        <v>4432074</v>
      </c>
      <c r="G39" s="74">
        <v>4435090</v>
      </c>
      <c r="H39" s="74">
        <v>4435492</v>
      </c>
      <c r="I39" s="74">
        <v>4434337</v>
      </c>
      <c r="J39" s="74">
        <v>4432614</v>
      </c>
      <c r="K39" s="74">
        <v>4431037</v>
      </c>
      <c r="L39" s="74">
        <v>4430047</v>
      </c>
      <c r="M39" s="74">
        <v>4429624</v>
      </c>
      <c r="N39" s="74">
        <v>4430112</v>
      </c>
      <c r="O39" s="74">
        <v>4431128</v>
      </c>
      <c r="P39" s="74">
        <v>4432759</v>
      </c>
      <c r="Q39" s="74">
        <v>4435665</v>
      </c>
      <c r="R39" s="74">
        <v>4441109</v>
      </c>
      <c r="S39" s="74">
        <v>4451113</v>
      </c>
      <c r="T39" s="74">
        <v>4468079</v>
      </c>
      <c r="U39" s="74">
        <v>4494013</v>
      </c>
      <c r="V39" s="74">
        <v>4529580</v>
      </c>
      <c r="W39" s="74">
        <v>4573106</v>
      </c>
      <c r="X39" s="74">
        <v>4621889</v>
      </c>
      <c r="Y39" s="74">
        <v>4673169</v>
      </c>
      <c r="Z39" s="74">
        <v>4724566</v>
      </c>
      <c r="AA39" s="74">
        <v>4774372</v>
      </c>
      <c r="AB39" s="74">
        <v>4820768</v>
      </c>
      <c r="AC39" s="74">
        <v>4862825</v>
      </c>
      <c r="AD39" s="74">
        <v>4900777</v>
      </c>
      <c r="AE39" s="74">
        <v>4934294</v>
      </c>
      <c r="AF39" s="74">
        <v>4962871</v>
      </c>
      <c r="AG39" s="74">
        <v>4985385</v>
      </c>
      <c r="AH39" s="74">
        <v>5000369</v>
      </c>
      <c r="AI39" s="74">
        <v>5006974</v>
      </c>
      <c r="AJ39" s="74">
        <v>5006364</v>
      </c>
      <c r="AK39" s="74">
        <v>5000330</v>
      </c>
      <c r="AL39" s="74">
        <v>4989903</v>
      </c>
      <c r="AM39" s="74">
        <v>4976791</v>
      </c>
      <c r="AN39" s="74">
        <v>4961455</v>
      </c>
      <c r="AO39" s="74">
        <v>4943056</v>
      </c>
      <c r="AP39" s="74">
        <v>4952732</v>
      </c>
      <c r="AQ39" s="74">
        <v>4979163</v>
      </c>
      <c r="AR39" s="74">
        <v>4974593</v>
      </c>
      <c r="AS39" s="74">
        <v>4970304</v>
      </c>
      <c r="AT39" s="74">
        <v>5089218</v>
      </c>
      <c r="AU39" s="74">
        <v>5099893</v>
      </c>
      <c r="AV39" s="74">
        <v>5055857</v>
      </c>
      <c r="AW39" s="74">
        <v>5030414</v>
      </c>
      <c r="AX39" s="74">
        <v>5024260</v>
      </c>
      <c r="AY39" s="74">
        <v>4977096</v>
      </c>
      <c r="AZ39" s="74">
        <v>4942696</v>
      </c>
      <c r="BA39" s="74">
        <v>5020317</v>
      </c>
      <c r="BB39" s="74">
        <v>5058140</v>
      </c>
      <c r="BC39" s="74">
        <v>4965513</v>
      </c>
      <c r="BD39" s="74">
        <v>4937351</v>
      </c>
      <c r="BE39" s="74">
        <v>4914034</v>
      </c>
      <c r="BF39" s="74">
        <v>4905648</v>
      </c>
      <c r="BG39" s="74">
        <v>4947646</v>
      </c>
      <c r="BH39" s="74">
        <v>4980998</v>
      </c>
      <c r="BI39" s="74">
        <v>4989860</v>
      </c>
      <c r="BJ39" s="74">
        <v>5042338</v>
      </c>
      <c r="BK39" s="74">
        <v>5062616</v>
      </c>
      <c r="BL39" s="74">
        <v>4994465</v>
      </c>
      <c r="BM39" s="74">
        <v>4762945</v>
      </c>
      <c r="BN39" s="74">
        <v>4604378</v>
      </c>
      <c r="BO39" s="74">
        <v>4477905</v>
      </c>
      <c r="BP39" s="74">
        <v>4435165</v>
      </c>
      <c r="BQ39" s="74">
        <v>4405082</v>
      </c>
      <c r="BR39" s="74">
        <v>4221937</v>
      </c>
      <c r="BS39" s="74">
        <v>4216715</v>
      </c>
      <c r="BT39" s="74">
        <v>4157656</v>
      </c>
      <c r="BU39" s="74">
        <v>4052961</v>
      </c>
      <c r="BV39" s="74">
        <v>4055219</v>
      </c>
      <c r="BW39" s="74">
        <v>3760171</v>
      </c>
      <c r="BX39" s="74">
        <v>3620401</v>
      </c>
      <c r="BY39" s="74">
        <v>3514932</v>
      </c>
      <c r="BZ39" s="74">
        <v>3343290</v>
      </c>
      <c r="CA39" s="74">
        <v>3355277</v>
      </c>
      <c r="CB39" s="74">
        <v>3174931</v>
      </c>
      <c r="CC39" s="74">
        <v>3126841</v>
      </c>
      <c r="CD39" s="74">
        <v>3161881</v>
      </c>
      <c r="CE39" s="74">
        <v>3222630</v>
      </c>
      <c r="CF39" s="74">
        <v>3136631</v>
      </c>
      <c r="CG39" s="74">
        <v>2858365</v>
      </c>
      <c r="CH39" s="74">
        <v>2667959</v>
      </c>
      <c r="CI39" s="74">
        <v>2537375</v>
      </c>
      <c r="CJ39" s="74">
        <v>2433753</v>
      </c>
      <c r="CK39" s="74">
        <v>2411169</v>
      </c>
      <c r="CL39" s="74">
        <v>2285246</v>
      </c>
      <c r="CM39" s="74">
        <v>2107233</v>
      </c>
      <c r="CN39" s="74">
        <v>1924900</v>
      </c>
      <c r="CO39" s="74">
        <v>1763708</v>
      </c>
      <c r="CP39" s="74">
        <v>1588603</v>
      </c>
      <c r="CQ39" s="74">
        <v>1360207</v>
      </c>
      <c r="CR39" s="74">
        <v>1180150</v>
      </c>
      <c r="CS39" s="74">
        <v>1003381</v>
      </c>
      <c r="CT39" s="74">
        <v>818941</v>
      </c>
      <c r="CU39" s="74">
        <v>674420</v>
      </c>
      <c r="CV39" s="74">
        <v>528576</v>
      </c>
      <c r="CW39" s="74">
        <v>406497</v>
      </c>
      <c r="CX39" s="74">
        <v>305621</v>
      </c>
      <c r="CY39" s="74">
        <v>226232</v>
      </c>
      <c r="CZ39" s="74">
        <v>386619</v>
      </c>
    </row>
    <row r="40" spans="1:104" ht="17.100000000000001">
      <c r="A40" s="69" t="s">
        <v>659</v>
      </c>
      <c r="B40" s="69">
        <v>2051</v>
      </c>
      <c r="C40" s="74">
        <v>400123782</v>
      </c>
      <c r="D40" s="74">
        <v>4432360</v>
      </c>
      <c r="E40" s="74">
        <v>4440620</v>
      </c>
      <c r="F40" s="74">
        <v>4447194</v>
      </c>
      <c r="G40" s="74">
        <v>4450521</v>
      </c>
      <c r="H40" s="74">
        <v>4451035</v>
      </c>
      <c r="I40" s="74">
        <v>4449794</v>
      </c>
      <c r="J40" s="74">
        <v>4447759</v>
      </c>
      <c r="K40" s="74">
        <v>4445655</v>
      </c>
      <c r="L40" s="74">
        <v>4444046</v>
      </c>
      <c r="M40" s="74">
        <v>4442995</v>
      </c>
      <c r="N40" s="74">
        <v>4442736</v>
      </c>
      <c r="O40" s="74">
        <v>4443102</v>
      </c>
      <c r="P40" s="74">
        <v>4444109</v>
      </c>
      <c r="Q40" s="74">
        <v>4446309</v>
      </c>
      <c r="R40" s="74">
        <v>4451094</v>
      </c>
      <c r="S40" s="74">
        <v>4460370</v>
      </c>
      <c r="T40" s="74">
        <v>4476370</v>
      </c>
      <c r="U40" s="74">
        <v>4501073</v>
      </c>
      <c r="V40" s="74">
        <v>4535340</v>
      </c>
      <c r="W40" s="74">
        <v>4577969</v>
      </c>
      <c r="X40" s="74">
        <v>4626213</v>
      </c>
      <c r="Y40" s="74">
        <v>4677675</v>
      </c>
      <c r="Z40" s="74">
        <v>4729575</v>
      </c>
      <c r="AA40" s="74">
        <v>4780331</v>
      </c>
      <c r="AB40" s="74">
        <v>4828607</v>
      </c>
      <c r="AC40" s="74">
        <v>4872721</v>
      </c>
      <c r="AD40" s="74">
        <v>4912362</v>
      </c>
      <c r="AE40" s="74">
        <v>4947528</v>
      </c>
      <c r="AF40" s="74">
        <v>4978143</v>
      </c>
      <c r="AG40" s="74">
        <v>5003527</v>
      </c>
      <c r="AH40" s="74">
        <v>5022593</v>
      </c>
      <c r="AI40" s="74">
        <v>5033600</v>
      </c>
      <c r="AJ40" s="74">
        <v>5036239</v>
      </c>
      <c r="AK40" s="74">
        <v>5032333</v>
      </c>
      <c r="AL40" s="74">
        <v>5023935</v>
      </c>
      <c r="AM40" s="74">
        <v>5011704</v>
      </c>
      <c r="AN40" s="74">
        <v>4997051</v>
      </c>
      <c r="AO40" s="74">
        <v>4980392</v>
      </c>
      <c r="AP40" s="74">
        <v>4960894</v>
      </c>
      <c r="AQ40" s="74">
        <v>4969322</v>
      </c>
      <c r="AR40" s="74">
        <v>4994086</v>
      </c>
      <c r="AS40" s="74">
        <v>4987422</v>
      </c>
      <c r="AT40" s="74">
        <v>4981066</v>
      </c>
      <c r="AU40" s="74">
        <v>5098174</v>
      </c>
      <c r="AV40" s="74">
        <v>5107587</v>
      </c>
      <c r="AW40" s="74">
        <v>5062506</v>
      </c>
      <c r="AX40" s="74">
        <v>5035902</v>
      </c>
      <c r="AY40" s="74">
        <v>5028335</v>
      </c>
      <c r="AZ40" s="74">
        <v>4979713</v>
      </c>
      <c r="BA40" s="74">
        <v>4944015</v>
      </c>
      <c r="BB40" s="74">
        <v>5020189</v>
      </c>
      <c r="BC40" s="74">
        <v>5056571</v>
      </c>
      <c r="BD40" s="74">
        <v>4962812</v>
      </c>
      <c r="BE40" s="74">
        <v>4933492</v>
      </c>
      <c r="BF40" s="74">
        <v>4908995</v>
      </c>
      <c r="BG40" s="74">
        <v>4899354</v>
      </c>
      <c r="BH40" s="74">
        <v>4939745</v>
      </c>
      <c r="BI40" s="74">
        <v>4971489</v>
      </c>
      <c r="BJ40" s="74">
        <v>4978848</v>
      </c>
      <c r="BK40" s="74">
        <v>5029654</v>
      </c>
      <c r="BL40" s="74">
        <v>5048416</v>
      </c>
      <c r="BM40" s="74">
        <v>4978908</v>
      </c>
      <c r="BN40" s="74">
        <v>4746491</v>
      </c>
      <c r="BO40" s="74">
        <v>4586358</v>
      </c>
      <c r="BP40" s="74">
        <v>4458048</v>
      </c>
      <c r="BQ40" s="74">
        <v>4412458</v>
      </c>
      <c r="BR40" s="74">
        <v>4378946</v>
      </c>
      <c r="BS40" s="74">
        <v>4193339</v>
      </c>
      <c r="BT40" s="74">
        <v>4183941</v>
      </c>
      <c r="BU40" s="74">
        <v>4121214</v>
      </c>
      <c r="BV40" s="74">
        <v>4012881</v>
      </c>
      <c r="BW40" s="74">
        <v>4009620</v>
      </c>
      <c r="BX40" s="74">
        <v>3712739</v>
      </c>
      <c r="BY40" s="74">
        <v>3568921</v>
      </c>
      <c r="BZ40" s="74">
        <v>3458705</v>
      </c>
      <c r="CA40" s="74">
        <v>3283267</v>
      </c>
      <c r="CB40" s="74">
        <v>3287410</v>
      </c>
      <c r="CC40" s="74">
        <v>3102731</v>
      </c>
      <c r="CD40" s="74">
        <v>3046693</v>
      </c>
      <c r="CE40" s="74">
        <v>3070645</v>
      </c>
      <c r="CF40" s="74">
        <v>3116951</v>
      </c>
      <c r="CG40" s="74">
        <v>3020159</v>
      </c>
      <c r="CH40" s="74">
        <v>2739873</v>
      </c>
      <c r="CI40" s="74">
        <v>2544095</v>
      </c>
      <c r="CJ40" s="74">
        <v>2405601</v>
      </c>
      <c r="CK40" s="74">
        <v>2292182</v>
      </c>
      <c r="CL40" s="74">
        <v>2254388</v>
      </c>
      <c r="CM40" s="74">
        <v>2119650</v>
      </c>
      <c r="CN40" s="74">
        <v>1937297</v>
      </c>
      <c r="CO40" s="74">
        <v>1752402</v>
      </c>
      <c r="CP40" s="74">
        <v>1588346</v>
      </c>
      <c r="CQ40" s="74">
        <v>1413587</v>
      </c>
      <c r="CR40" s="74">
        <v>1194698</v>
      </c>
      <c r="CS40" s="74">
        <v>1021875</v>
      </c>
      <c r="CT40" s="74">
        <v>855466</v>
      </c>
      <c r="CU40" s="74">
        <v>686586</v>
      </c>
      <c r="CV40" s="74">
        <v>555243</v>
      </c>
      <c r="CW40" s="74">
        <v>426771</v>
      </c>
      <c r="CX40" s="74">
        <v>321393</v>
      </c>
      <c r="CY40" s="74">
        <v>236292</v>
      </c>
      <c r="CZ40" s="74">
        <v>404045</v>
      </c>
    </row>
    <row r="41" spans="1:104" ht="17.100000000000001">
      <c r="A41" s="69" t="s">
        <v>659</v>
      </c>
      <c r="B41" s="69">
        <v>2052</v>
      </c>
      <c r="C41" s="74">
        <v>401928705</v>
      </c>
      <c r="D41" s="74">
        <v>4445937</v>
      </c>
      <c r="E41" s="74">
        <v>4454854</v>
      </c>
      <c r="F41" s="74">
        <v>4461933</v>
      </c>
      <c r="G41" s="74">
        <v>4465708</v>
      </c>
      <c r="H41" s="74">
        <v>4466528</v>
      </c>
      <c r="I41" s="74">
        <v>4465386</v>
      </c>
      <c r="J41" s="74">
        <v>4463257</v>
      </c>
      <c r="K41" s="74">
        <v>4460837</v>
      </c>
      <c r="L41" s="74">
        <v>4458707</v>
      </c>
      <c r="M41" s="74">
        <v>4457040</v>
      </c>
      <c r="N41" s="74">
        <v>4456150</v>
      </c>
      <c r="O41" s="74">
        <v>4455765</v>
      </c>
      <c r="P41" s="74">
        <v>4456111</v>
      </c>
      <c r="Q41" s="74">
        <v>4457700</v>
      </c>
      <c r="R41" s="74">
        <v>4461780</v>
      </c>
      <c r="S41" s="74">
        <v>4470408</v>
      </c>
      <c r="T41" s="74">
        <v>4485701</v>
      </c>
      <c r="U41" s="74">
        <v>4509471</v>
      </c>
      <c r="V41" s="74">
        <v>4542537</v>
      </c>
      <c r="W41" s="74">
        <v>4583892</v>
      </c>
      <c r="X41" s="74">
        <v>4631255</v>
      </c>
      <c r="Y41" s="74">
        <v>4682182</v>
      </c>
      <c r="Z41" s="74">
        <v>4734275</v>
      </c>
      <c r="AA41" s="74">
        <v>4785559</v>
      </c>
      <c r="AB41" s="74">
        <v>4834792</v>
      </c>
      <c r="AC41" s="74">
        <v>4880761</v>
      </c>
      <c r="AD41" s="74">
        <v>4922448</v>
      </c>
      <c r="AE41" s="74">
        <v>4959282</v>
      </c>
      <c r="AF41" s="74">
        <v>4991544</v>
      </c>
      <c r="AG41" s="74">
        <v>5018976</v>
      </c>
      <c r="AH41" s="74">
        <v>5040892</v>
      </c>
      <c r="AI41" s="74">
        <v>5055982</v>
      </c>
      <c r="AJ41" s="74">
        <v>5063009</v>
      </c>
      <c r="AK41" s="74">
        <v>5062324</v>
      </c>
      <c r="AL41" s="74">
        <v>5056034</v>
      </c>
      <c r="AM41" s="74">
        <v>5045823</v>
      </c>
      <c r="AN41" s="74">
        <v>5032058</v>
      </c>
      <c r="AO41" s="74">
        <v>5016078</v>
      </c>
      <c r="AP41" s="74">
        <v>4998319</v>
      </c>
      <c r="AQ41" s="74">
        <v>4977577</v>
      </c>
      <c r="AR41" s="74">
        <v>4984351</v>
      </c>
      <c r="AS41" s="74">
        <v>5007007</v>
      </c>
      <c r="AT41" s="74">
        <v>4998270</v>
      </c>
      <c r="AU41" s="74">
        <v>4990243</v>
      </c>
      <c r="AV41" s="74">
        <v>5105996</v>
      </c>
      <c r="AW41" s="74">
        <v>5114313</v>
      </c>
      <c r="AX41" s="74">
        <v>5068125</v>
      </c>
      <c r="AY41" s="74">
        <v>5040130</v>
      </c>
      <c r="AZ41" s="74">
        <v>5031117</v>
      </c>
      <c r="BA41" s="74">
        <v>4981187</v>
      </c>
      <c r="BB41" s="74">
        <v>4944266</v>
      </c>
      <c r="BC41" s="74">
        <v>5018965</v>
      </c>
      <c r="BD41" s="74">
        <v>5053968</v>
      </c>
      <c r="BE41" s="74">
        <v>4959192</v>
      </c>
      <c r="BF41" s="74">
        <v>4928702</v>
      </c>
      <c r="BG41" s="74">
        <v>4902996</v>
      </c>
      <c r="BH41" s="74">
        <v>4891960</v>
      </c>
      <c r="BI41" s="74">
        <v>4930738</v>
      </c>
      <c r="BJ41" s="74">
        <v>4960910</v>
      </c>
      <c r="BK41" s="74">
        <v>4966847</v>
      </c>
      <c r="BL41" s="74">
        <v>5015970</v>
      </c>
      <c r="BM41" s="74">
        <v>5033062</v>
      </c>
      <c r="BN41" s="74">
        <v>4961874</v>
      </c>
      <c r="BO41" s="74">
        <v>4728219</v>
      </c>
      <c r="BP41" s="74">
        <v>4566302</v>
      </c>
      <c r="BQ41" s="74">
        <v>4435668</v>
      </c>
      <c r="BR41" s="74">
        <v>4386788</v>
      </c>
      <c r="BS41" s="74">
        <v>4349586</v>
      </c>
      <c r="BT41" s="74">
        <v>4161396</v>
      </c>
      <c r="BU41" s="74">
        <v>4147764</v>
      </c>
      <c r="BV41" s="74">
        <v>4081000</v>
      </c>
      <c r="BW41" s="74">
        <v>3968617</v>
      </c>
      <c r="BX41" s="74">
        <v>3959398</v>
      </c>
      <c r="BY41" s="74">
        <v>3660553</v>
      </c>
      <c r="BZ41" s="74">
        <v>3512441</v>
      </c>
      <c r="CA41" s="74">
        <v>3397240</v>
      </c>
      <c r="CB41" s="74">
        <v>3217689</v>
      </c>
      <c r="CC41" s="74">
        <v>3213296</v>
      </c>
      <c r="CD41" s="74">
        <v>3024037</v>
      </c>
      <c r="CE41" s="74">
        <v>2959605</v>
      </c>
      <c r="CF41" s="74">
        <v>2970796</v>
      </c>
      <c r="CG41" s="74">
        <v>3002252</v>
      </c>
      <c r="CH41" s="74">
        <v>2895826</v>
      </c>
      <c r="CI41" s="74">
        <v>2613753</v>
      </c>
      <c r="CJ41" s="74">
        <v>2412868</v>
      </c>
      <c r="CK41" s="74">
        <v>2266796</v>
      </c>
      <c r="CL41" s="74">
        <v>2144253</v>
      </c>
      <c r="CM41" s="74">
        <v>2092124</v>
      </c>
      <c r="CN41" s="74">
        <v>1949919</v>
      </c>
      <c r="CO41" s="74">
        <v>1764886</v>
      </c>
      <c r="CP41" s="74">
        <v>1579356</v>
      </c>
      <c r="CQ41" s="74">
        <v>1414642</v>
      </c>
      <c r="CR41" s="74">
        <v>1242671</v>
      </c>
      <c r="CS41" s="74">
        <v>1035510</v>
      </c>
      <c r="CT41" s="74">
        <v>872168</v>
      </c>
      <c r="CU41" s="74">
        <v>718054</v>
      </c>
      <c r="CV41" s="74">
        <v>566003</v>
      </c>
      <c r="CW41" s="74">
        <v>448904</v>
      </c>
      <c r="CX41" s="74">
        <v>337945</v>
      </c>
      <c r="CY41" s="74">
        <v>248892</v>
      </c>
      <c r="CZ41" s="74">
        <v>422427</v>
      </c>
    </row>
    <row r="42" spans="1:104" ht="17.100000000000001">
      <c r="A42" s="69" t="s">
        <v>659</v>
      </c>
      <c r="B42" s="69">
        <v>2053</v>
      </c>
      <c r="C42" s="74">
        <v>403744486</v>
      </c>
      <c r="D42" s="74">
        <v>4458843</v>
      </c>
      <c r="E42" s="74">
        <v>4468521</v>
      </c>
      <c r="F42" s="74">
        <v>4476247</v>
      </c>
      <c r="G42" s="74">
        <v>4480504</v>
      </c>
      <c r="H42" s="74">
        <v>4481763</v>
      </c>
      <c r="I42" s="74">
        <v>4480923</v>
      </c>
      <c r="J42" s="74">
        <v>4478885</v>
      </c>
      <c r="K42" s="74">
        <v>4476376</v>
      </c>
      <c r="L42" s="74">
        <v>4473929</v>
      </c>
      <c r="M42" s="74">
        <v>4471735</v>
      </c>
      <c r="N42" s="74">
        <v>4470230</v>
      </c>
      <c r="O42" s="74">
        <v>4469218</v>
      </c>
      <c r="P42" s="74">
        <v>4468806</v>
      </c>
      <c r="Q42" s="74">
        <v>4469732</v>
      </c>
      <c r="R42" s="74">
        <v>4473213</v>
      </c>
      <c r="S42" s="74">
        <v>4481156</v>
      </c>
      <c r="T42" s="74">
        <v>4495813</v>
      </c>
      <c r="U42" s="74">
        <v>4518885</v>
      </c>
      <c r="V42" s="74">
        <v>4551056</v>
      </c>
      <c r="W42" s="74">
        <v>4591229</v>
      </c>
      <c r="X42" s="74">
        <v>4637336</v>
      </c>
      <c r="Y42" s="74">
        <v>4687396</v>
      </c>
      <c r="Z42" s="74">
        <v>4738968</v>
      </c>
      <c r="AA42" s="74">
        <v>4790460</v>
      </c>
      <c r="AB42" s="74">
        <v>4840204</v>
      </c>
      <c r="AC42" s="74">
        <v>4887141</v>
      </c>
      <c r="AD42" s="74">
        <v>4930682</v>
      </c>
      <c r="AE42" s="74">
        <v>4969562</v>
      </c>
      <c r="AF42" s="74">
        <v>5003472</v>
      </c>
      <c r="AG42" s="74">
        <v>5032519</v>
      </c>
      <c r="AH42" s="74">
        <v>5056474</v>
      </c>
      <c r="AI42" s="74">
        <v>5074406</v>
      </c>
      <c r="AJ42" s="74">
        <v>5085508</v>
      </c>
      <c r="AK42" s="74">
        <v>5089210</v>
      </c>
      <c r="AL42" s="74">
        <v>5086148</v>
      </c>
      <c r="AM42" s="74">
        <v>5078025</v>
      </c>
      <c r="AN42" s="74">
        <v>5066260</v>
      </c>
      <c r="AO42" s="74">
        <v>5051170</v>
      </c>
      <c r="AP42" s="74">
        <v>5034105</v>
      </c>
      <c r="AQ42" s="74">
        <v>5015107</v>
      </c>
      <c r="AR42" s="74">
        <v>4992706</v>
      </c>
      <c r="AS42" s="74">
        <v>4997379</v>
      </c>
      <c r="AT42" s="74">
        <v>5017942</v>
      </c>
      <c r="AU42" s="74">
        <v>5007538</v>
      </c>
      <c r="AV42" s="74">
        <v>4998299</v>
      </c>
      <c r="AW42" s="74">
        <v>5112846</v>
      </c>
      <c r="AX42" s="74">
        <v>5119999</v>
      </c>
      <c r="AY42" s="74">
        <v>5072483</v>
      </c>
      <c r="AZ42" s="74">
        <v>5043063</v>
      </c>
      <c r="BA42" s="74">
        <v>5032746</v>
      </c>
      <c r="BB42" s="74">
        <v>4981595</v>
      </c>
      <c r="BC42" s="74">
        <v>4943437</v>
      </c>
      <c r="BD42" s="74">
        <v>5016702</v>
      </c>
      <c r="BE42" s="74">
        <v>5050416</v>
      </c>
      <c r="BF42" s="74">
        <v>4954619</v>
      </c>
      <c r="BG42" s="74">
        <v>4922934</v>
      </c>
      <c r="BH42" s="74">
        <v>4895922</v>
      </c>
      <c r="BI42" s="74">
        <v>4883472</v>
      </c>
      <c r="BJ42" s="74">
        <v>4920678</v>
      </c>
      <c r="BK42" s="74">
        <v>4949363</v>
      </c>
      <c r="BL42" s="74">
        <v>4953873</v>
      </c>
      <c r="BM42" s="74">
        <v>5001159</v>
      </c>
      <c r="BN42" s="74">
        <v>5016217</v>
      </c>
      <c r="BO42" s="74">
        <v>4942945</v>
      </c>
      <c r="BP42" s="74">
        <v>4707852</v>
      </c>
      <c r="BQ42" s="74">
        <v>4543682</v>
      </c>
      <c r="BR42" s="74">
        <v>4410317</v>
      </c>
      <c r="BS42" s="74">
        <v>4357898</v>
      </c>
      <c r="BT42" s="74">
        <v>4316776</v>
      </c>
      <c r="BU42" s="74">
        <v>4126085</v>
      </c>
      <c r="BV42" s="74">
        <v>4107814</v>
      </c>
      <c r="BW42" s="74">
        <v>4036544</v>
      </c>
      <c r="BX42" s="74">
        <v>3919768</v>
      </c>
      <c r="BY42" s="74">
        <v>3904138</v>
      </c>
      <c r="BZ42" s="74">
        <v>3603267</v>
      </c>
      <c r="CA42" s="74">
        <v>3450673</v>
      </c>
      <c r="CB42" s="74">
        <v>3330071</v>
      </c>
      <c r="CC42" s="74">
        <v>3146009</v>
      </c>
      <c r="CD42" s="74">
        <v>3132488</v>
      </c>
      <c r="CE42" s="74">
        <v>2938456</v>
      </c>
      <c r="CF42" s="74">
        <v>2864198</v>
      </c>
      <c r="CG42" s="74">
        <v>2862328</v>
      </c>
      <c r="CH42" s="74">
        <v>2879734</v>
      </c>
      <c r="CI42" s="74">
        <v>2763443</v>
      </c>
      <c r="CJ42" s="74">
        <v>2480051</v>
      </c>
      <c r="CK42" s="74">
        <v>2274574</v>
      </c>
      <c r="CL42" s="74">
        <v>2121660</v>
      </c>
      <c r="CM42" s="74">
        <v>1991049</v>
      </c>
      <c r="CN42" s="74">
        <v>1925701</v>
      </c>
      <c r="CO42" s="74">
        <v>1777597</v>
      </c>
      <c r="CP42" s="74">
        <v>1591809</v>
      </c>
      <c r="CQ42" s="74">
        <v>1407809</v>
      </c>
      <c r="CR42" s="74">
        <v>1244816</v>
      </c>
      <c r="CS42" s="74">
        <v>1078119</v>
      </c>
      <c r="CT42" s="74">
        <v>884766</v>
      </c>
      <c r="CU42" s="74">
        <v>732925</v>
      </c>
      <c r="CV42" s="74">
        <v>592680</v>
      </c>
      <c r="CW42" s="74">
        <v>458247</v>
      </c>
      <c r="CX42" s="74">
        <v>355974</v>
      </c>
      <c r="CY42" s="74">
        <v>262133</v>
      </c>
      <c r="CZ42" s="74">
        <v>443485</v>
      </c>
    </row>
    <row r="43" spans="1:104" ht="17.100000000000001">
      <c r="A43" s="69" t="s">
        <v>659</v>
      </c>
      <c r="B43" s="69">
        <v>2054</v>
      </c>
      <c r="C43" s="74">
        <v>405572155</v>
      </c>
      <c r="D43" s="74">
        <v>4471066</v>
      </c>
      <c r="E43" s="74">
        <v>4481502</v>
      </c>
      <c r="F43" s="74">
        <v>4489982</v>
      </c>
      <c r="G43" s="74">
        <v>4494875</v>
      </c>
      <c r="H43" s="74">
        <v>4496607</v>
      </c>
      <c r="I43" s="74">
        <v>4496202</v>
      </c>
      <c r="J43" s="74">
        <v>4494463</v>
      </c>
      <c r="K43" s="74">
        <v>4492035</v>
      </c>
      <c r="L43" s="74">
        <v>4489496</v>
      </c>
      <c r="M43" s="74">
        <v>4486986</v>
      </c>
      <c r="N43" s="74">
        <v>4484951</v>
      </c>
      <c r="O43" s="74">
        <v>4483323</v>
      </c>
      <c r="P43" s="74">
        <v>4482285</v>
      </c>
      <c r="Q43" s="74">
        <v>4482451</v>
      </c>
      <c r="R43" s="74">
        <v>4485274</v>
      </c>
      <c r="S43" s="74">
        <v>4492630</v>
      </c>
      <c r="T43" s="74">
        <v>4506616</v>
      </c>
      <c r="U43" s="74">
        <v>4529071</v>
      </c>
      <c r="V43" s="74">
        <v>4560576</v>
      </c>
      <c r="W43" s="74">
        <v>4599881</v>
      </c>
      <c r="X43" s="74">
        <v>4644817</v>
      </c>
      <c r="Y43" s="74">
        <v>4693641</v>
      </c>
      <c r="Z43" s="74">
        <v>4744364</v>
      </c>
      <c r="AA43" s="74">
        <v>4795328</v>
      </c>
      <c r="AB43" s="74">
        <v>4845295</v>
      </c>
      <c r="AC43" s="74">
        <v>4892740</v>
      </c>
      <c r="AD43" s="74">
        <v>4937227</v>
      </c>
      <c r="AE43" s="74">
        <v>4977951</v>
      </c>
      <c r="AF43" s="74">
        <v>5013917</v>
      </c>
      <c r="AG43" s="74">
        <v>5044608</v>
      </c>
      <c r="AH43" s="74">
        <v>5070166</v>
      </c>
      <c r="AI43" s="74">
        <v>5090113</v>
      </c>
      <c r="AJ43" s="74">
        <v>5104049</v>
      </c>
      <c r="AK43" s="74">
        <v>5111815</v>
      </c>
      <c r="AL43" s="74">
        <v>5113117</v>
      </c>
      <c r="AM43" s="74">
        <v>5108225</v>
      </c>
      <c r="AN43" s="74">
        <v>5098547</v>
      </c>
      <c r="AO43" s="74">
        <v>5085460</v>
      </c>
      <c r="AP43" s="74">
        <v>5069283</v>
      </c>
      <c r="AQ43" s="74">
        <v>5050983</v>
      </c>
      <c r="AR43" s="74">
        <v>5030318</v>
      </c>
      <c r="AS43" s="74">
        <v>5005818</v>
      </c>
      <c r="AT43" s="74">
        <v>5008442</v>
      </c>
      <c r="AU43" s="74">
        <v>5027320</v>
      </c>
      <c r="AV43" s="74">
        <v>5015694</v>
      </c>
      <c r="AW43" s="74">
        <v>5005404</v>
      </c>
      <c r="AX43" s="74">
        <v>5118686</v>
      </c>
      <c r="AY43" s="74">
        <v>5124442</v>
      </c>
      <c r="AZ43" s="74">
        <v>5075553</v>
      </c>
      <c r="BA43" s="74">
        <v>5044850</v>
      </c>
      <c r="BB43" s="74">
        <v>5033313</v>
      </c>
      <c r="BC43" s="74">
        <v>4980916</v>
      </c>
      <c r="BD43" s="74">
        <v>4941585</v>
      </c>
      <c r="BE43" s="74">
        <v>5013522</v>
      </c>
      <c r="BF43" s="74">
        <v>5045909</v>
      </c>
      <c r="BG43" s="74">
        <v>4949083</v>
      </c>
      <c r="BH43" s="74">
        <v>4916089</v>
      </c>
      <c r="BI43" s="74">
        <v>4887762</v>
      </c>
      <c r="BJ43" s="74">
        <v>4873976</v>
      </c>
      <c r="BK43" s="74">
        <v>4909673</v>
      </c>
      <c r="BL43" s="74">
        <v>4936852</v>
      </c>
      <c r="BM43" s="74">
        <v>4939795</v>
      </c>
      <c r="BN43" s="74">
        <v>4984888</v>
      </c>
      <c r="BO43" s="74">
        <v>4997499</v>
      </c>
      <c r="BP43" s="74">
        <v>4921849</v>
      </c>
      <c r="BQ43" s="74">
        <v>4684866</v>
      </c>
      <c r="BR43" s="74">
        <v>4518051</v>
      </c>
      <c r="BS43" s="74">
        <v>4381763</v>
      </c>
      <c r="BT43" s="74">
        <v>4325584</v>
      </c>
      <c r="BU43" s="74">
        <v>4280474</v>
      </c>
      <c r="BV43" s="74">
        <v>4087016</v>
      </c>
      <c r="BW43" s="74">
        <v>4063626</v>
      </c>
      <c r="BX43" s="74">
        <v>3987463</v>
      </c>
      <c r="BY43" s="74">
        <v>3865960</v>
      </c>
      <c r="BZ43" s="74">
        <v>3843489</v>
      </c>
      <c r="CA43" s="74">
        <v>3540575</v>
      </c>
      <c r="CB43" s="74">
        <v>3383120</v>
      </c>
      <c r="CC43" s="74">
        <v>3256619</v>
      </c>
      <c r="CD43" s="74">
        <v>3067771</v>
      </c>
      <c r="CE43" s="74">
        <v>3044580</v>
      </c>
      <c r="CF43" s="74">
        <v>2844599</v>
      </c>
      <c r="CG43" s="74">
        <v>2760462</v>
      </c>
      <c r="CH43" s="74">
        <v>2746409</v>
      </c>
      <c r="CI43" s="74">
        <v>2749210</v>
      </c>
      <c r="CJ43" s="74">
        <v>2623052</v>
      </c>
      <c r="CK43" s="74">
        <v>2339064</v>
      </c>
      <c r="CL43" s="74">
        <v>2129903</v>
      </c>
      <c r="CM43" s="74">
        <v>1971246</v>
      </c>
      <c r="CN43" s="74">
        <v>1833819</v>
      </c>
      <c r="CO43" s="74">
        <v>1756633</v>
      </c>
      <c r="CP43" s="74">
        <v>1604451</v>
      </c>
      <c r="CQ43" s="74">
        <v>1420057</v>
      </c>
      <c r="CR43" s="74">
        <v>1239908</v>
      </c>
      <c r="CS43" s="74">
        <v>1081116</v>
      </c>
      <c r="CT43" s="74">
        <v>922125</v>
      </c>
      <c r="CU43" s="74">
        <v>744381</v>
      </c>
      <c r="CV43" s="74">
        <v>605701</v>
      </c>
      <c r="CW43" s="74">
        <v>480485</v>
      </c>
      <c r="CX43" s="74">
        <v>363919</v>
      </c>
      <c r="CY43" s="74">
        <v>276538</v>
      </c>
      <c r="CZ43" s="74">
        <v>466964</v>
      </c>
    </row>
    <row r="44" spans="1:104" ht="17.100000000000001">
      <c r="A44" s="69" t="s">
        <v>659</v>
      </c>
      <c r="B44" s="69">
        <v>2055</v>
      </c>
      <c r="C44" s="74">
        <v>407412129</v>
      </c>
      <c r="D44" s="74">
        <v>4482613</v>
      </c>
      <c r="E44" s="74">
        <v>4493803</v>
      </c>
      <c r="F44" s="74">
        <v>4503025</v>
      </c>
      <c r="G44" s="74">
        <v>4508664</v>
      </c>
      <c r="H44" s="74">
        <v>4511017</v>
      </c>
      <c r="I44" s="74">
        <v>4511097</v>
      </c>
      <c r="J44" s="74">
        <v>4509784</v>
      </c>
      <c r="K44" s="74">
        <v>4507639</v>
      </c>
      <c r="L44" s="74">
        <v>4505182</v>
      </c>
      <c r="M44" s="74">
        <v>4502578</v>
      </c>
      <c r="N44" s="74">
        <v>4500226</v>
      </c>
      <c r="O44" s="74">
        <v>4498067</v>
      </c>
      <c r="P44" s="74">
        <v>4496420</v>
      </c>
      <c r="Q44" s="74">
        <v>4495953</v>
      </c>
      <c r="R44" s="74">
        <v>4498015</v>
      </c>
      <c r="S44" s="74">
        <v>4504731</v>
      </c>
      <c r="T44" s="74">
        <v>4518152</v>
      </c>
      <c r="U44" s="74">
        <v>4539957</v>
      </c>
      <c r="V44" s="74">
        <v>4570856</v>
      </c>
      <c r="W44" s="74">
        <v>4609514</v>
      </c>
      <c r="X44" s="74">
        <v>4653609</v>
      </c>
      <c r="Y44" s="74">
        <v>4701284</v>
      </c>
      <c r="Z44" s="74">
        <v>4750765</v>
      </c>
      <c r="AA44" s="74">
        <v>4800898</v>
      </c>
      <c r="AB44" s="74">
        <v>4850335</v>
      </c>
      <c r="AC44" s="74">
        <v>4897998</v>
      </c>
      <c r="AD44" s="74">
        <v>4943001</v>
      </c>
      <c r="AE44" s="74">
        <v>4984661</v>
      </c>
      <c r="AF44" s="74">
        <v>5022454</v>
      </c>
      <c r="AG44" s="74">
        <v>5055188</v>
      </c>
      <c r="AH44" s="74">
        <v>5082391</v>
      </c>
      <c r="AI44" s="74">
        <v>5103944</v>
      </c>
      <c r="AJ44" s="74">
        <v>5119866</v>
      </c>
      <c r="AK44" s="74">
        <v>5130447</v>
      </c>
      <c r="AL44" s="74">
        <v>5135806</v>
      </c>
      <c r="AM44" s="74">
        <v>5135271</v>
      </c>
      <c r="AN44" s="74">
        <v>5128822</v>
      </c>
      <c r="AO44" s="74">
        <v>5117818</v>
      </c>
      <c r="AP44" s="74">
        <v>5103639</v>
      </c>
      <c r="AQ44" s="74">
        <v>5086232</v>
      </c>
      <c r="AR44" s="74">
        <v>5066269</v>
      </c>
      <c r="AS44" s="74">
        <v>5043521</v>
      </c>
      <c r="AT44" s="74">
        <v>5016962</v>
      </c>
      <c r="AU44" s="74">
        <v>5017915</v>
      </c>
      <c r="AV44" s="74">
        <v>5035558</v>
      </c>
      <c r="AW44" s="74">
        <v>5022890</v>
      </c>
      <c r="AX44" s="74">
        <v>5011502</v>
      </c>
      <c r="AY44" s="74">
        <v>5123287</v>
      </c>
      <c r="AZ44" s="74">
        <v>5127601</v>
      </c>
      <c r="BA44" s="74">
        <v>5077488</v>
      </c>
      <c r="BB44" s="74">
        <v>5045585</v>
      </c>
      <c r="BC44" s="74">
        <v>5032798</v>
      </c>
      <c r="BD44" s="74">
        <v>4979228</v>
      </c>
      <c r="BE44" s="74">
        <v>4938832</v>
      </c>
      <c r="BF44" s="74">
        <v>5009411</v>
      </c>
      <c r="BG44" s="74">
        <v>5040449</v>
      </c>
      <c r="BH44" s="74">
        <v>4942484</v>
      </c>
      <c r="BI44" s="74">
        <v>4908179</v>
      </c>
      <c r="BJ44" s="74">
        <v>4878608</v>
      </c>
      <c r="BK44" s="74">
        <v>4863554</v>
      </c>
      <c r="BL44" s="74">
        <v>4897738</v>
      </c>
      <c r="BM44" s="74">
        <v>4923263</v>
      </c>
      <c r="BN44" s="74">
        <v>4924289</v>
      </c>
      <c r="BO44" s="74">
        <v>4966758</v>
      </c>
      <c r="BP44" s="74">
        <v>4976595</v>
      </c>
      <c r="BQ44" s="74">
        <v>4898048</v>
      </c>
      <c r="BR44" s="74">
        <v>4658793</v>
      </c>
      <c r="BS44" s="74">
        <v>4489150</v>
      </c>
      <c r="BT44" s="74">
        <v>4349759</v>
      </c>
      <c r="BU44" s="74">
        <v>4289792</v>
      </c>
      <c r="BV44" s="74">
        <v>4240325</v>
      </c>
      <c r="BW44" s="74">
        <v>4043732</v>
      </c>
      <c r="BX44" s="74">
        <v>4014781</v>
      </c>
      <c r="BY44" s="74">
        <v>3933356</v>
      </c>
      <c r="BZ44" s="74">
        <v>3806830</v>
      </c>
      <c r="CA44" s="74">
        <v>3777124</v>
      </c>
      <c r="CB44" s="74">
        <v>3471990</v>
      </c>
      <c r="CC44" s="74">
        <v>3309211</v>
      </c>
      <c r="CD44" s="74">
        <v>3176395</v>
      </c>
      <c r="CE44" s="74">
        <v>2982574</v>
      </c>
      <c r="CF44" s="74">
        <v>2948088</v>
      </c>
      <c r="CG44" s="74">
        <v>2742456</v>
      </c>
      <c r="CH44" s="74">
        <v>2649545</v>
      </c>
      <c r="CI44" s="74">
        <v>2622866</v>
      </c>
      <c r="CJ44" s="74">
        <v>2610736</v>
      </c>
      <c r="CK44" s="74">
        <v>2474979</v>
      </c>
      <c r="CL44" s="74">
        <v>2191485</v>
      </c>
      <c r="CM44" s="74">
        <v>1979902</v>
      </c>
      <c r="CN44" s="74">
        <v>1816754</v>
      </c>
      <c r="CO44" s="74">
        <v>1673958</v>
      </c>
      <c r="CP44" s="74">
        <v>1586629</v>
      </c>
      <c r="CQ44" s="74">
        <v>1432490</v>
      </c>
      <c r="CR44" s="74">
        <v>1251810</v>
      </c>
      <c r="CS44" s="74">
        <v>1077889</v>
      </c>
      <c r="CT44" s="74">
        <v>925728</v>
      </c>
      <c r="CU44" s="74">
        <v>776670</v>
      </c>
      <c r="CV44" s="74">
        <v>615946</v>
      </c>
      <c r="CW44" s="74">
        <v>491681</v>
      </c>
      <c r="CX44" s="74">
        <v>382126</v>
      </c>
      <c r="CY44" s="74">
        <v>283153</v>
      </c>
      <c r="CZ44" s="74">
        <v>492892</v>
      </c>
    </row>
    <row r="45" spans="1:104" ht="17.100000000000001">
      <c r="A45" s="69" t="s">
        <v>659</v>
      </c>
      <c r="B45" s="69">
        <v>2056</v>
      </c>
      <c r="C45" s="74">
        <v>409264954</v>
      </c>
      <c r="D45" s="74">
        <v>4493531</v>
      </c>
      <c r="E45" s="74">
        <v>4505417</v>
      </c>
      <c r="F45" s="74">
        <v>4515377</v>
      </c>
      <c r="G45" s="74">
        <v>4521751</v>
      </c>
      <c r="H45" s="74">
        <v>4524849</v>
      </c>
      <c r="I45" s="74">
        <v>4525539</v>
      </c>
      <c r="J45" s="74">
        <v>4524713</v>
      </c>
      <c r="K45" s="74">
        <v>4522985</v>
      </c>
      <c r="L45" s="74">
        <v>4520814</v>
      </c>
      <c r="M45" s="74">
        <v>4518292</v>
      </c>
      <c r="N45" s="74">
        <v>4515845</v>
      </c>
      <c r="O45" s="74">
        <v>4513370</v>
      </c>
      <c r="P45" s="74">
        <v>4511182</v>
      </c>
      <c r="Q45" s="74">
        <v>4510116</v>
      </c>
      <c r="R45" s="74">
        <v>4511553</v>
      </c>
      <c r="S45" s="74">
        <v>4517502</v>
      </c>
      <c r="T45" s="74">
        <v>4530302</v>
      </c>
      <c r="U45" s="74">
        <v>4551577</v>
      </c>
      <c r="V45" s="74">
        <v>4581856</v>
      </c>
      <c r="W45" s="74">
        <v>4619912</v>
      </c>
      <c r="X45" s="74">
        <v>4663369</v>
      </c>
      <c r="Y45" s="74">
        <v>4710214</v>
      </c>
      <c r="Z45" s="74">
        <v>4758562</v>
      </c>
      <c r="AA45" s="74">
        <v>4807460</v>
      </c>
      <c r="AB45" s="74">
        <v>4856071</v>
      </c>
      <c r="AC45" s="74">
        <v>4903202</v>
      </c>
      <c r="AD45" s="74">
        <v>4948406</v>
      </c>
      <c r="AE45" s="74">
        <v>4990571</v>
      </c>
      <c r="AF45" s="74">
        <v>5029305</v>
      </c>
      <c r="AG45" s="74">
        <v>5063872</v>
      </c>
      <c r="AH45" s="74">
        <v>5093089</v>
      </c>
      <c r="AI45" s="74">
        <v>5116266</v>
      </c>
      <c r="AJ45" s="74">
        <v>5133803</v>
      </c>
      <c r="AK45" s="74">
        <v>5146372</v>
      </c>
      <c r="AL45" s="74">
        <v>5154543</v>
      </c>
      <c r="AM45" s="74">
        <v>5158062</v>
      </c>
      <c r="AN45" s="74">
        <v>5155966</v>
      </c>
      <c r="AO45" s="74">
        <v>5148189</v>
      </c>
      <c r="AP45" s="74">
        <v>5136090</v>
      </c>
      <c r="AQ45" s="74">
        <v>5120669</v>
      </c>
      <c r="AR45" s="74">
        <v>5101597</v>
      </c>
      <c r="AS45" s="74">
        <v>5079550</v>
      </c>
      <c r="AT45" s="74">
        <v>5054755</v>
      </c>
      <c r="AU45" s="74">
        <v>5026521</v>
      </c>
      <c r="AV45" s="74">
        <v>5026264</v>
      </c>
      <c r="AW45" s="74">
        <v>5042841</v>
      </c>
      <c r="AX45" s="74">
        <v>5029084</v>
      </c>
      <c r="AY45" s="74">
        <v>5016370</v>
      </c>
      <c r="AZ45" s="74">
        <v>5126595</v>
      </c>
      <c r="BA45" s="74">
        <v>5129619</v>
      </c>
      <c r="BB45" s="74">
        <v>5078377</v>
      </c>
      <c r="BC45" s="74">
        <v>5045263</v>
      </c>
      <c r="BD45" s="74">
        <v>5031288</v>
      </c>
      <c r="BE45" s="74">
        <v>4976656</v>
      </c>
      <c r="BF45" s="74">
        <v>4935186</v>
      </c>
      <c r="BG45" s="74">
        <v>5004361</v>
      </c>
      <c r="BH45" s="74">
        <v>5033924</v>
      </c>
      <c r="BI45" s="74">
        <v>4934834</v>
      </c>
      <c r="BJ45" s="74">
        <v>4899276</v>
      </c>
      <c r="BK45" s="74">
        <v>4868543</v>
      </c>
      <c r="BL45" s="74">
        <v>4852226</v>
      </c>
      <c r="BM45" s="74">
        <v>4884730</v>
      </c>
      <c r="BN45" s="74">
        <v>4908252</v>
      </c>
      <c r="BO45" s="74">
        <v>4906941</v>
      </c>
      <c r="BP45" s="74">
        <v>4946467</v>
      </c>
      <c r="BQ45" s="74">
        <v>4952967</v>
      </c>
      <c r="BR45" s="74">
        <v>4871064</v>
      </c>
      <c r="BS45" s="74">
        <v>4629388</v>
      </c>
      <c r="BT45" s="74">
        <v>4456757</v>
      </c>
      <c r="BU45" s="74">
        <v>4314289</v>
      </c>
      <c r="BV45" s="74">
        <v>4250162</v>
      </c>
      <c r="BW45" s="74">
        <v>4195847</v>
      </c>
      <c r="BX45" s="74">
        <v>3995845</v>
      </c>
      <c r="BY45" s="74">
        <v>3960907</v>
      </c>
      <c r="BZ45" s="74">
        <v>3873863</v>
      </c>
      <c r="CA45" s="74">
        <v>3742051</v>
      </c>
      <c r="CB45" s="74">
        <v>3704525</v>
      </c>
      <c r="CC45" s="74">
        <v>3396899</v>
      </c>
      <c r="CD45" s="74">
        <v>3228444</v>
      </c>
      <c r="CE45" s="74">
        <v>3088985</v>
      </c>
      <c r="CF45" s="74">
        <v>2888942</v>
      </c>
      <c r="CG45" s="74">
        <v>2842994</v>
      </c>
      <c r="CH45" s="74">
        <v>2633161</v>
      </c>
      <c r="CI45" s="74">
        <v>2531267</v>
      </c>
      <c r="CJ45" s="74">
        <v>2491720</v>
      </c>
      <c r="CK45" s="74">
        <v>2464584</v>
      </c>
      <c r="CL45" s="74">
        <v>2319914</v>
      </c>
      <c r="CM45" s="74">
        <v>2038351</v>
      </c>
      <c r="CN45" s="74">
        <v>1825740</v>
      </c>
      <c r="CO45" s="74">
        <v>1659554</v>
      </c>
      <c r="CP45" s="74">
        <v>1513092</v>
      </c>
      <c r="CQ45" s="74">
        <v>1417648</v>
      </c>
      <c r="CR45" s="74">
        <v>1263877</v>
      </c>
      <c r="CS45" s="74">
        <v>1089286</v>
      </c>
      <c r="CT45" s="74">
        <v>923932</v>
      </c>
      <c r="CU45" s="74">
        <v>780651</v>
      </c>
      <c r="CV45" s="74">
        <v>643430</v>
      </c>
      <c r="CW45" s="74">
        <v>500668</v>
      </c>
      <c r="CX45" s="74">
        <v>391568</v>
      </c>
      <c r="CY45" s="74">
        <v>297764</v>
      </c>
      <c r="CZ45" s="74">
        <v>514734</v>
      </c>
    </row>
    <row r="46" spans="1:104" ht="17.100000000000001">
      <c r="A46" s="69" t="s">
        <v>659</v>
      </c>
      <c r="B46" s="69">
        <v>2057</v>
      </c>
      <c r="C46" s="74">
        <v>411130259</v>
      </c>
      <c r="D46" s="74">
        <v>4503901</v>
      </c>
      <c r="E46" s="74">
        <v>4516393</v>
      </c>
      <c r="F46" s="74">
        <v>4527040</v>
      </c>
      <c r="G46" s="74">
        <v>4534167</v>
      </c>
      <c r="H46" s="74">
        <v>4537987</v>
      </c>
      <c r="I46" s="74">
        <v>4539403</v>
      </c>
      <c r="J46" s="74">
        <v>4539183</v>
      </c>
      <c r="K46" s="74">
        <v>4537945</v>
      </c>
      <c r="L46" s="74">
        <v>4536187</v>
      </c>
      <c r="M46" s="74">
        <v>4533946</v>
      </c>
      <c r="N46" s="74">
        <v>4531580</v>
      </c>
      <c r="O46" s="74">
        <v>4529009</v>
      </c>
      <c r="P46" s="74">
        <v>4526512</v>
      </c>
      <c r="Q46" s="74">
        <v>4524900</v>
      </c>
      <c r="R46" s="74">
        <v>4525744</v>
      </c>
      <c r="S46" s="74">
        <v>4531077</v>
      </c>
      <c r="T46" s="74">
        <v>4543122</v>
      </c>
      <c r="U46" s="74">
        <v>4563790</v>
      </c>
      <c r="V46" s="74">
        <v>4593542</v>
      </c>
      <c r="W46" s="74">
        <v>4631009</v>
      </c>
      <c r="X46" s="74">
        <v>4673874</v>
      </c>
      <c r="Y46" s="74">
        <v>4720092</v>
      </c>
      <c r="Z46" s="74">
        <v>4767637</v>
      </c>
      <c r="AA46" s="74">
        <v>4815408</v>
      </c>
      <c r="AB46" s="74">
        <v>4862786</v>
      </c>
      <c r="AC46" s="74">
        <v>4909079</v>
      </c>
      <c r="AD46" s="74">
        <v>4953756</v>
      </c>
      <c r="AE46" s="74">
        <v>4996128</v>
      </c>
      <c r="AF46" s="74">
        <v>5035345</v>
      </c>
      <c r="AG46" s="74">
        <v>5070843</v>
      </c>
      <c r="AH46" s="74">
        <v>5101896</v>
      </c>
      <c r="AI46" s="74">
        <v>5127074</v>
      </c>
      <c r="AJ46" s="74">
        <v>5146211</v>
      </c>
      <c r="AK46" s="74">
        <v>5160381</v>
      </c>
      <c r="AL46" s="74">
        <v>5170547</v>
      </c>
      <c r="AM46" s="74">
        <v>5176867</v>
      </c>
      <c r="AN46" s="74">
        <v>5178816</v>
      </c>
      <c r="AO46" s="74">
        <v>5175387</v>
      </c>
      <c r="AP46" s="74">
        <v>5166513</v>
      </c>
      <c r="AQ46" s="74">
        <v>5153175</v>
      </c>
      <c r="AR46" s="74">
        <v>5136114</v>
      </c>
      <c r="AS46" s="74">
        <v>5114946</v>
      </c>
      <c r="AT46" s="74">
        <v>5090848</v>
      </c>
      <c r="AU46" s="74">
        <v>5064395</v>
      </c>
      <c r="AV46" s="74">
        <v>5034961</v>
      </c>
      <c r="AW46" s="74">
        <v>5033666</v>
      </c>
      <c r="AX46" s="74">
        <v>5049134</v>
      </c>
      <c r="AY46" s="74">
        <v>5034060</v>
      </c>
      <c r="AZ46" s="74">
        <v>5019960</v>
      </c>
      <c r="BA46" s="74">
        <v>5128770</v>
      </c>
      <c r="BB46" s="74">
        <v>5130594</v>
      </c>
      <c r="BC46" s="74">
        <v>5078197</v>
      </c>
      <c r="BD46" s="74">
        <v>5043939</v>
      </c>
      <c r="BE46" s="74">
        <v>5028893</v>
      </c>
      <c r="BF46" s="74">
        <v>4973188</v>
      </c>
      <c r="BG46" s="74">
        <v>4930617</v>
      </c>
      <c r="BH46" s="74">
        <v>4998263</v>
      </c>
      <c r="BI46" s="74">
        <v>5026332</v>
      </c>
      <c r="BJ46" s="74">
        <v>4926194</v>
      </c>
      <c r="BK46" s="74">
        <v>4889471</v>
      </c>
      <c r="BL46" s="74">
        <v>4857584</v>
      </c>
      <c r="BM46" s="74">
        <v>4839869</v>
      </c>
      <c r="BN46" s="74">
        <v>4870353</v>
      </c>
      <c r="BO46" s="74">
        <v>4891438</v>
      </c>
      <c r="BP46" s="74">
        <v>4887472</v>
      </c>
      <c r="BQ46" s="74">
        <v>4923482</v>
      </c>
      <c r="BR46" s="74">
        <v>4926159</v>
      </c>
      <c r="BS46" s="74">
        <v>4840639</v>
      </c>
      <c r="BT46" s="74">
        <v>4596421</v>
      </c>
      <c r="BU46" s="74">
        <v>4420835</v>
      </c>
      <c r="BV46" s="74">
        <v>4274968</v>
      </c>
      <c r="BW46" s="74">
        <v>4206201</v>
      </c>
      <c r="BX46" s="74">
        <v>4146613</v>
      </c>
      <c r="BY46" s="74">
        <v>3942952</v>
      </c>
      <c r="BZ46" s="74">
        <v>3901631</v>
      </c>
      <c r="CA46" s="74">
        <v>3808654</v>
      </c>
      <c r="CB46" s="74">
        <v>3671119</v>
      </c>
      <c r="CC46" s="74">
        <v>3625037</v>
      </c>
      <c r="CD46" s="74">
        <v>3314786</v>
      </c>
      <c r="CE46" s="74">
        <v>3140380</v>
      </c>
      <c r="CF46" s="74">
        <v>2992849</v>
      </c>
      <c r="CG46" s="74">
        <v>2786872</v>
      </c>
      <c r="CH46" s="74">
        <v>2730506</v>
      </c>
      <c r="CI46" s="74">
        <v>2516555</v>
      </c>
      <c r="CJ46" s="74">
        <v>2405653</v>
      </c>
      <c r="CK46" s="74">
        <v>2353243</v>
      </c>
      <c r="CL46" s="74">
        <v>2311427</v>
      </c>
      <c r="CM46" s="74">
        <v>2158915</v>
      </c>
      <c r="CN46" s="74">
        <v>1880854</v>
      </c>
      <c r="CO46" s="74">
        <v>1668774</v>
      </c>
      <c r="CP46" s="74">
        <v>1501207</v>
      </c>
      <c r="CQ46" s="74">
        <v>1353049</v>
      </c>
      <c r="CR46" s="74">
        <v>1251831</v>
      </c>
      <c r="CS46" s="74">
        <v>1100835</v>
      </c>
      <c r="CT46" s="74">
        <v>934664</v>
      </c>
      <c r="CU46" s="74">
        <v>780007</v>
      </c>
      <c r="CV46" s="74">
        <v>647566</v>
      </c>
      <c r="CW46" s="74">
        <v>523678</v>
      </c>
      <c r="CX46" s="74">
        <v>399295</v>
      </c>
      <c r="CY46" s="74">
        <v>305567</v>
      </c>
      <c r="CZ46" s="74">
        <v>539525</v>
      </c>
    </row>
    <row r="47" spans="1:104" ht="17.100000000000001">
      <c r="A47" s="69" t="s">
        <v>659</v>
      </c>
      <c r="B47" s="69">
        <v>2058</v>
      </c>
      <c r="C47" s="74">
        <v>413007559</v>
      </c>
      <c r="D47" s="74">
        <v>4513793</v>
      </c>
      <c r="E47" s="74">
        <v>4526822</v>
      </c>
      <c r="F47" s="74">
        <v>4538071</v>
      </c>
      <c r="G47" s="74">
        <v>4545884</v>
      </c>
      <c r="H47" s="74">
        <v>4550445</v>
      </c>
      <c r="I47" s="74">
        <v>4552573</v>
      </c>
      <c r="J47" s="74">
        <v>4553071</v>
      </c>
      <c r="K47" s="74">
        <v>4552437</v>
      </c>
      <c r="L47" s="74">
        <v>4551168</v>
      </c>
      <c r="M47" s="74">
        <v>4549343</v>
      </c>
      <c r="N47" s="74">
        <v>4547252</v>
      </c>
      <c r="O47" s="74">
        <v>4544764</v>
      </c>
      <c r="P47" s="74">
        <v>4542174</v>
      </c>
      <c r="Q47" s="74">
        <v>4540254</v>
      </c>
      <c r="R47" s="74">
        <v>4540542</v>
      </c>
      <c r="S47" s="74">
        <v>4545295</v>
      </c>
      <c r="T47" s="74">
        <v>4556732</v>
      </c>
      <c r="U47" s="74">
        <v>4576661</v>
      </c>
      <c r="V47" s="74">
        <v>4605834</v>
      </c>
      <c r="W47" s="74">
        <v>4642789</v>
      </c>
      <c r="X47" s="74">
        <v>4685088</v>
      </c>
      <c r="Y47" s="74">
        <v>4730725</v>
      </c>
      <c r="Z47" s="74">
        <v>4777641</v>
      </c>
      <c r="AA47" s="74">
        <v>4824612</v>
      </c>
      <c r="AB47" s="74">
        <v>4870866</v>
      </c>
      <c r="AC47" s="74">
        <v>4915934</v>
      </c>
      <c r="AD47" s="74">
        <v>4959769</v>
      </c>
      <c r="AE47" s="74">
        <v>5001598</v>
      </c>
      <c r="AF47" s="74">
        <v>5041023</v>
      </c>
      <c r="AG47" s="74">
        <v>5076992</v>
      </c>
      <c r="AH47" s="74">
        <v>5108964</v>
      </c>
      <c r="AI47" s="74">
        <v>5135975</v>
      </c>
      <c r="AJ47" s="74">
        <v>5157119</v>
      </c>
      <c r="AK47" s="74">
        <v>5172876</v>
      </c>
      <c r="AL47" s="74">
        <v>5184625</v>
      </c>
      <c r="AM47" s="74">
        <v>5192936</v>
      </c>
      <c r="AN47" s="74">
        <v>5197685</v>
      </c>
      <c r="AO47" s="74">
        <v>5198301</v>
      </c>
      <c r="AP47" s="74">
        <v>5193788</v>
      </c>
      <c r="AQ47" s="74">
        <v>5183678</v>
      </c>
      <c r="AR47" s="74">
        <v>5168680</v>
      </c>
      <c r="AS47" s="74">
        <v>5149520</v>
      </c>
      <c r="AT47" s="74">
        <v>5126304</v>
      </c>
      <c r="AU47" s="74">
        <v>5100560</v>
      </c>
      <c r="AV47" s="74">
        <v>5072925</v>
      </c>
      <c r="AW47" s="74">
        <v>5042442</v>
      </c>
      <c r="AX47" s="74">
        <v>5040062</v>
      </c>
      <c r="AY47" s="74">
        <v>5054204</v>
      </c>
      <c r="AZ47" s="74">
        <v>5037763</v>
      </c>
      <c r="BA47" s="74">
        <v>5022456</v>
      </c>
      <c r="BB47" s="74">
        <v>5129914</v>
      </c>
      <c r="BC47" s="74">
        <v>5130494</v>
      </c>
      <c r="BD47" s="74">
        <v>5077027</v>
      </c>
      <c r="BE47" s="74">
        <v>5041737</v>
      </c>
      <c r="BF47" s="74">
        <v>5025598</v>
      </c>
      <c r="BG47" s="74">
        <v>4968802</v>
      </c>
      <c r="BH47" s="74">
        <v>4925021</v>
      </c>
      <c r="BI47" s="74">
        <v>4991116</v>
      </c>
      <c r="BJ47" s="74">
        <v>5017753</v>
      </c>
      <c r="BK47" s="74">
        <v>4916666</v>
      </c>
      <c r="BL47" s="74">
        <v>4878770</v>
      </c>
      <c r="BM47" s="74">
        <v>4845580</v>
      </c>
      <c r="BN47" s="74">
        <v>4826153</v>
      </c>
      <c r="BO47" s="74">
        <v>4854196</v>
      </c>
      <c r="BP47" s="74">
        <v>4872532</v>
      </c>
      <c r="BQ47" s="74">
        <v>4865354</v>
      </c>
      <c r="BR47" s="74">
        <v>4897345</v>
      </c>
      <c r="BS47" s="74">
        <v>4895892</v>
      </c>
      <c r="BT47" s="74">
        <v>4806516</v>
      </c>
      <c r="BU47" s="74">
        <v>4559828</v>
      </c>
      <c r="BV47" s="74">
        <v>4380995</v>
      </c>
      <c r="BW47" s="74">
        <v>4231322</v>
      </c>
      <c r="BX47" s="74">
        <v>4157496</v>
      </c>
      <c r="BY47" s="74">
        <v>4092227</v>
      </c>
      <c r="BZ47" s="74">
        <v>3884708</v>
      </c>
      <c r="CA47" s="74">
        <v>3836632</v>
      </c>
      <c r="CB47" s="74">
        <v>3737206</v>
      </c>
      <c r="CC47" s="74">
        <v>3593371</v>
      </c>
      <c r="CD47" s="74">
        <v>3538104</v>
      </c>
      <c r="CE47" s="74">
        <v>3225216</v>
      </c>
      <c r="CF47" s="74">
        <v>3043443</v>
      </c>
      <c r="CG47" s="74">
        <v>2887954</v>
      </c>
      <c r="CH47" s="74">
        <v>2677560</v>
      </c>
      <c r="CI47" s="74">
        <v>2610448</v>
      </c>
      <c r="CJ47" s="74">
        <v>2392649</v>
      </c>
      <c r="CK47" s="74">
        <v>2272950</v>
      </c>
      <c r="CL47" s="74">
        <v>2208046</v>
      </c>
      <c r="CM47" s="74">
        <v>2152307</v>
      </c>
      <c r="CN47" s="74">
        <v>1993230</v>
      </c>
      <c r="CO47" s="74">
        <v>1720347</v>
      </c>
      <c r="CP47" s="74">
        <v>1510551</v>
      </c>
      <c r="CQ47" s="74">
        <v>1343525</v>
      </c>
      <c r="CR47" s="74">
        <v>1195826</v>
      </c>
      <c r="CS47" s="74">
        <v>1091336</v>
      </c>
      <c r="CT47" s="74">
        <v>945544</v>
      </c>
      <c r="CU47" s="74">
        <v>789953</v>
      </c>
      <c r="CV47" s="74">
        <v>647805</v>
      </c>
      <c r="CW47" s="74">
        <v>527769</v>
      </c>
      <c r="CX47" s="74">
        <v>418219</v>
      </c>
      <c r="CY47" s="74">
        <v>312075</v>
      </c>
      <c r="CZ47" s="74">
        <v>561436</v>
      </c>
    </row>
    <row r="48" spans="1:104" ht="17.100000000000001">
      <c r="A48" s="69" t="s">
        <v>659</v>
      </c>
      <c r="B48" s="69">
        <v>2059</v>
      </c>
      <c r="C48" s="74">
        <v>414896215</v>
      </c>
      <c r="D48" s="74">
        <v>4523354</v>
      </c>
      <c r="E48" s="74">
        <v>4536766</v>
      </c>
      <c r="F48" s="74">
        <v>4548549</v>
      </c>
      <c r="G48" s="74">
        <v>4556954</v>
      </c>
      <c r="H48" s="74">
        <v>4562198</v>
      </c>
      <c r="I48" s="74">
        <v>4565065</v>
      </c>
      <c r="J48" s="74">
        <v>4566262</v>
      </c>
      <c r="K48" s="74">
        <v>4566345</v>
      </c>
      <c r="L48" s="74">
        <v>4565683</v>
      </c>
      <c r="M48" s="74">
        <v>4564350</v>
      </c>
      <c r="N48" s="74">
        <v>4562668</v>
      </c>
      <c r="O48" s="74">
        <v>4560444</v>
      </c>
      <c r="P48" s="74">
        <v>4557945</v>
      </c>
      <c r="Q48" s="74">
        <v>4555930</v>
      </c>
      <c r="R48" s="74">
        <v>4555919</v>
      </c>
      <c r="S48" s="74">
        <v>4560135</v>
      </c>
      <c r="T48" s="74">
        <v>4571002</v>
      </c>
      <c r="U48" s="74">
        <v>4590321</v>
      </c>
      <c r="V48" s="74">
        <v>4618770</v>
      </c>
      <c r="W48" s="74">
        <v>4655161</v>
      </c>
      <c r="X48" s="74">
        <v>4696955</v>
      </c>
      <c r="Y48" s="74">
        <v>4742039</v>
      </c>
      <c r="Z48" s="74">
        <v>4788398</v>
      </c>
      <c r="AA48" s="74">
        <v>4834749</v>
      </c>
      <c r="AB48" s="74">
        <v>4880204</v>
      </c>
      <c r="AC48" s="74">
        <v>4924144</v>
      </c>
      <c r="AD48" s="74">
        <v>4966750</v>
      </c>
      <c r="AE48" s="74">
        <v>5007740</v>
      </c>
      <c r="AF48" s="74">
        <v>5046606</v>
      </c>
      <c r="AG48" s="74">
        <v>5082779</v>
      </c>
      <c r="AH48" s="74">
        <v>5115221</v>
      </c>
      <c r="AI48" s="74">
        <v>5143135</v>
      </c>
      <c r="AJ48" s="74">
        <v>5166096</v>
      </c>
      <c r="AK48" s="74">
        <v>5183862</v>
      </c>
      <c r="AL48" s="74">
        <v>5197196</v>
      </c>
      <c r="AM48" s="74">
        <v>5207088</v>
      </c>
      <c r="AN48" s="74">
        <v>5213843</v>
      </c>
      <c r="AO48" s="74">
        <v>5217257</v>
      </c>
      <c r="AP48" s="74">
        <v>5216764</v>
      </c>
      <c r="AQ48" s="74">
        <v>5211021</v>
      </c>
      <c r="AR48" s="74">
        <v>5199257</v>
      </c>
      <c r="AS48" s="74">
        <v>5182158</v>
      </c>
      <c r="AT48" s="74">
        <v>5160952</v>
      </c>
      <c r="AU48" s="74">
        <v>5136104</v>
      </c>
      <c r="AV48" s="74">
        <v>5109164</v>
      </c>
      <c r="AW48" s="74">
        <v>5080504</v>
      </c>
      <c r="AX48" s="74">
        <v>5048933</v>
      </c>
      <c r="AY48" s="74">
        <v>5045250</v>
      </c>
      <c r="AZ48" s="74">
        <v>5058007</v>
      </c>
      <c r="BA48" s="74">
        <v>5040358</v>
      </c>
      <c r="BB48" s="74">
        <v>5023920</v>
      </c>
      <c r="BC48" s="74">
        <v>5130013</v>
      </c>
      <c r="BD48" s="74">
        <v>5129420</v>
      </c>
      <c r="BE48" s="74">
        <v>5074983</v>
      </c>
      <c r="BF48" s="74">
        <v>5038641</v>
      </c>
      <c r="BG48" s="74">
        <v>5021382</v>
      </c>
      <c r="BH48" s="74">
        <v>4963390</v>
      </c>
      <c r="BI48" s="74">
        <v>4918400</v>
      </c>
      <c r="BJ48" s="74">
        <v>4982994</v>
      </c>
      <c r="BK48" s="74">
        <v>5008254</v>
      </c>
      <c r="BL48" s="74">
        <v>4906237</v>
      </c>
      <c r="BM48" s="74">
        <v>4867058</v>
      </c>
      <c r="BN48" s="74">
        <v>4832252</v>
      </c>
      <c r="BO48" s="74">
        <v>4810683</v>
      </c>
      <c r="BP48" s="74">
        <v>4835966</v>
      </c>
      <c r="BQ48" s="74">
        <v>4850988</v>
      </c>
      <c r="BR48" s="74">
        <v>4840133</v>
      </c>
      <c r="BS48" s="74">
        <v>4867767</v>
      </c>
      <c r="BT48" s="74">
        <v>4861883</v>
      </c>
      <c r="BU48" s="74">
        <v>4768637</v>
      </c>
      <c r="BV48" s="74">
        <v>4519226</v>
      </c>
      <c r="BW48" s="74">
        <v>4336746</v>
      </c>
      <c r="BX48" s="74">
        <v>4182922</v>
      </c>
      <c r="BY48" s="74">
        <v>4103648</v>
      </c>
      <c r="BZ48" s="74">
        <v>4032321</v>
      </c>
      <c r="CA48" s="74">
        <v>3820760</v>
      </c>
      <c r="CB48" s="74">
        <v>3765370</v>
      </c>
      <c r="CC48" s="74">
        <v>3658849</v>
      </c>
      <c r="CD48" s="74">
        <v>3508254</v>
      </c>
      <c r="CE48" s="74">
        <v>3443245</v>
      </c>
      <c r="CF48" s="74">
        <v>3126523</v>
      </c>
      <c r="CG48" s="74">
        <v>2937608</v>
      </c>
      <c r="CH48" s="74">
        <v>2775566</v>
      </c>
      <c r="CI48" s="74">
        <v>2560811</v>
      </c>
      <c r="CJ48" s="74">
        <v>2482829</v>
      </c>
      <c r="CK48" s="74">
        <v>2261676</v>
      </c>
      <c r="CL48" s="74">
        <v>2133745</v>
      </c>
      <c r="CM48" s="74">
        <v>2057117</v>
      </c>
      <c r="CN48" s="74">
        <v>1988429</v>
      </c>
      <c r="CO48" s="74">
        <v>1824279</v>
      </c>
      <c r="CP48" s="74">
        <v>1558410</v>
      </c>
      <c r="CQ48" s="74">
        <v>1352861</v>
      </c>
      <c r="CR48" s="74">
        <v>1188466</v>
      </c>
      <c r="CS48" s="74">
        <v>1043499</v>
      </c>
      <c r="CT48" s="74">
        <v>938306</v>
      </c>
      <c r="CU48" s="74">
        <v>800035</v>
      </c>
      <c r="CV48" s="74">
        <v>656855</v>
      </c>
      <c r="CW48" s="74">
        <v>528641</v>
      </c>
      <c r="CX48" s="74">
        <v>422090</v>
      </c>
      <c r="CY48" s="74">
        <v>327330</v>
      </c>
      <c r="CZ48" s="74">
        <v>580442</v>
      </c>
    </row>
    <row r="49" spans="1:104" ht="17.100000000000001">
      <c r="A49" s="69" t="s">
        <v>659</v>
      </c>
      <c r="B49" s="69">
        <v>2060</v>
      </c>
      <c r="C49" s="74">
        <v>416794610</v>
      </c>
      <c r="D49" s="74">
        <v>4532718</v>
      </c>
      <c r="E49" s="74">
        <v>4546371</v>
      </c>
      <c r="F49" s="74">
        <v>4558521</v>
      </c>
      <c r="G49" s="74">
        <v>4567464</v>
      </c>
      <c r="H49" s="74">
        <v>4573305</v>
      </c>
      <c r="I49" s="74">
        <v>4576848</v>
      </c>
      <c r="J49" s="74">
        <v>4578782</v>
      </c>
      <c r="K49" s="74">
        <v>4579565</v>
      </c>
      <c r="L49" s="74">
        <v>4579613</v>
      </c>
      <c r="M49" s="74">
        <v>4578878</v>
      </c>
      <c r="N49" s="74">
        <v>4577689</v>
      </c>
      <c r="O49" s="74">
        <v>4575872</v>
      </c>
      <c r="P49" s="74">
        <v>4573636</v>
      </c>
      <c r="Q49" s="74">
        <v>4571713</v>
      </c>
      <c r="R49" s="74">
        <v>4571608</v>
      </c>
      <c r="S49" s="74">
        <v>4575527</v>
      </c>
      <c r="T49" s="74">
        <v>4585862</v>
      </c>
      <c r="U49" s="74">
        <v>4604624</v>
      </c>
      <c r="V49" s="74">
        <v>4632485</v>
      </c>
      <c r="W49" s="74">
        <v>4668173</v>
      </c>
      <c r="X49" s="74">
        <v>4709413</v>
      </c>
      <c r="Y49" s="74">
        <v>4754010</v>
      </c>
      <c r="Z49" s="74">
        <v>4799824</v>
      </c>
      <c r="AA49" s="74">
        <v>4845624</v>
      </c>
      <c r="AB49" s="74">
        <v>4890461</v>
      </c>
      <c r="AC49" s="74">
        <v>4933600</v>
      </c>
      <c r="AD49" s="74">
        <v>4975078</v>
      </c>
      <c r="AE49" s="74">
        <v>5014825</v>
      </c>
      <c r="AF49" s="74">
        <v>5052850</v>
      </c>
      <c r="AG49" s="74">
        <v>5088461</v>
      </c>
      <c r="AH49" s="74">
        <v>5121097</v>
      </c>
      <c r="AI49" s="74">
        <v>5149484</v>
      </c>
      <c r="AJ49" s="74">
        <v>5173333</v>
      </c>
      <c r="AK49" s="74">
        <v>5192903</v>
      </c>
      <c r="AL49" s="74">
        <v>5208250</v>
      </c>
      <c r="AM49" s="74">
        <v>5219731</v>
      </c>
      <c r="AN49" s="74">
        <v>5228060</v>
      </c>
      <c r="AO49" s="74">
        <v>5233474</v>
      </c>
      <c r="AP49" s="74">
        <v>5235787</v>
      </c>
      <c r="AQ49" s="74">
        <v>5234066</v>
      </c>
      <c r="AR49" s="74">
        <v>5226654</v>
      </c>
      <c r="AS49" s="74">
        <v>5212796</v>
      </c>
      <c r="AT49" s="74">
        <v>5193655</v>
      </c>
      <c r="AU49" s="74">
        <v>5170800</v>
      </c>
      <c r="AV49" s="74">
        <v>5144775</v>
      </c>
      <c r="AW49" s="74">
        <v>5116805</v>
      </c>
      <c r="AX49" s="74">
        <v>5087083</v>
      </c>
      <c r="AY49" s="74">
        <v>5054225</v>
      </c>
      <c r="AZ49" s="74">
        <v>5049189</v>
      </c>
      <c r="BA49" s="74">
        <v>5060719</v>
      </c>
      <c r="BB49" s="74">
        <v>5041948</v>
      </c>
      <c r="BC49" s="74">
        <v>5024350</v>
      </c>
      <c r="BD49" s="74">
        <v>5129124</v>
      </c>
      <c r="BE49" s="74">
        <v>5127460</v>
      </c>
      <c r="BF49" s="74">
        <v>5072050</v>
      </c>
      <c r="BG49" s="74">
        <v>5034636</v>
      </c>
      <c r="BH49" s="74">
        <v>5016151</v>
      </c>
      <c r="BI49" s="74">
        <v>4956982</v>
      </c>
      <c r="BJ49" s="74">
        <v>4910845</v>
      </c>
      <c r="BK49" s="74">
        <v>4973989</v>
      </c>
      <c r="BL49" s="74">
        <v>4997882</v>
      </c>
      <c r="BM49" s="74">
        <v>4894807</v>
      </c>
      <c r="BN49" s="74">
        <v>4853997</v>
      </c>
      <c r="BO49" s="74">
        <v>4817168</v>
      </c>
      <c r="BP49" s="74">
        <v>4793188</v>
      </c>
      <c r="BQ49" s="74">
        <v>4815143</v>
      </c>
      <c r="BR49" s="74">
        <v>4826364</v>
      </c>
      <c r="BS49" s="74">
        <v>4811525</v>
      </c>
      <c r="BT49" s="74">
        <v>4834509</v>
      </c>
      <c r="BU49" s="74">
        <v>4824098</v>
      </c>
      <c r="BV49" s="74">
        <v>4726585</v>
      </c>
      <c r="BW49" s="74">
        <v>4474086</v>
      </c>
      <c r="BX49" s="74">
        <v>4287645</v>
      </c>
      <c r="BY49" s="74">
        <v>4129365</v>
      </c>
      <c r="BZ49" s="74">
        <v>4044276</v>
      </c>
      <c r="CA49" s="74">
        <v>3966558</v>
      </c>
      <c r="CB49" s="74">
        <v>3750606</v>
      </c>
      <c r="CC49" s="74">
        <v>3687183</v>
      </c>
      <c r="CD49" s="74">
        <v>3573019</v>
      </c>
      <c r="CE49" s="74">
        <v>3415266</v>
      </c>
      <c r="CF49" s="74">
        <v>3338650</v>
      </c>
      <c r="CG49" s="74">
        <v>3018673</v>
      </c>
      <c r="CH49" s="74">
        <v>2824148</v>
      </c>
      <c r="CI49" s="74">
        <v>2655493</v>
      </c>
      <c r="CJ49" s="74">
        <v>2436651</v>
      </c>
      <c r="CK49" s="74">
        <v>2347877</v>
      </c>
      <c r="CL49" s="74">
        <v>2124195</v>
      </c>
      <c r="CM49" s="74">
        <v>1988946</v>
      </c>
      <c r="CN49" s="74">
        <v>1901577</v>
      </c>
      <c r="CO49" s="74">
        <v>1821180</v>
      </c>
      <c r="CP49" s="74">
        <v>1653708</v>
      </c>
      <c r="CQ49" s="74">
        <v>1396875</v>
      </c>
      <c r="CR49" s="74">
        <v>1197675</v>
      </c>
      <c r="CS49" s="74">
        <v>1038070</v>
      </c>
      <c r="CT49" s="74">
        <v>898099</v>
      </c>
      <c r="CU49" s="74">
        <v>794753</v>
      </c>
      <c r="CV49" s="74">
        <v>666033</v>
      </c>
      <c r="CW49" s="74">
        <v>536714</v>
      </c>
      <c r="CX49" s="74">
        <v>423364</v>
      </c>
      <c r="CY49" s="74">
        <v>330867</v>
      </c>
      <c r="CZ49" s="74">
        <v>603971</v>
      </c>
    </row>
    <row r="50" spans="1:104" ht="17.100000000000001">
      <c r="A50" s="70" t="s">
        <v>660</v>
      </c>
      <c r="B50" s="71">
        <v>2014</v>
      </c>
      <c r="C50" s="75">
        <v>156999602</v>
      </c>
      <c r="D50" s="75">
        <v>2031919</v>
      </c>
      <c r="E50" s="75">
        <v>2024845</v>
      </c>
      <c r="F50" s="75">
        <v>2030157</v>
      </c>
      <c r="G50" s="75">
        <v>2047456</v>
      </c>
      <c r="H50" s="75">
        <v>2042466</v>
      </c>
      <c r="I50" s="75">
        <v>2042212</v>
      </c>
      <c r="J50" s="75">
        <v>2109358</v>
      </c>
      <c r="K50" s="75">
        <v>2121977</v>
      </c>
      <c r="L50" s="75">
        <v>2105421</v>
      </c>
      <c r="M50" s="75">
        <v>2097828</v>
      </c>
      <c r="N50" s="75">
        <v>2100616</v>
      </c>
      <c r="O50" s="75">
        <v>2084117</v>
      </c>
      <c r="P50" s="75">
        <v>2075355</v>
      </c>
      <c r="Q50" s="75">
        <v>2128156</v>
      </c>
      <c r="R50" s="75">
        <v>2164172</v>
      </c>
      <c r="S50" s="75">
        <v>2129032</v>
      </c>
      <c r="T50" s="75">
        <v>2131656</v>
      </c>
      <c r="U50" s="75">
        <v>2139062</v>
      </c>
      <c r="V50" s="75">
        <v>2164804</v>
      </c>
      <c r="W50" s="75">
        <v>2219859</v>
      </c>
      <c r="X50" s="75">
        <v>2270151</v>
      </c>
      <c r="Y50" s="75">
        <v>2311112</v>
      </c>
      <c r="Z50" s="75">
        <v>2369229</v>
      </c>
      <c r="AA50" s="75">
        <v>2402267</v>
      </c>
      <c r="AB50" s="75">
        <v>2395949</v>
      </c>
      <c r="AC50" s="75">
        <v>2302130</v>
      </c>
      <c r="AD50" s="75">
        <v>2246393</v>
      </c>
      <c r="AE50" s="75">
        <v>2206844</v>
      </c>
      <c r="AF50" s="75">
        <v>2213366</v>
      </c>
      <c r="AG50" s="75">
        <v>2223768</v>
      </c>
      <c r="AH50" s="75">
        <v>2145293</v>
      </c>
      <c r="AI50" s="75">
        <v>2173827</v>
      </c>
      <c r="AJ50" s="75">
        <v>2168970</v>
      </c>
      <c r="AK50" s="75">
        <v>2142241</v>
      </c>
      <c r="AL50" s="75">
        <v>2193355</v>
      </c>
      <c r="AM50" s="75">
        <v>2048743</v>
      </c>
      <c r="AN50" s="75">
        <v>2006140</v>
      </c>
      <c r="AO50" s="75">
        <v>1980169</v>
      </c>
      <c r="AP50" s="75">
        <v>1923153</v>
      </c>
      <c r="AQ50" s="75">
        <v>1985687</v>
      </c>
      <c r="AR50" s="75">
        <v>1915813</v>
      </c>
      <c r="AS50" s="75">
        <v>1938964</v>
      </c>
      <c r="AT50" s="75">
        <v>2029906</v>
      </c>
      <c r="AU50" s="75">
        <v>2146087</v>
      </c>
      <c r="AV50" s="75">
        <v>2182193</v>
      </c>
      <c r="AW50" s="75">
        <v>2065134</v>
      </c>
      <c r="AX50" s="75">
        <v>2020074</v>
      </c>
      <c r="AY50" s="75">
        <v>2015928</v>
      </c>
      <c r="AZ50" s="75">
        <v>2054996</v>
      </c>
      <c r="BA50" s="75">
        <v>2176702</v>
      </c>
      <c r="BB50" s="75">
        <v>2208618</v>
      </c>
      <c r="BC50" s="75">
        <v>2202580</v>
      </c>
      <c r="BD50" s="75">
        <v>2196310</v>
      </c>
      <c r="BE50" s="75">
        <v>2218427</v>
      </c>
      <c r="BF50" s="75">
        <v>2241372</v>
      </c>
      <c r="BG50" s="75">
        <v>2157478</v>
      </c>
      <c r="BH50" s="75">
        <v>2140525</v>
      </c>
      <c r="BI50" s="75">
        <v>2110244</v>
      </c>
      <c r="BJ50" s="75">
        <v>2028068</v>
      </c>
      <c r="BK50" s="75">
        <v>2007286</v>
      </c>
      <c r="BL50" s="75">
        <v>1914614</v>
      </c>
      <c r="BM50" s="75">
        <v>1837717</v>
      </c>
      <c r="BN50" s="75">
        <v>1764760</v>
      </c>
      <c r="BO50" s="75">
        <v>1702953</v>
      </c>
      <c r="BP50" s="75">
        <v>1661323</v>
      </c>
      <c r="BQ50" s="75">
        <v>1609052</v>
      </c>
      <c r="BR50" s="75">
        <v>1592863</v>
      </c>
      <c r="BS50" s="75">
        <v>1656881</v>
      </c>
      <c r="BT50" s="75">
        <v>1210817</v>
      </c>
      <c r="BU50" s="75">
        <v>1186618</v>
      </c>
      <c r="BV50" s="75">
        <v>1150601</v>
      </c>
      <c r="BW50" s="75">
        <v>1172169</v>
      </c>
      <c r="BX50" s="75">
        <v>1011794</v>
      </c>
      <c r="BY50" s="75">
        <v>913174</v>
      </c>
      <c r="BZ50" s="75">
        <v>857416</v>
      </c>
      <c r="CA50" s="75">
        <v>803367</v>
      </c>
      <c r="CB50" s="75">
        <v>758271</v>
      </c>
      <c r="CC50" s="75">
        <v>689623</v>
      </c>
      <c r="CD50" s="75">
        <v>648866</v>
      </c>
      <c r="CE50" s="75">
        <v>610338</v>
      </c>
      <c r="CF50" s="75">
        <v>539736</v>
      </c>
      <c r="CG50" s="75">
        <v>510821</v>
      </c>
      <c r="CH50" s="75">
        <v>477047</v>
      </c>
      <c r="CI50" s="75">
        <v>442682</v>
      </c>
      <c r="CJ50" s="75">
        <v>411649</v>
      </c>
      <c r="CK50" s="75">
        <v>359765</v>
      </c>
      <c r="CL50" s="75">
        <v>323380</v>
      </c>
      <c r="CM50" s="75">
        <v>283531</v>
      </c>
      <c r="CN50" s="75">
        <v>240485</v>
      </c>
      <c r="CO50" s="75">
        <v>205698</v>
      </c>
      <c r="CP50" s="75">
        <v>170356</v>
      </c>
      <c r="CQ50" s="75">
        <v>137942</v>
      </c>
      <c r="CR50" s="75">
        <v>109886</v>
      </c>
      <c r="CS50" s="75">
        <v>85752</v>
      </c>
      <c r="CT50" s="75">
        <v>62077</v>
      </c>
      <c r="CU50" s="75">
        <v>42528</v>
      </c>
      <c r="CV50" s="75">
        <v>31075</v>
      </c>
      <c r="CW50" s="75">
        <v>20391</v>
      </c>
      <c r="CX50" s="75">
        <v>13557</v>
      </c>
      <c r="CY50" s="75">
        <v>8934</v>
      </c>
      <c r="CZ50" s="75">
        <v>13133</v>
      </c>
    </row>
    <row r="51" spans="1:104" ht="17.100000000000001">
      <c r="A51" s="70" t="s">
        <v>660</v>
      </c>
      <c r="B51" s="71">
        <v>2015</v>
      </c>
      <c r="C51" s="75">
        <v>158345038</v>
      </c>
      <c r="D51" s="75">
        <v>2046747</v>
      </c>
      <c r="E51" s="75">
        <v>2040151</v>
      </c>
      <c r="F51" s="75">
        <v>2033000</v>
      </c>
      <c r="G51" s="75">
        <v>2037228</v>
      </c>
      <c r="H51" s="75">
        <v>2053442</v>
      </c>
      <c r="I51" s="75">
        <v>2047879</v>
      </c>
      <c r="J51" s="75">
        <v>2047387</v>
      </c>
      <c r="K51" s="75">
        <v>2114512</v>
      </c>
      <c r="L51" s="75">
        <v>2127272</v>
      </c>
      <c r="M51" s="75">
        <v>2110838</v>
      </c>
      <c r="N51" s="75">
        <v>2103268</v>
      </c>
      <c r="O51" s="75">
        <v>2105952</v>
      </c>
      <c r="P51" s="75">
        <v>2089259</v>
      </c>
      <c r="Q51" s="75">
        <v>2080625</v>
      </c>
      <c r="R51" s="75">
        <v>2134063</v>
      </c>
      <c r="S51" s="75">
        <v>2171483</v>
      </c>
      <c r="T51" s="75">
        <v>2138962</v>
      </c>
      <c r="U51" s="75">
        <v>2144964</v>
      </c>
      <c r="V51" s="75">
        <v>2155868</v>
      </c>
      <c r="W51" s="75">
        <v>2184297</v>
      </c>
      <c r="X51" s="75">
        <v>2240831</v>
      </c>
      <c r="Y51" s="75">
        <v>2291975</v>
      </c>
      <c r="Z51" s="75">
        <v>2332842</v>
      </c>
      <c r="AA51" s="75">
        <v>2390148</v>
      </c>
      <c r="AB51" s="75">
        <v>2422317</v>
      </c>
      <c r="AC51" s="75">
        <v>2414563</v>
      </c>
      <c r="AD51" s="75">
        <v>2319848</v>
      </c>
      <c r="AE51" s="75">
        <v>2262783</v>
      </c>
      <c r="AF51" s="75">
        <v>2222366</v>
      </c>
      <c r="AG51" s="75">
        <v>2227623</v>
      </c>
      <c r="AH51" s="75">
        <v>2236783</v>
      </c>
      <c r="AI51" s="75">
        <v>2157209</v>
      </c>
      <c r="AJ51" s="75">
        <v>2183917</v>
      </c>
      <c r="AK51" s="75">
        <v>2178099</v>
      </c>
      <c r="AL51" s="75">
        <v>2150363</v>
      </c>
      <c r="AM51" s="75">
        <v>2200292</v>
      </c>
      <c r="AN51" s="75">
        <v>2055390</v>
      </c>
      <c r="AO51" s="75">
        <v>2011884</v>
      </c>
      <c r="AP51" s="75">
        <v>1985353</v>
      </c>
      <c r="AQ51" s="75">
        <v>1927882</v>
      </c>
      <c r="AR51" s="75">
        <v>1989318</v>
      </c>
      <c r="AS51" s="75">
        <v>1918663</v>
      </c>
      <c r="AT51" s="75">
        <v>1940470</v>
      </c>
      <c r="AU51" s="75">
        <v>2030503</v>
      </c>
      <c r="AV51" s="75">
        <v>2145667</v>
      </c>
      <c r="AW51" s="75">
        <v>2180807</v>
      </c>
      <c r="AX51" s="75">
        <v>2063390</v>
      </c>
      <c r="AY51" s="75">
        <v>2017276</v>
      </c>
      <c r="AZ51" s="75">
        <v>2012270</v>
      </c>
      <c r="BA51" s="75">
        <v>2049902</v>
      </c>
      <c r="BB51" s="75">
        <v>2169796</v>
      </c>
      <c r="BC51" s="75">
        <v>2200330</v>
      </c>
      <c r="BD51" s="75">
        <v>2193093</v>
      </c>
      <c r="BE51" s="75">
        <v>2185808</v>
      </c>
      <c r="BF51" s="75">
        <v>2206438</v>
      </c>
      <c r="BG51" s="75">
        <v>2227815</v>
      </c>
      <c r="BH51" s="75">
        <v>2143289</v>
      </c>
      <c r="BI51" s="75">
        <v>2125085</v>
      </c>
      <c r="BJ51" s="75">
        <v>2093652</v>
      </c>
      <c r="BK51" s="75">
        <v>2010808</v>
      </c>
      <c r="BL51" s="75">
        <v>1988880</v>
      </c>
      <c r="BM51" s="75">
        <v>1895977</v>
      </c>
      <c r="BN51" s="75">
        <v>1818545</v>
      </c>
      <c r="BO51" s="75">
        <v>1745109</v>
      </c>
      <c r="BP51" s="75">
        <v>1682504</v>
      </c>
      <c r="BQ51" s="75">
        <v>1639587</v>
      </c>
      <c r="BR51" s="75">
        <v>1586268</v>
      </c>
      <c r="BS51" s="75">
        <v>1568257</v>
      </c>
      <c r="BT51" s="75">
        <v>1628888</v>
      </c>
      <c r="BU51" s="75">
        <v>1188986</v>
      </c>
      <c r="BV51" s="75">
        <v>1163190</v>
      </c>
      <c r="BW51" s="75">
        <v>1125830</v>
      </c>
      <c r="BX51" s="75">
        <v>1144422</v>
      </c>
      <c r="BY51" s="75">
        <v>985614</v>
      </c>
      <c r="BZ51" s="75">
        <v>887197</v>
      </c>
      <c r="CA51" s="75">
        <v>830531</v>
      </c>
      <c r="CB51" s="75">
        <v>775650</v>
      </c>
      <c r="CC51" s="75">
        <v>729341</v>
      </c>
      <c r="CD51" s="75">
        <v>660522</v>
      </c>
      <c r="CE51" s="75">
        <v>618481</v>
      </c>
      <c r="CF51" s="75">
        <v>578660</v>
      </c>
      <c r="CG51" s="75">
        <v>508706</v>
      </c>
      <c r="CH51" s="75">
        <v>478238</v>
      </c>
      <c r="CI51" s="75">
        <v>443280</v>
      </c>
      <c r="CJ51" s="75">
        <v>407810</v>
      </c>
      <c r="CK51" s="75">
        <v>375562</v>
      </c>
      <c r="CL51" s="75">
        <v>324770</v>
      </c>
      <c r="CM51" s="75">
        <v>288567</v>
      </c>
      <c r="CN51" s="75">
        <v>249808</v>
      </c>
      <c r="CO51" s="75">
        <v>209001</v>
      </c>
      <c r="CP51" s="75">
        <v>176078</v>
      </c>
      <c r="CQ51" s="75">
        <v>143459</v>
      </c>
      <c r="CR51" s="75">
        <v>114115</v>
      </c>
      <c r="CS51" s="75">
        <v>89158</v>
      </c>
      <c r="CT51" s="75">
        <v>68164</v>
      </c>
      <c r="CU51" s="75">
        <v>48296</v>
      </c>
      <c r="CV51" s="75">
        <v>32336</v>
      </c>
      <c r="CW51" s="75">
        <v>23072</v>
      </c>
      <c r="CX51" s="75">
        <v>14756</v>
      </c>
      <c r="CY51" s="75">
        <v>9568</v>
      </c>
      <c r="CZ51" s="75">
        <v>13810</v>
      </c>
    </row>
    <row r="52" spans="1:104" ht="18" thickBot="1">
      <c r="A52" s="70" t="s">
        <v>660</v>
      </c>
      <c r="B52" s="71">
        <v>2016</v>
      </c>
      <c r="C52" s="75">
        <v>159690758</v>
      </c>
      <c r="D52" s="75">
        <v>2061349</v>
      </c>
      <c r="E52" s="75">
        <v>2055081</v>
      </c>
      <c r="F52" s="75">
        <v>2048389</v>
      </c>
      <c r="G52" s="75">
        <v>2040053</v>
      </c>
      <c r="H52" s="75">
        <v>2043259</v>
      </c>
      <c r="I52" s="75">
        <v>2058782</v>
      </c>
      <c r="J52" s="75">
        <v>2053077</v>
      </c>
      <c r="K52" s="75">
        <v>2052599</v>
      </c>
      <c r="L52" s="75">
        <v>2119863</v>
      </c>
      <c r="M52" s="75">
        <v>2132699</v>
      </c>
      <c r="N52" s="75">
        <v>2116302</v>
      </c>
      <c r="O52" s="75">
        <v>2108667</v>
      </c>
      <c r="P52" s="75">
        <v>2111279</v>
      </c>
      <c r="Q52" s="75">
        <v>2094640</v>
      </c>
      <c r="R52" s="75">
        <v>2086621</v>
      </c>
      <c r="S52" s="75">
        <v>2141608</v>
      </c>
      <c r="T52" s="75">
        <v>2181493</v>
      </c>
      <c r="U52" s="75">
        <v>2152469</v>
      </c>
      <c r="V52" s="75">
        <v>2162006</v>
      </c>
      <c r="W52" s="75">
        <v>2175616</v>
      </c>
      <c r="X52" s="75">
        <v>2205652</v>
      </c>
      <c r="Y52" s="75">
        <v>2262888</v>
      </c>
      <c r="Z52" s="75">
        <v>2314048</v>
      </c>
      <c r="AA52" s="75">
        <v>2354174</v>
      </c>
      <c r="AB52" s="75">
        <v>2410388</v>
      </c>
      <c r="AC52" s="75">
        <v>2441391</v>
      </c>
      <c r="AD52" s="75">
        <v>2432272</v>
      </c>
      <c r="AE52" s="75">
        <v>2336607</v>
      </c>
      <c r="AF52" s="75">
        <v>2278377</v>
      </c>
      <c r="AG52" s="75">
        <v>2237049</v>
      </c>
      <c r="AH52" s="75">
        <v>2240940</v>
      </c>
      <c r="AI52" s="75">
        <v>2248606</v>
      </c>
      <c r="AJ52" s="75">
        <v>2167763</v>
      </c>
      <c r="AK52" s="75">
        <v>2192847</v>
      </c>
      <c r="AL52" s="75">
        <v>2186454</v>
      </c>
      <c r="AM52" s="75">
        <v>2157899</v>
      </c>
      <c r="AN52" s="75">
        <v>2206606</v>
      </c>
      <c r="AO52" s="75">
        <v>2061348</v>
      </c>
      <c r="AP52" s="75">
        <v>2017105</v>
      </c>
      <c r="AQ52" s="75">
        <v>1990021</v>
      </c>
      <c r="AR52" s="75">
        <v>1931863</v>
      </c>
      <c r="AS52" s="75">
        <v>1991987</v>
      </c>
      <c r="AT52" s="75">
        <v>1920551</v>
      </c>
      <c r="AU52" s="75">
        <v>1941267</v>
      </c>
      <c r="AV52" s="75">
        <v>2030547</v>
      </c>
      <c r="AW52" s="75">
        <v>2144639</v>
      </c>
      <c r="AX52" s="75">
        <v>2178724</v>
      </c>
      <c r="AY52" s="75">
        <v>2060763</v>
      </c>
      <c r="AZ52" s="75">
        <v>2013499</v>
      </c>
      <c r="BA52" s="75">
        <v>2007650</v>
      </c>
      <c r="BB52" s="75">
        <v>2043895</v>
      </c>
      <c r="BC52" s="75">
        <v>2161955</v>
      </c>
      <c r="BD52" s="75">
        <v>2191142</v>
      </c>
      <c r="BE52" s="75">
        <v>2182713</v>
      </c>
      <c r="BF52" s="75">
        <v>2174311</v>
      </c>
      <c r="BG52" s="75">
        <v>2193576</v>
      </c>
      <c r="BH52" s="75">
        <v>2213318</v>
      </c>
      <c r="BI52" s="75">
        <v>2128169</v>
      </c>
      <c r="BJ52" s="75">
        <v>2108656</v>
      </c>
      <c r="BK52" s="75">
        <v>2076129</v>
      </c>
      <c r="BL52" s="75">
        <v>1992698</v>
      </c>
      <c r="BM52" s="75">
        <v>1969702</v>
      </c>
      <c r="BN52" s="75">
        <v>1876517</v>
      </c>
      <c r="BO52" s="75">
        <v>1798523</v>
      </c>
      <c r="BP52" s="75">
        <v>1724549</v>
      </c>
      <c r="BQ52" s="75">
        <v>1660917</v>
      </c>
      <c r="BR52" s="75">
        <v>1616565</v>
      </c>
      <c r="BS52" s="75">
        <v>1562099</v>
      </c>
      <c r="BT52" s="75">
        <v>1542156</v>
      </c>
      <c r="BU52" s="75">
        <v>1599253</v>
      </c>
      <c r="BV52" s="75">
        <v>1165813</v>
      </c>
      <c r="BW52" s="75">
        <v>1138366</v>
      </c>
      <c r="BX52" s="75">
        <v>1099539</v>
      </c>
      <c r="BY52" s="75">
        <v>1114955</v>
      </c>
      <c r="BZ52" s="75">
        <v>957786</v>
      </c>
      <c r="CA52" s="75">
        <v>859642</v>
      </c>
      <c r="CB52" s="75">
        <v>802064</v>
      </c>
      <c r="CC52" s="75">
        <v>746311</v>
      </c>
      <c r="CD52" s="75">
        <v>698790</v>
      </c>
      <c r="CE52" s="75">
        <v>629866</v>
      </c>
      <c r="CF52" s="75">
        <v>586616</v>
      </c>
      <c r="CG52" s="75">
        <v>545593</v>
      </c>
      <c r="CH52" s="75">
        <v>476501</v>
      </c>
      <c r="CI52" s="75">
        <v>444586</v>
      </c>
      <c r="CJ52" s="75">
        <v>408615</v>
      </c>
      <c r="CK52" s="75">
        <v>372322</v>
      </c>
      <c r="CL52" s="75">
        <v>339267</v>
      </c>
      <c r="CM52" s="75">
        <v>290055</v>
      </c>
      <c r="CN52" s="75">
        <v>254506</v>
      </c>
      <c r="CO52" s="75">
        <v>217296</v>
      </c>
      <c r="CP52" s="75">
        <v>179105</v>
      </c>
      <c r="CQ52" s="75">
        <v>148433</v>
      </c>
      <c r="CR52" s="75">
        <v>118820</v>
      </c>
      <c r="CS52" s="75">
        <v>92746</v>
      </c>
      <c r="CT52" s="75">
        <v>70983</v>
      </c>
      <c r="CU52" s="75">
        <v>53102</v>
      </c>
      <c r="CV52" s="75">
        <v>36785</v>
      </c>
      <c r="CW52" s="75">
        <v>24049</v>
      </c>
      <c r="CX52" s="75">
        <v>16727</v>
      </c>
      <c r="CY52" s="75">
        <v>10431</v>
      </c>
      <c r="CZ52" s="75">
        <v>14468</v>
      </c>
    </row>
    <row r="53" spans="1:104" ht="18" thickBot="1">
      <c r="A53" s="70" t="s">
        <v>660</v>
      </c>
      <c r="B53" s="71">
        <v>2017</v>
      </c>
      <c r="C53" s="75">
        <v>161034735</v>
      </c>
      <c r="D53" s="75">
        <v>2075603</v>
      </c>
      <c r="E53" s="75">
        <v>2069787</v>
      </c>
      <c r="F53" s="75">
        <v>2063401</v>
      </c>
      <c r="G53" s="75">
        <v>2055517</v>
      </c>
      <c r="H53" s="75">
        <v>2046061</v>
      </c>
      <c r="I53" s="75">
        <v>2048634</v>
      </c>
      <c r="J53" s="75">
        <v>2063893</v>
      </c>
      <c r="K53" s="75">
        <v>2058301</v>
      </c>
      <c r="L53" s="75">
        <v>2058013</v>
      </c>
      <c r="M53" s="75">
        <v>2125335</v>
      </c>
      <c r="N53" s="75">
        <v>2138168</v>
      </c>
      <c r="O53" s="75">
        <v>2121714</v>
      </c>
      <c r="P53" s="75">
        <v>2114033</v>
      </c>
      <c r="Q53" s="75">
        <v>2116804</v>
      </c>
      <c r="R53" s="75">
        <v>2100731</v>
      </c>
      <c r="S53" s="75">
        <v>2094257</v>
      </c>
      <c r="T53" s="75">
        <v>2151856</v>
      </c>
      <c r="U53" s="75">
        <v>2195116</v>
      </c>
      <c r="V53" s="91">
        <v>2169738</v>
      </c>
      <c r="W53" s="92">
        <v>2182024</v>
      </c>
      <c r="X53" s="92">
        <v>2197203</v>
      </c>
      <c r="Y53" s="92">
        <v>2228094</v>
      </c>
      <c r="Z53" s="92">
        <v>2285162</v>
      </c>
      <c r="AA53" s="92">
        <v>2335679</v>
      </c>
      <c r="AB53" s="92">
        <v>2374823</v>
      </c>
      <c r="AC53" s="92">
        <v>2429594</v>
      </c>
      <c r="AD53" s="92">
        <v>2459466</v>
      </c>
      <c r="AE53" s="92">
        <v>2448952</v>
      </c>
      <c r="AF53" s="92">
        <v>2352429</v>
      </c>
      <c r="AG53" s="92">
        <v>2293084</v>
      </c>
      <c r="AH53" s="92">
        <v>2250695</v>
      </c>
      <c r="AI53" s="92">
        <v>2253014</v>
      </c>
      <c r="AJ53" s="92">
        <v>2259046</v>
      </c>
      <c r="AK53" s="92">
        <v>2177035</v>
      </c>
      <c r="AL53" s="92">
        <v>2201001</v>
      </c>
      <c r="AM53" s="92">
        <v>2194108</v>
      </c>
      <c r="AN53" s="92">
        <v>2164709</v>
      </c>
      <c r="AO53" s="92">
        <v>2212231</v>
      </c>
      <c r="AP53" s="93">
        <v>2066702</v>
      </c>
      <c r="AQ53" s="75">
        <v>2021733</v>
      </c>
      <c r="AR53" s="75">
        <v>1993935</v>
      </c>
      <c r="AS53" s="75">
        <v>1934846</v>
      </c>
      <c r="AT53" s="75">
        <v>1993654</v>
      </c>
      <c r="AU53" s="75">
        <v>1921698</v>
      </c>
      <c r="AV53" s="75">
        <v>1941506</v>
      </c>
      <c r="AW53" s="75">
        <v>2030002</v>
      </c>
      <c r="AX53" s="75">
        <v>2142871</v>
      </c>
      <c r="AY53" s="75">
        <v>2175760</v>
      </c>
      <c r="AZ53" s="75">
        <v>2057126</v>
      </c>
      <c r="BA53" s="75">
        <v>2008794</v>
      </c>
      <c r="BB53" s="75">
        <v>2002094</v>
      </c>
      <c r="BC53" s="75">
        <v>2036951</v>
      </c>
      <c r="BD53" s="75">
        <v>2153196</v>
      </c>
      <c r="BE53" s="75">
        <v>2181060</v>
      </c>
      <c r="BF53" s="75">
        <v>2171381</v>
      </c>
      <c r="BG53" s="75">
        <v>2161925</v>
      </c>
      <c r="BH53" s="75">
        <v>2179763</v>
      </c>
      <c r="BI53" s="75">
        <v>2197870</v>
      </c>
      <c r="BJ53" s="75">
        <v>2112079</v>
      </c>
      <c r="BK53" s="75">
        <v>2091291</v>
      </c>
      <c r="BL53" s="75">
        <v>2057714</v>
      </c>
      <c r="BM53" s="75">
        <v>1973813</v>
      </c>
      <c r="BN53" s="75">
        <v>1949700</v>
      </c>
      <c r="BO53" s="75">
        <v>1856156</v>
      </c>
      <c r="BP53" s="75">
        <v>1777569</v>
      </c>
      <c r="BQ53" s="75">
        <v>1702823</v>
      </c>
      <c r="BR53" s="75">
        <v>1638014</v>
      </c>
      <c r="BS53" s="75">
        <v>1592120</v>
      </c>
      <c r="BT53" s="75">
        <v>1536427</v>
      </c>
      <c r="BU53" s="75">
        <v>1514493</v>
      </c>
      <c r="BV53" s="75">
        <v>1567870</v>
      </c>
      <c r="BW53" s="75">
        <v>1141243</v>
      </c>
      <c r="BX53" s="75">
        <v>1112024</v>
      </c>
      <c r="BY53" s="75">
        <v>1071578</v>
      </c>
      <c r="BZ53" s="75">
        <v>1083644</v>
      </c>
      <c r="CA53" s="75">
        <v>928251</v>
      </c>
      <c r="CB53" s="75">
        <v>830444</v>
      </c>
      <c r="CC53" s="75">
        <v>771933</v>
      </c>
      <c r="CD53" s="75">
        <v>715318</v>
      </c>
      <c r="CE53" s="75">
        <v>666582</v>
      </c>
      <c r="CF53" s="75">
        <v>597682</v>
      </c>
      <c r="CG53" s="75">
        <v>553332</v>
      </c>
      <c r="CH53" s="75">
        <v>511259</v>
      </c>
      <c r="CI53" s="75">
        <v>443217</v>
      </c>
      <c r="CJ53" s="75">
        <v>410021</v>
      </c>
      <c r="CK53" s="75">
        <v>373305</v>
      </c>
      <c r="CL53" s="75">
        <v>336572</v>
      </c>
      <c r="CM53" s="75">
        <v>303213</v>
      </c>
      <c r="CN53" s="75">
        <v>256034</v>
      </c>
      <c r="CO53" s="75">
        <v>221606</v>
      </c>
      <c r="CP53" s="75">
        <v>186381</v>
      </c>
      <c r="CQ53" s="75">
        <v>151157</v>
      </c>
      <c r="CR53" s="75">
        <v>123075</v>
      </c>
      <c r="CS53" s="75">
        <v>96692</v>
      </c>
      <c r="CT53" s="75">
        <v>73963</v>
      </c>
      <c r="CU53" s="75">
        <v>55397</v>
      </c>
      <c r="CV53" s="75">
        <v>40496</v>
      </c>
      <c r="CW53" s="75">
        <v>27398</v>
      </c>
      <c r="CX53" s="75">
        <v>17470</v>
      </c>
      <c r="CY53" s="75">
        <v>11848</v>
      </c>
      <c r="CZ53" s="75">
        <v>15353</v>
      </c>
    </row>
    <row r="54" spans="1:104" ht="18" thickBot="1">
      <c r="A54" s="70" t="s">
        <v>660</v>
      </c>
      <c r="B54" s="71">
        <v>2018</v>
      </c>
      <c r="C54" s="75">
        <v>162375054</v>
      </c>
      <c r="D54" s="75">
        <v>2088981</v>
      </c>
      <c r="E54" s="75">
        <v>2084142</v>
      </c>
      <c r="F54" s="75">
        <v>2078198</v>
      </c>
      <c r="G54" s="75">
        <v>2070598</v>
      </c>
      <c r="H54" s="75">
        <v>2061576</v>
      </c>
      <c r="I54" s="75">
        <v>2051402</v>
      </c>
      <c r="J54" s="75">
        <v>2053784</v>
      </c>
      <c r="K54" s="75">
        <v>2069048</v>
      </c>
      <c r="L54" s="75">
        <v>2063728</v>
      </c>
      <c r="M54" s="75">
        <v>2063546</v>
      </c>
      <c r="N54" s="75">
        <v>2130844</v>
      </c>
      <c r="O54" s="75">
        <v>2143581</v>
      </c>
      <c r="P54" s="75">
        <v>2127064</v>
      </c>
      <c r="Q54" s="75">
        <v>2119589</v>
      </c>
      <c r="R54" s="75">
        <v>2123040</v>
      </c>
      <c r="S54" s="75">
        <v>2108461</v>
      </c>
      <c r="T54" s="75">
        <v>2104612</v>
      </c>
      <c r="U54" s="75">
        <v>2165740</v>
      </c>
      <c r="V54" s="91">
        <v>2212523</v>
      </c>
      <c r="W54" s="92">
        <v>2189993</v>
      </c>
      <c r="X54" s="92">
        <v>2203897</v>
      </c>
      <c r="Y54" s="92">
        <v>2219856</v>
      </c>
      <c r="Z54" s="92">
        <v>2250720</v>
      </c>
      <c r="AA54" s="92">
        <v>2306978</v>
      </c>
      <c r="AB54" s="92">
        <v>2356560</v>
      </c>
      <c r="AC54" s="92">
        <v>2394416</v>
      </c>
      <c r="AD54" s="92">
        <v>2447767</v>
      </c>
      <c r="AE54" s="92">
        <v>2476442</v>
      </c>
      <c r="AF54" s="92">
        <v>2464687</v>
      </c>
      <c r="AG54" s="92">
        <v>2367300</v>
      </c>
      <c r="AH54" s="92">
        <v>2306762</v>
      </c>
      <c r="AI54" s="92">
        <v>2262965</v>
      </c>
      <c r="AJ54" s="92">
        <v>2263665</v>
      </c>
      <c r="AK54" s="92">
        <v>2268209</v>
      </c>
      <c r="AL54" s="92">
        <v>2185468</v>
      </c>
      <c r="AM54" s="92">
        <v>2208488</v>
      </c>
      <c r="AN54" s="92">
        <v>2200975</v>
      </c>
      <c r="AO54" s="92">
        <v>2170766</v>
      </c>
      <c r="AP54" s="93">
        <v>2217292</v>
      </c>
      <c r="AQ54" s="75">
        <v>2071432</v>
      </c>
      <c r="AR54" s="75">
        <v>2025577</v>
      </c>
      <c r="AS54" s="75">
        <v>1996845</v>
      </c>
      <c r="AT54" s="75">
        <v>1936829</v>
      </c>
      <c r="AU54" s="75">
        <v>1994540</v>
      </c>
      <c r="AV54" s="75">
        <v>1922264</v>
      </c>
      <c r="AW54" s="75">
        <v>1941197</v>
      </c>
      <c r="AX54" s="75">
        <v>2028735</v>
      </c>
      <c r="AY54" s="75">
        <v>2140168</v>
      </c>
      <c r="AZ54" s="75">
        <v>2171768</v>
      </c>
      <c r="BA54" s="75">
        <v>2052525</v>
      </c>
      <c r="BB54" s="75">
        <v>2003223</v>
      </c>
      <c r="BC54" s="75">
        <v>1995611</v>
      </c>
      <c r="BD54" s="75">
        <v>2029137</v>
      </c>
      <c r="BE54" s="75">
        <v>2143555</v>
      </c>
      <c r="BF54" s="75">
        <v>2170038</v>
      </c>
      <c r="BG54" s="75">
        <v>2159190</v>
      </c>
      <c r="BH54" s="75">
        <v>2148605</v>
      </c>
      <c r="BI54" s="75">
        <v>2165010</v>
      </c>
      <c r="BJ54" s="75">
        <v>2181426</v>
      </c>
      <c r="BK54" s="75">
        <v>2095040</v>
      </c>
      <c r="BL54" s="75">
        <v>2073047</v>
      </c>
      <c r="BM54" s="75">
        <v>2038484</v>
      </c>
      <c r="BN54" s="75">
        <v>1954090</v>
      </c>
      <c r="BO54" s="75">
        <v>1928748</v>
      </c>
      <c r="BP54" s="75">
        <v>1834792</v>
      </c>
      <c r="BQ54" s="75">
        <v>1755402</v>
      </c>
      <c r="BR54" s="75">
        <v>1679716</v>
      </c>
      <c r="BS54" s="75">
        <v>1613653</v>
      </c>
      <c r="BT54" s="75">
        <v>1566165</v>
      </c>
      <c r="BU54" s="75">
        <v>1509182</v>
      </c>
      <c r="BV54" s="75">
        <v>1485176</v>
      </c>
      <c r="BW54" s="75">
        <v>1534635</v>
      </c>
      <c r="BX54" s="75">
        <v>1115145</v>
      </c>
      <c r="BY54" s="75">
        <v>1083974</v>
      </c>
      <c r="BZ54" s="75">
        <v>1041823</v>
      </c>
      <c r="CA54" s="75">
        <v>1050428</v>
      </c>
      <c r="CB54" s="75">
        <v>896958</v>
      </c>
      <c r="CC54" s="75">
        <v>799515</v>
      </c>
      <c r="CD54" s="75">
        <v>740077</v>
      </c>
      <c r="CE54" s="75">
        <v>682619</v>
      </c>
      <c r="CF54" s="75">
        <v>632766</v>
      </c>
      <c r="CG54" s="75">
        <v>564027</v>
      </c>
      <c r="CH54" s="75">
        <v>518740</v>
      </c>
      <c r="CI54" s="75">
        <v>475752</v>
      </c>
      <c r="CJ54" s="75">
        <v>409000</v>
      </c>
      <c r="CK54" s="75">
        <v>374794</v>
      </c>
      <c r="CL54" s="75">
        <v>337712</v>
      </c>
      <c r="CM54" s="75">
        <v>301040</v>
      </c>
      <c r="CN54" s="75">
        <v>267857</v>
      </c>
      <c r="CO54" s="75">
        <v>223160</v>
      </c>
      <c r="CP54" s="75">
        <v>190296</v>
      </c>
      <c r="CQ54" s="75">
        <v>157454</v>
      </c>
      <c r="CR54" s="75">
        <v>125491</v>
      </c>
      <c r="CS54" s="75">
        <v>100259</v>
      </c>
      <c r="CT54" s="75">
        <v>77214</v>
      </c>
      <c r="CU54" s="75">
        <v>57819</v>
      </c>
      <c r="CV54" s="75">
        <v>42326</v>
      </c>
      <c r="CW54" s="75">
        <v>30204</v>
      </c>
      <c r="CX54" s="75">
        <v>19940</v>
      </c>
      <c r="CY54" s="75">
        <v>12397</v>
      </c>
      <c r="CZ54" s="75">
        <v>16799</v>
      </c>
    </row>
    <row r="55" spans="1:104" ht="18" thickBot="1">
      <c r="A55" s="70" t="s">
        <v>660</v>
      </c>
      <c r="B55" s="71">
        <v>2019</v>
      </c>
      <c r="C55" s="75">
        <v>163709736</v>
      </c>
      <c r="D55" s="75">
        <v>2101377</v>
      </c>
      <c r="E55" s="75">
        <v>2097626</v>
      </c>
      <c r="F55" s="75">
        <v>2092638</v>
      </c>
      <c r="G55" s="75">
        <v>2085470</v>
      </c>
      <c r="H55" s="75">
        <v>2076718</v>
      </c>
      <c r="I55" s="75">
        <v>2066960</v>
      </c>
      <c r="J55" s="75">
        <v>2056510</v>
      </c>
      <c r="K55" s="75">
        <v>2058962</v>
      </c>
      <c r="L55" s="75">
        <v>2074400</v>
      </c>
      <c r="M55" s="75">
        <v>2069263</v>
      </c>
      <c r="N55" s="75">
        <v>2069112</v>
      </c>
      <c r="O55" s="75">
        <v>2136289</v>
      </c>
      <c r="P55" s="75">
        <v>2148948</v>
      </c>
      <c r="Q55" s="75">
        <v>2132584</v>
      </c>
      <c r="R55" s="75">
        <v>2125843</v>
      </c>
      <c r="S55" s="75">
        <v>2130903</v>
      </c>
      <c r="T55" s="75">
        <v>2118949</v>
      </c>
      <c r="U55" s="75">
        <v>2118641</v>
      </c>
      <c r="V55" s="91">
        <v>2183437</v>
      </c>
      <c r="W55" s="92">
        <v>2232939</v>
      </c>
      <c r="X55" s="92">
        <v>2212099</v>
      </c>
      <c r="Y55" s="92">
        <v>2226832</v>
      </c>
      <c r="Z55" s="92">
        <v>2242712</v>
      </c>
      <c r="AA55" s="92">
        <v>2272868</v>
      </c>
      <c r="AB55" s="92">
        <v>2328041</v>
      </c>
      <c r="AC55" s="92">
        <v>2376333</v>
      </c>
      <c r="AD55" s="92">
        <v>2412953</v>
      </c>
      <c r="AE55" s="92">
        <v>2464814</v>
      </c>
      <c r="AF55" s="92">
        <v>2492384</v>
      </c>
      <c r="AG55" s="92">
        <v>2479464</v>
      </c>
      <c r="AH55" s="92">
        <v>2381073</v>
      </c>
      <c r="AI55" s="92">
        <v>2319038</v>
      </c>
      <c r="AJ55" s="92">
        <v>2273734</v>
      </c>
      <c r="AK55" s="92">
        <v>2272987</v>
      </c>
      <c r="AL55" s="92">
        <v>2276489</v>
      </c>
      <c r="AM55" s="92">
        <v>2193163</v>
      </c>
      <c r="AN55" s="92">
        <v>2215215</v>
      </c>
      <c r="AO55" s="92">
        <v>2207068</v>
      </c>
      <c r="AP55" s="93">
        <v>2176158</v>
      </c>
      <c r="AQ55" s="75">
        <v>2221733</v>
      </c>
      <c r="AR55" s="75">
        <v>2075345</v>
      </c>
      <c r="AS55" s="75">
        <v>2028409</v>
      </c>
      <c r="AT55" s="75">
        <v>1998761</v>
      </c>
      <c r="AU55" s="75">
        <v>1938005</v>
      </c>
      <c r="AV55" s="75">
        <v>1994835</v>
      </c>
      <c r="AW55" s="75">
        <v>1922231</v>
      </c>
      <c r="AX55" s="75">
        <v>1940219</v>
      </c>
      <c r="AY55" s="75">
        <v>2026548</v>
      </c>
      <c r="AZ55" s="75">
        <v>2136449</v>
      </c>
      <c r="BA55" s="75">
        <v>2166808</v>
      </c>
      <c r="BB55" s="75">
        <v>2047021</v>
      </c>
      <c r="BC55" s="75">
        <v>1996752</v>
      </c>
      <c r="BD55" s="75">
        <v>1988270</v>
      </c>
      <c r="BE55" s="75">
        <v>2020462</v>
      </c>
      <c r="BF55" s="75">
        <v>2132988</v>
      </c>
      <c r="BG55" s="75">
        <v>2158147</v>
      </c>
      <c r="BH55" s="75">
        <v>2146072</v>
      </c>
      <c r="BI55" s="75">
        <v>2134342</v>
      </c>
      <c r="BJ55" s="75">
        <v>2149275</v>
      </c>
      <c r="BK55" s="75">
        <v>2164018</v>
      </c>
      <c r="BL55" s="75">
        <v>2077127</v>
      </c>
      <c r="BM55" s="75">
        <v>2054016</v>
      </c>
      <c r="BN55" s="75">
        <v>2018413</v>
      </c>
      <c r="BO55" s="75">
        <v>1933440</v>
      </c>
      <c r="BP55" s="75">
        <v>1906769</v>
      </c>
      <c r="BQ55" s="75">
        <v>1812178</v>
      </c>
      <c r="BR55" s="75">
        <v>1731825</v>
      </c>
      <c r="BS55" s="75">
        <v>1655094</v>
      </c>
      <c r="BT55" s="75">
        <v>1587754</v>
      </c>
      <c r="BU55" s="75">
        <v>1538623</v>
      </c>
      <c r="BV55" s="75">
        <v>1480270</v>
      </c>
      <c r="BW55" s="75">
        <v>1454099</v>
      </c>
      <c r="BX55" s="75">
        <v>1499393</v>
      </c>
      <c r="BY55" s="75">
        <v>1087360</v>
      </c>
      <c r="BZ55" s="75">
        <v>1054130</v>
      </c>
      <c r="CA55" s="75">
        <v>1010233</v>
      </c>
      <c r="CB55" s="75">
        <v>1015244</v>
      </c>
      <c r="CC55" s="75">
        <v>863789</v>
      </c>
      <c r="CD55" s="75">
        <v>766801</v>
      </c>
      <c r="CE55" s="75">
        <v>706466</v>
      </c>
      <c r="CF55" s="75">
        <v>648240</v>
      </c>
      <c r="CG55" s="75">
        <v>597383</v>
      </c>
      <c r="CH55" s="75">
        <v>529026</v>
      </c>
      <c r="CI55" s="75">
        <v>482957</v>
      </c>
      <c r="CJ55" s="75">
        <v>439234</v>
      </c>
      <c r="CK55" s="75">
        <v>374108</v>
      </c>
      <c r="CL55" s="75">
        <v>339267</v>
      </c>
      <c r="CM55" s="75">
        <v>302289</v>
      </c>
      <c r="CN55" s="75">
        <v>266168</v>
      </c>
      <c r="CO55" s="75">
        <v>233665</v>
      </c>
      <c r="CP55" s="75">
        <v>191819</v>
      </c>
      <c r="CQ55" s="75">
        <v>160945</v>
      </c>
      <c r="CR55" s="75">
        <v>130853</v>
      </c>
      <c r="CS55" s="75">
        <v>102366</v>
      </c>
      <c r="CT55" s="75">
        <v>80153</v>
      </c>
      <c r="CU55" s="75">
        <v>60441</v>
      </c>
      <c r="CV55" s="75">
        <v>44255</v>
      </c>
      <c r="CW55" s="75">
        <v>31624</v>
      </c>
      <c r="CX55" s="75">
        <v>22004</v>
      </c>
      <c r="CY55" s="75">
        <v>14171</v>
      </c>
      <c r="CZ55" s="75">
        <v>18060</v>
      </c>
    </row>
    <row r="56" spans="1:104" ht="18" thickBot="1">
      <c r="A56" s="70" t="s">
        <v>660</v>
      </c>
      <c r="B56" s="71">
        <v>2020</v>
      </c>
      <c r="C56" s="75">
        <v>165036419</v>
      </c>
      <c r="D56" s="75">
        <v>2112227</v>
      </c>
      <c r="E56" s="75">
        <v>2110124</v>
      </c>
      <c r="F56" s="75">
        <v>2106208</v>
      </c>
      <c r="G56" s="75">
        <v>2099971</v>
      </c>
      <c r="H56" s="75">
        <v>2091645</v>
      </c>
      <c r="I56" s="75">
        <v>2082151</v>
      </c>
      <c r="J56" s="75">
        <v>2072106</v>
      </c>
      <c r="K56" s="75">
        <v>2061655</v>
      </c>
      <c r="L56" s="75">
        <v>2064352</v>
      </c>
      <c r="M56" s="75">
        <v>2079870</v>
      </c>
      <c r="N56" s="75">
        <v>2074865</v>
      </c>
      <c r="O56" s="75">
        <v>2074610</v>
      </c>
      <c r="P56" s="75">
        <v>2141681</v>
      </c>
      <c r="Q56" s="75">
        <v>2154506</v>
      </c>
      <c r="R56" s="75">
        <v>2138823</v>
      </c>
      <c r="S56" s="75">
        <v>2133750</v>
      </c>
      <c r="T56" s="75">
        <v>2141545</v>
      </c>
      <c r="U56" s="75">
        <v>2133148</v>
      </c>
      <c r="V56" s="91">
        <v>2136548</v>
      </c>
      <c r="W56" s="92">
        <v>2204170</v>
      </c>
      <c r="X56" s="92">
        <v>2255238</v>
      </c>
      <c r="Y56" s="92">
        <v>2235286</v>
      </c>
      <c r="Z56" s="92">
        <v>2249956</v>
      </c>
      <c r="AA56" s="92">
        <v>2265079</v>
      </c>
      <c r="AB56" s="92">
        <v>2294255</v>
      </c>
      <c r="AC56" s="92">
        <v>2347975</v>
      </c>
      <c r="AD56" s="92">
        <v>2395006</v>
      </c>
      <c r="AE56" s="92">
        <v>2430306</v>
      </c>
      <c r="AF56" s="92">
        <v>2480809</v>
      </c>
      <c r="AG56" s="92">
        <v>2507296</v>
      </c>
      <c r="AH56" s="92">
        <v>2493127</v>
      </c>
      <c r="AI56" s="92">
        <v>2393397</v>
      </c>
      <c r="AJ56" s="92">
        <v>2329773</v>
      </c>
      <c r="AK56" s="92">
        <v>2283168</v>
      </c>
      <c r="AL56" s="92">
        <v>2281420</v>
      </c>
      <c r="AM56" s="92">
        <v>2284025</v>
      </c>
      <c r="AN56" s="92">
        <v>2200068</v>
      </c>
      <c r="AO56" s="92">
        <v>2221154</v>
      </c>
      <c r="AP56" s="93">
        <v>2212514</v>
      </c>
      <c r="AQ56" s="75">
        <v>2180874</v>
      </c>
      <c r="AR56" s="75">
        <v>2225360</v>
      </c>
      <c r="AS56" s="75">
        <v>2078234</v>
      </c>
      <c r="AT56" s="75">
        <v>2030233</v>
      </c>
      <c r="AU56" s="75">
        <v>1999892</v>
      </c>
      <c r="AV56" s="75">
        <v>1938571</v>
      </c>
      <c r="AW56" s="75">
        <v>1994547</v>
      </c>
      <c r="AX56" s="75">
        <v>1921478</v>
      </c>
      <c r="AY56" s="75">
        <v>1938366</v>
      </c>
      <c r="AZ56" s="75">
        <v>2023363</v>
      </c>
      <c r="BA56" s="75">
        <v>2131770</v>
      </c>
      <c r="BB56" s="75">
        <v>2160937</v>
      </c>
      <c r="BC56" s="75">
        <v>2040602</v>
      </c>
      <c r="BD56" s="75">
        <v>1989457</v>
      </c>
      <c r="BE56" s="75">
        <v>1980083</v>
      </c>
      <c r="BF56" s="75">
        <v>2010893</v>
      </c>
      <c r="BG56" s="75">
        <v>2121564</v>
      </c>
      <c r="BH56" s="75">
        <v>2145331</v>
      </c>
      <c r="BI56" s="75">
        <v>2132021</v>
      </c>
      <c r="BJ56" s="75">
        <v>2119110</v>
      </c>
      <c r="BK56" s="75">
        <v>2132596</v>
      </c>
      <c r="BL56" s="75">
        <v>2145722</v>
      </c>
      <c r="BM56" s="75">
        <v>2058424</v>
      </c>
      <c r="BN56" s="75">
        <v>2034136</v>
      </c>
      <c r="BO56" s="75">
        <v>1997379</v>
      </c>
      <c r="BP56" s="75">
        <v>1911761</v>
      </c>
      <c r="BQ56" s="75">
        <v>1883480</v>
      </c>
      <c r="BR56" s="75">
        <v>1788094</v>
      </c>
      <c r="BS56" s="75">
        <v>1706708</v>
      </c>
      <c r="BT56" s="75">
        <v>1628871</v>
      </c>
      <c r="BU56" s="75">
        <v>1560232</v>
      </c>
      <c r="BV56" s="75">
        <v>1509382</v>
      </c>
      <c r="BW56" s="75">
        <v>1449616</v>
      </c>
      <c r="BX56" s="75">
        <v>1421092</v>
      </c>
      <c r="BY56" s="75">
        <v>1461926</v>
      </c>
      <c r="BZ56" s="75">
        <v>1057750</v>
      </c>
      <c r="CA56" s="75">
        <v>1022425</v>
      </c>
      <c r="CB56" s="75">
        <v>976733</v>
      </c>
      <c r="CC56" s="75">
        <v>977962</v>
      </c>
      <c r="CD56" s="75">
        <v>828704</v>
      </c>
      <c r="CE56" s="75">
        <v>732256</v>
      </c>
      <c r="CF56" s="75">
        <v>671105</v>
      </c>
      <c r="CG56" s="75">
        <v>612234</v>
      </c>
      <c r="CH56" s="75">
        <v>560560</v>
      </c>
      <c r="CI56" s="75">
        <v>492781</v>
      </c>
      <c r="CJ56" s="75">
        <v>446125</v>
      </c>
      <c r="CK56" s="75">
        <v>401983</v>
      </c>
      <c r="CL56" s="75">
        <v>338889</v>
      </c>
      <c r="CM56" s="75">
        <v>303894</v>
      </c>
      <c r="CN56" s="75">
        <v>267502</v>
      </c>
      <c r="CO56" s="75">
        <v>232394</v>
      </c>
      <c r="CP56" s="75">
        <v>201048</v>
      </c>
      <c r="CQ56" s="75">
        <v>162418</v>
      </c>
      <c r="CR56" s="75">
        <v>133916</v>
      </c>
      <c r="CS56" s="75">
        <v>106861</v>
      </c>
      <c r="CT56" s="75">
        <v>81954</v>
      </c>
      <c r="CU56" s="75">
        <v>62820</v>
      </c>
      <c r="CV56" s="75">
        <v>46324</v>
      </c>
      <c r="CW56" s="75">
        <v>33131</v>
      </c>
      <c r="CX56" s="75">
        <v>23091</v>
      </c>
      <c r="CY56" s="75">
        <v>15648</v>
      </c>
      <c r="CZ56" s="75">
        <v>19999</v>
      </c>
    </row>
    <row r="57" spans="1:104" ht="17.100000000000001">
      <c r="A57" s="70" t="s">
        <v>660</v>
      </c>
      <c r="B57" s="71">
        <v>2021</v>
      </c>
      <c r="C57" s="75">
        <v>166352156</v>
      </c>
      <c r="D57" s="75">
        <v>2120981</v>
      </c>
      <c r="E57" s="75">
        <v>2121053</v>
      </c>
      <c r="F57" s="75">
        <v>2118758</v>
      </c>
      <c r="G57" s="75">
        <v>2113581</v>
      </c>
      <c r="H57" s="75">
        <v>2106181</v>
      </c>
      <c r="I57" s="75">
        <v>2097110</v>
      </c>
      <c r="J57" s="75">
        <v>2087312</v>
      </c>
      <c r="K57" s="75">
        <v>2077259</v>
      </c>
      <c r="L57" s="75">
        <v>2066977</v>
      </c>
      <c r="M57" s="75">
        <v>2069828</v>
      </c>
      <c r="N57" s="75">
        <v>2085457</v>
      </c>
      <c r="O57" s="75">
        <v>2080466</v>
      </c>
      <c r="P57" s="75">
        <v>2080135</v>
      </c>
      <c r="Q57" s="75">
        <v>2147363</v>
      </c>
      <c r="R57" s="75">
        <v>2160918</v>
      </c>
      <c r="S57" s="75">
        <v>2146891</v>
      </c>
      <c r="T57" s="75">
        <v>2144619</v>
      </c>
      <c r="U57" s="75">
        <v>2156112</v>
      </c>
      <c r="V57" s="75">
        <v>2151465</v>
      </c>
      <c r="W57" s="75">
        <v>2157798</v>
      </c>
      <c r="X57" s="75">
        <v>2227062</v>
      </c>
      <c r="Y57" s="75">
        <v>2278919</v>
      </c>
      <c r="Z57" s="75">
        <v>2258943</v>
      </c>
      <c r="AA57" s="75">
        <v>2272855</v>
      </c>
      <c r="AB57" s="75">
        <v>2286911</v>
      </c>
      <c r="AC57" s="75">
        <v>2314736</v>
      </c>
      <c r="AD57" s="75">
        <v>2366995</v>
      </c>
      <c r="AE57" s="75">
        <v>2412652</v>
      </c>
      <c r="AF57" s="75">
        <v>2446709</v>
      </c>
      <c r="AG57" s="75">
        <v>2495890</v>
      </c>
      <c r="AH57" s="75">
        <v>2521139</v>
      </c>
      <c r="AI57" s="75">
        <v>2505398</v>
      </c>
      <c r="AJ57" s="75">
        <v>2404202</v>
      </c>
      <c r="AK57" s="75">
        <v>2339166</v>
      </c>
      <c r="AL57" s="75">
        <v>2291690</v>
      </c>
      <c r="AM57" s="75">
        <v>2289051</v>
      </c>
      <c r="AN57" s="75">
        <v>2290742</v>
      </c>
      <c r="AO57" s="75">
        <v>2206130</v>
      </c>
      <c r="AP57" s="75">
        <v>2226391</v>
      </c>
      <c r="AQ57" s="75">
        <v>2217221</v>
      </c>
      <c r="AR57" s="75">
        <v>2184690</v>
      </c>
      <c r="AS57" s="75">
        <v>2227858</v>
      </c>
      <c r="AT57" s="75">
        <v>2080039</v>
      </c>
      <c r="AU57" s="75">
        <v>2031215</v>
      </c>
      <c r="AV57" s="75">
        <v>2000344</v>
      </c>
      <c r="AW57" s="75">
        <v>1938465</v>
      </c>
      <c r="AX57" s="75">
        <v>1993485</v>
      </c>
      <c r="AY57" s="75">
        <v>1919752</v>
      </c>
      <c r="AZ57" s="75">
        <v>1935456</v>
      </c>
      <c r="BA57" s="75">
        <v>2019119</v>
      </c>
      <c r="BB57" s="75">
        <v>2126073</v>
      </c>
      <c r="BC57" s="75">
        <v>2154006</v>
      </c>
      <c r="BD57" s="75">
        <v>2033211</v>
      </c>
      <c r="BE57" s="75">
        <v>1981205</v>
      </c>
      <c r="BF57" s="75">
        <v>1970869</v>
      </c>
      <c r="BG57" s="75">
        <v>2000356</v>
      </c>
      <c r="BH57" s="75">
        <v>2109066</v>
      </c>
      <c r="BI57" s="75">
        <v>2131395</v>
      </c>
      <c r="BJ57" s="75">
        <v>2116817</v>
      </c>
      <c r="BK57" s="75">
        <v>2102774</v>
      </c>
      <c r="BL57" s="75">
        <v>2114833</v>
      </c>
      <c r="BM57" s="75">
        <v>2126437</v>
      </c>
      <c r="BN57" s="75">
        <v>2038679</v>
      </c>
      <c r="BO57" s="75">
        <v>2013144</v>
      </c>
      <c r="BP57" s="75">
        <v>1975140</v>
      </c>
      <c r="BQ57" s="75">
        <v>1888662</v>
      </c>
      <c r="BR57" s="75">
        <v>1858571</v>
      </c>
      <c r="BS57" s="75">
        <v>1762321</v>
      </c>
      <c r="BT57" s="75">
        <v>1679862</v>
      </c>
      <c r="BU57" s="75">
        <v>1600964</v>
      </c>
      <c r="BV57" s="75">
        <v>1531014</v>
      </c>
      <c r="BW57" s="75">
        <v>1478380</v>
      </c>
      <c r="BX57" s="75">
        <v>1417053</v>
      </c>
      <c r="BY57" s="75">
        <v>1385985</v>
      </c>
      <c r="BZ57" s="75">
        <v>1422125</v>
      </c>
      <c r="CA57" s="75">
        <v>1026285</v>
      </c>
      <c r="CB57" s="75">
        <v>988807</v>
      </c>
      <c r="CC57" s="75">
        <v>941209</v>
      </c>
      <c r="CD57" s="75">
        <v>938522</v>
      </c>
      <c r="CE57" s="75">
        <v>791652</v>
      </c>
      <c r="CF57" s="75">
        <v>695893</v>
      </c>
      <c r="CG57" s="75">
        <v>634061</v>
      </c>
      <c r="CH57" s="75">
        <v>574739</v>
      </c>
      <c r="CI57" s="75">
        <v>522398</v>
      </c>
      <c r="CJ57" s="75">
        <v>455463</v>
      </c>
      <c r="CK57" s="75">
        <v>408515</v>
      </c>
      <c r="CL57" s="75">
        <v>364379</v>
      </c>
      <c r="CM57" s="75">
        <v>303794</v>
      </c>
      <c r="CN57" s="75">
        <v>269126</v>
      </c>
      <c r="CO57" s="75">
        <v>233771</v>
      </c>
      <c r="CP57" s="75">
        <v>200143</v>
      </c>
      <c r="CQ57" s="75">
        <v>170402</v>
      </c>
      <c r="CR57" s="75">
        <v>135304</v>
      </c>
      <c r="CS57" s="75">
        <v>109499</v>
      </c>
      <c r="CT57" s="75">
        <v>85651</v>
      </c>
      <c r="CU57" s="75">
        <v>64325</v>
      </c>
      <c r="CV57" s="75">
        <v>48207</v>
      </c>
      <c r="CW57" s="75">
        <v>34724</v>
      </c>
      <c r="CX57" s="75">
        <v>24232</v>
      </c>
      <c r="CY57" s="75">
        <v>16459</v>
      </c>
      <c r="CZ57" s="75">
        <v>22165</v>
      </c>
    </row>
    <row r="58" spans="1:104" ht="17.100000000000001">
      <c r="A58" s="70" t="s">
        <v>660</v>
      </c>
      <c r="B58" s="71">
        <v>2022</v>
      </c>
      <c r="C58" s="75">
        <v>167656161</v>
      </c>
      <c r="D58" s="75">
        <v>2127784</v>
      </c>
      <c r="E58" s="75">
        <v>2129930</v>
      </c>
      <c r="F58" s="75">
        <v>2129786</v>
      </c>
      <c r="G58" s="75">
        <v>2126213</v>
      </c>
      <c r="H58" s="75">
        <v>2119853</v>
      </c>
      <c r="I58" s="75">
        <v>2111698</v>
      </c>
      <c r="J58" s="75">
        <v>2102331</v>
      </c>
      <c r="K58" s="75">
        <v>2092516</v>
      </c>
      <c r="L58" s="75">
        <v>2082636</v>
      </c>
      <c r="M58" s="75">
        <v>2072430</v>
      </c>
      <c r="N58" s="75">
        <v>2075482</v>
      </c>
      <c r="O58" s="75">
        <v>2091040</v>
      </c>
      <c r="P58" s="75">
        <v>2086030</v>
      </c>
      <c r="Q58" s="75">
        <v>2085892</v>
      </c>
      <c r="R58" s="75">
        <v>2153821</v>
      </c>
      <c r="S58" s="75">
        <v>2169073</v>
      </c>
      <c r="T58" s="75">
        <v>2157856</v>
      </c>
      <c r="U58" s="75">
        <v>2159319</v>
      </c>
      <c r="V58" s="75">
        <v>2174641</v>
      </c>
      <c r="W58" s="75">
        <v>2172912</v>
      </c>
      <c r="X58" s="75">
        <v>2180979</v>
      </c>
      <c r="Y58" s="75">
        <v>2251093</v>
      </c>
      <c r="Z58" s="75">
        <v>2302829</v>
      </c>
      <c r="AA58" s="75">
        <v>2282093</v>
      </c>
      <c r="AB58" s="75">
        <v>2294952</v>
      </c>
      <c r="AC58" s="75">
        <v>2307601</v>
      </c>
      <c r="AD58" s="75">
        <v>2334047</v>
      </c>
      <c r="AE58" s="75">
        <v>2384808</v>
      </c>
      <c r="AF58" s="75">
        <v>2429214</v>
      </c>
      <c r="AG58" s="75">
        <v>2462043</v>
      </c>
      <c r="AH58" s="75">
        <v>2509804</v>
      </c>
      <c r="AI58" s="75">
        <v>2533474</v>
      </c>
      <c r="AJ58" s="75">
        <v>2516125</v>
      </c>
      <c r="AK58" s="75">
        <v>2413616</v>
      </c>
      <c r="AL58" s="75">
        <v>2347652</v>
      </c>
      <c r="AM58" s="75">
        <v>2299443</v>
      </c>
      <c r="AN58" s="75">
        <v>2295907</v>
      </c>
      <c r="AO58" s="75">
        <v>2296709</v>
      </c>
      <c r="AP58" s="75">
        <v>2211592</v>
      </c>
      <c r="AQ58" s="75">
        <v>2231005</v>
      </c>
      <c r="AR58" s="75">
        <v>2221108</v>
      </c>
      <c r="AS58" s="75">
        <v>2187495</v>
      </c>
      <c r="AT58" s="75">
        <v>2229386</v>
      </c>
      <c r="AU58" s="75">
        <v>2081052</v>
      </c>
      <c r="AV58" s="75">
        <v>2031615</v>
      </c>
      <c r="AW58" s="75">
        <v>2000211</v>
      </c>
      <c r="AX58" s="75">
        <v>1937697</v>
      </c>
      <c r="AY58" s="75">
        <v>1991573</v>
      </c>
      <c r="AZ58" s="75">
        <v>1917099</v>
      </c>
      <c r="BA58" s="75">
        <v>1931669</v>
      </c>
      <c r="BB58" s="75">
        <v>2014028</v>
      </c>
      <c r="BC58" s="75">
        <v>2119494</v>
      </c>
      <c r="BD58" s="75">
        <v>2146218</v>
      </c>
      <c r="BE58" s="75">
        <v>2025005</v>
      </c>
      <c r="BF58" s="75">
        <v>1972129</v>
      </c>
      <c r="BG58" s="75">
        <v>1960859</v>
      </c>
      <c r="BH58" s="75">
        <v>1988961</v>
      </c>
      <c r="BI58" s="75">
        <v>2095639</v>
      </c>
      <c r="BJ58" s="75">
        <v>2116521</v>
      </c>
      <c r="BK58" s="75">
        <v>2100740</v>
      </c>
      <c r="BL58" s="75">
        <v>2085587</v>
      </c>
      <c r="BM58" s="75">
        <v>2096289</v>
      </c>
      <c r="BN58" s="75">
        <v>2106294</v>
      </c>
      <c r="BO58" s="75">
        <v>2017986</v>
      </c>
      <c r="BP58" s="75">
        <v>1991099</v>
      </c>
      <c r="BQ58" s="75">
        <v>1951586</v>
      </c>
      <c r="BR58" s="75">
        <v>1864074</v>
      </c>
      <c r="BS58" s="75">
        <v>1832046</v>
      </c>
      <c r="BT58" s="75">
        <v>1734887</v>
      </c>
      <c r="BU58" s="75">
        <v>1651385</v>
      </c>
      <c r="BV58" s="75">
        <v>1571338</v>
      </c>
      <c r="BW58" s="75">
        <v>1499994</v>
      </c>
      <c r="BX58" s="75">
        <v>1445445</v>
      </c>
      <c r="BY58" s="75">
        <v>1382403</v>
      </c>
      <c r="BZ58" s="75">
        <v>1348638</v>
      </c>
      <c r="CA58" s="75">
        <v>1379886</v>
      </c>
      <c r="CB58" s="75">
        <v>992888</v>
      </c>
      <c r="CC58" s="75">
        <v>953150</v>
      </c>
      <c r="CD58" s="75">
        <v>903598</v>
      </c>
      <c r="CE58" s="75">
        <v>896864</v>
      </c>
      <c r="CF58" s="75">
        <v>752625</v>
      </c>
      <c r="CG58" s="75">
        <v>657764</v>
      </c>
      <c r="CH58" s="75">
        <v>595473</v>
      </c>
      <c r="CI58" s="75">
        <v>535868</v>
      </c>
      <c r="CJ58" s="75">
        <v>483086</v>
      </c>
      <c r="CK58" s="75">
        <v>417347</v>
      </c>
      <c r="CL58" s="75">
        <v>370528</v>
      </c>
      <c r="CM58" s="75">
        <v>326882</v>
      </c>
      <c r="CN58" s="75">
        <v>269265</v>
      </c>
      <c r="CO58" s="75">
        <v>235384</v>
      </c>
      <c r="CP58" s="75">
        <v>201536</v>
      </c>
      <c r="CQ58" s="75">
        <v>169805</v>
      </c>
      <c r="CR58" s="75">
        <v>142110</v>
      </c>
      <c r="CS58" s="75">
        <v>110773</v>
      </c>
      <c r="CT58" s="75">
        <v>87882</v>
      </c>
      <c r="CU58" s="75">
        <v>67301</v>
      </c>
      <c r="CV58" s="75">
        <v>49437</v>
      </c>
      <c r="CW58" s="75">
        <v>36179</v>
      </c>
      <c r="CX58" s="75">
        <v>25431</v>
      </c>
      <c r="CY58" s="75">
        <v>17308</v>
      </c>
      <c r="CZ58" s="75">
        <v>24012</v>
      </c>
    </row>
    <row r="59" spans="1:104" ht="17.100000000000001">
      <c r="A59" s="70" t="s">
        <v>660</v>
      </c>
      <c r="B59" s="71">
        <v>2023</v>
      </c>
      <c r="C59" s="75">
        <v>168947197</v>
      </c>
      <c r="D59" s="75">
        <v>2133240</v>
      </c>
      <c r="E59" s="75">
        <v>2136846</v>
      </c>
      <c r="F59" s="75">
        <v>2138757</v>
      </c>
      <c r="G59" s="75">
        <v>2137324</v>
      </c>
      <c r="H59" s="75">
        <v>2132556</v>
      </c>
      <c r="I59" s="75">
        <v>2125435</v>
      </c>
      <c r="J59" s="75">
        <v>2116979</v>
      </c>
      <c r="K59" s="75">
        <v>2107587</v>
      </c>
      <c r="L59" s="75">
        <v>2097939</v>
      </c>
      <c r="M59" s="75">
        <v>2088120</v>
      </c>
      <c r="N59" s="75">
        <v>2078123</v>
      </c>
      <c r="O59" s="75">
        <v>2081121</v>
      </c>
      <c r="P59" s="75">
        <v>2096636</v>
      </c>
      <c r="Q59" s="75">
        <v>2091846</v>
      </c>
      <c r="R59" s="75">
        <v>2092449</v>
      </c>
      <c r="S59" s="75">
        <v>2162055</v>
      </c>
      <c r="T59" s="75">
        <v>2180126</v>
      </c>
      <c r="U59" s="75">
        <v>2172683</v>
      </c>
      <c r="V59" s="75">
        <v>2178019</v>
      </c>
      <c r="W59" s="75">
        <v>2196314</v>
      </c>
      <c r="X59" s="75">
        <v>2196306</v>
      </c>
      <c r="Y59" s="75">
        <v>2205284</v>
      </c>
      <c r="Z59" s="75">
        <v>2275317</v>
      </c>
      <c r="AA59" s="75">
        <v>2326243</v>
      </c>
      <c r="AB59" s="75">
        <v>2304433</v>
      </c>
      <c r="AC59" s="75">
        <v>2315864</v>
      </c>
      <c r="AD59" s="75">
        <v>2327139</v>
      </c>
      <c r="AE59" s="75">
        <v>2352132</v>
      </c>
      <c r="AF59" s="75">
        <v>2401565</v>
      </c>
      <c r="AG59" s="75">
        <v>2444715</v>
      </c>
      <c r="AH59" s="75">
        <v>2476216</v>
      </c>
      <c r="AI59" s="75">
        <v>2522285</v>
      </c>
      <c r="AJ59" s="75">
        <v>2544295</v>
      </c>
      <c r="AK59" s="75">
        <v>2525508</v>
      </c>
      <c r="AL59" s="75">
        <v>2422154</v>
      </c>
      <c r="AM59" s="75">
        <v>2355394</v>
      </c>
      <c r="AN59" s="75">
        <v>2306402</v>
      </c>
      <c r="AO59" s="75">
        <v>2302033</v>
      </c>
      <c r="AP59" s="75">
        <v>2302111</v>
      </c>
      <c r="AQ59" s="75">
        <v>2216462</v>
      </c>
      <c r="AR59" s="75">
        <v>2234896</v>
      </c>
      <c r="AS59" s="75">
        <v>2223977</v>
      </c>
      <c r="AT59" s="75">
        <v>2189322</v>
      </c>
      <c r="AU59" s="75">
        <v>2230170</v>
      </c>
      <c r="AV59" s="75">
        <v>2081491</v>
      </c>
      <c r="AW59" s="75">
        <v>2031489</v>
      </c>
      <c r="AX59" s="75">
        <v>1999400</v>
      </c>
      <c r="AY59" s="75">
        <v>1936113</v>
      </c>
      <c r="AZ59" s="75">
        <v>1988742</v>
      </c>
      <c r="BA59" s="75">
        <v>1913575</v>
      </c>
      <c r="BB59" s="75">
        <v>1927090</v>
      </c>
      <c r="BC59" s="75">
        <v>2008106</v>
      </c>
      <c r="BD59" s="75">
        <v>2112082</v>
      </c>
      <c r="BE59" s="75">
        <v>2137585</v>
      </c>
      <c r="BF59" s="75">
        <v>2015952</v>
      </c>
      <c r="BG59" s="75">
        <v>1962279</v>
      </c>
      <c r="BH59" s="75">
        <v>1950013</v>
      </c>
      <c r="BI59" s="75">
        <v>1976705</v>
      </c>
      <c r="BJ59" s="75">
        <v>2081323</v>
      </c>
      <c r="BK59" s="75">
        <v>2100785</v>
      </c>
      <c r="BL59" s="75">
        <v>2083850</v>
      </c>
      <c r="BM59" s="75">
        <v>2067650</v>
      </c>
      <c r="BN59" s="75">
        <v>2076900</v>
      </c>
      <c r="BO59" s="75">
        <v>2085177</v>
      </c>
      <c r="BP59" s="75">
        <v>1996222</v>
      </c>
      <c r="BQ59" s="75">
        <v>1967735</v>
      </c>
      <c r="BR59" s="75">
        <v>1926488</v>
      </c>
      <c r="BS59" s="75">
        <v>1837870</v>
      </c>
      <c r="BT59" s="75">
        <v>1803800</v>
      </c>
      <c r="BU59" s="75">
        <v>1705768</v>
      </c>
      <c r="BV59" s="75">
        <v>1621126</v>
      </c>
      <c r="BW59" s="75">
        <v>1539851</v>
      </c>
      <c r="BX59" s="75">
        <v>1466980</v>
      </c>
      <c r="BY59" s="75">
        <v>1410407</v>
      </c>
      <c r="BZ59" s="75">
        <v>1345522</v>
      </c>
      <c r="CA59" s="75">
        <v>1308989</v>
      </c>
      <c r="CB59" s="75">
        <v>1335117</v>
      </c>
      <c r="CC59" s="75">
        <v>957430</v>
      </c>
      <c r="CD59" s="75">
        <v>915378</v>
      </c>
      <c r="CE59" s="75">
        <v>863836</v>
      </c>
      <c r="CF59" s="75">
        <v>852967</v>
      </c>
      <c r="CG59" s="75">
        <v>711686</v>
      </c>
      <c r="CH59" s="75">
        <v>618037</v>
      </c>
      <c r="CI59" s="75">
        <v>555476</v>
      </c>
      <c r="CJ59" s="75">
        <v>495824</v>
      </c>
      <c r="CK59" s="75">
        <v>442907</v>
      </c>
      <c r="CL59" s="75">
        <v>378798</v>
      </c>
      <c r="CM59" s="75">
        <v>332626</v>
      </c>
      <c r="CN59" s="75">
        <v>289941</v>
      </c>
      <c r="CO59" s="75">
        <v>235723</v>
      </c>
      <c r="CP59" s="75">
        <v>203095</v>
      </c>
      <c r="CQ59" s="75">
        <v>171171</v>
      </c>
      <c r="CR59" s="75">
        <v>141757</v>
      </c>
      <c r="CS59" s="75">
        <v>116484</v>
      </c>
      <c r="CT59" s="75">
        <v>89022</v>
      </c>
      <c r="CU59" s="75">
        <v>69146</v>
      </c>
      <c r="CV59" s="75">
        <v>51785</v>
      </c>
      <c r="CW59" s="75">
        <v>37158</v>
      </c>
      <c r="CX59" s="75">
        <v>26530</v>
      </c>
      <c r="CY59" s="75">
        <v>18186</v>
      </c>
      <c r="CZ59" s="75">
        <v>25674</v>
      </c>
    </row>
    <row r="60" spans="1:104" ht="17.100000000000001">
      <c r="A60" s="70" t="s">
        <v>660</v>
      </c>
      <c r="B60" s="71">
        <v>2024</v>
      </c>
      <c r="C60" s="75">
        <v>170225356</v>
      </c>
      <c r="D60" s="75">
        <v>2137850</v>
      </c>
      <c r="E60" s="75">
        <v>2142431</v>
      </c>
      <c r="F60" s="75">
        <v>2145764</v>
      </c>
      <c r="G60" s="75">
        <v>2146367</v>
      </c>
      <c r="H60" s="75">
        <v>2143734</v>
      </c>
      <c r="I60" s="75">
        <v>2138189</v>
      </c>
      <c r="J60" s="75">
        <v>2130760</v>
      </c>
      <c r="K60" s="75">
        <v>2122282</v>
      </c>
      <c r="L60" s="75">
        <v>2113052</v>
      </c>
      <c r="M60" s="75">
        <v>2103470</v>
      </c>
      <c r="N60" s="75">
        <v>2093857</v>
      </c>
      <c r="O60" s="75">
        <v>2083804</v>
      </c>
      <c r="P60" s="75">
        <v>2086760</v>
      </c>
      <c r="Q60" s="75">
        <v>2102482</v>
      </c>
      <c r="R60" s="75">
        <v>2098459</v>
      </c>
      <c r="S60" s="75">
        <v>2100784</v>
      </c>
      <c r="T60" s="75">
        <v>2173211</v>
      </c>
      <c r="U60" s="75">
        <v>2195082</v>
      </c>
      <c r="V60" s="75">
        <v>2191574</v>
      </c>
      <c r="W60" s="75">
        <v>2199938</v>
      </c>
      <c r="X60" s="75">
        <v>2219977</v>
      </c>
      <c r="Y60" s="75">
        <v>2220860</v>
      </c>
      <c r="Z60" s="75">
        <v>2229816</v>
      </c>
      <c r="AA60" s="75">
        <v>2299052</v>
      </c>
      <c r="AB60" s="75">
        <v>2348851</v>
      </c>
      <c r="AC60" s="75">
        <v>2325614</v>
      </c>
      <c r="AD60" s="75">
        <v>2335636</v>
      </c>
      <c r="AE60" s="75">
        <v>2345495</v>
      </c>
      <c r="AF60" s="75">
        <v>2369185</v>
      </c>
      <c r="AG60" s="75">
        <v>2417315</v>
      </c>
      <c r="AH60" s="75">
        <v>2459122</v>
      </c>
      <c r="AI60" s="75">
        <v>2488990</v>
      </c>
      <c r="AJ60" s="75">
        <v>2533302</v>
      </c>
      <c r="AK60" s="75">
        <v>2553853</v>
      </c>
      <c r="AL60" s="75">
        <v>2534113</v>
      </c>
      <c r="AM60" s="75">
        <v>2430063</v>
      </c>
      <c r="AN60" s="75">
        <v>2362444</v>
      </c>
      <c r="AO60" s="75">
        <v>2312689</v>
      </c>
      <c r="AP60" s="75">
        <v>2307637</v>
      </c>
      <c r="AQ60" s="75">
        <v>2306954</v>
      </c>
      <c r="AR60" s="75">
        <v>2220598</v>
      </c>
      <c r="AS60" s="75">
        <v>2237814</v>
      </c>
      <c r="AT60" s="75">
        <v>2225910</v>
      </c>
      <c r="AU60" s="75">
        <v>2190423</v>
      </c>
      <c r="AV60" s="75">
        <v>2230405</v>
      </c>
      <c r="AW60" s="75">
        <v>2081421</v>
      </c>
      <c r="AX60" s="75">
        <v>2030747</v>
      </c>
      <c r="AY60" s="75">
        <v>1997796</v>
      </c>
      <c r="AZ60" s="75">
        <v>1933654</v>
      </c>
      <c r="BA60" s="75">
        <v>1985069</v>
      </c>
      <c r="BB60" s="75">
        <v>1909285</v>
      </c>
      <c r="BC60" s="75">
        <v>1921714</v>
      </c>
      <c r="BD60" s="75">
        <v>2001412</v>
      </c>
      <c r="BE60" s="75">
        <v>2103881</v>
      </c>
      <c r="BF60" s="75">
        <v>2128096</v>
      </c>
      <c r="BG60" s="75">
        <v>2006145</v>
      </c>
      <c r="BH60" s="75">
        <v>1951629</v>
      </c>
      <c r="BI60" s="75">
        <v>1938356</v>
      </c>
      <c r="BJ60" s="75">
        <v>1963607</v>
      </c>
      <c r="BK60" s="75">
        <v>2066152</v>
      </c>
      <c r="BL60" s="75">
        <v>2084217</v>
      </c>
      <c r="BM60" s="75">
        <v>2066226</v>
      </c>
      <c r="BN60" s="75">
        <v>2048907</v>
      </c>
      <c r="BO60" s="75">
        <v>2056571</v>
      </c>
      <c r="BP60" s="75">
        <v>2062973</v>
      </c>
      <c r="BQ60" s="75">
        <v>1973138</v>
      </c>
      <c r="BR60" s="75">
        <v>1942851</v>
      </c>
      <c r="BS60" s="75">
        <v>1899749</v>
      </c>
      <c r="BT60" s="75">
        <v>1809948</v>
      </c>
      <c r="BU60" s="75">
        <v>1773816</v>
      </c>
      <c r="BV60" s="75">
        <v>1674827</v>
      </c>
      <c r="BW60" s="75">
        <v>1588971</v>
      </c>
      <c r="BX60" s="75">
        <v>1506359</v>
      </c>
      <c r="BY60" s="75">
        <v>1431814</v>
      </c>
      <c r="BZ60" s="75">
        <v>1373097</v>
      </c>
      <c r="CA60" s="75">
        <v>1306341</v>
      </c>
      <c r="CB60" s="75">
        <v>1266922</v>
      </c>
      <c r="CC60" s="75">
        <v>1287639</v>
      </c>
      <c r="CD60" s="75">
        <v>919840</v>
      </c>
      <c r="CE60" s="75">
        <v>875431</v>
      </c>
      <c r="CF60" s="75">
        <v>821896</v>
      </c>
      <c r="CG60" s="75">
        <v>806886</v>
      </c>
      <c r="CH60" s="75">
        <v>668993</v>
      </c>
      <c r="CI60" s="75">
        <v>576816</v>
      </c>
      <c r="CJ60" s="75">
        <v>514234</v>
      </c>
      <c r="CK60" s="75">
        <v>454848</v>
      </c>
      <c r="CL60" s="75">
        <v>402269</v>
      </c>
      <c r="CM60" s="75">
        <v>340301</v>
      </c>
      <c r="CN60" s="75">
        <v>295254</v>
      </c>
      <c r="CO60" s="75">
        <v>254029</v>
      </c>
      <c r="CP60" s="75">
        <v>203598</v>
      </c>
      <c r="CQ60" s="75">
        <v>172662</v>
      </c>
      <c r="CR60" s="75">
        <v>143060</v>
      </c>
      <c r="CS60" s="75">
        <v>116319</v>
      </c>
      <c r="CT60" s="75">
        <v>93725</v>
      </c>
      <c r="CU60" s="75">
        <v>70136</v>
      </c>
      <c r="CV60" s="75">
        <v>53276</v>
      </c>
      <c r="CW60" s="75">
        <v>38970</v>
      </c>
      <c r="CX60" s="75">
        <v>27282</v>
      </c>
      <c r="CY60" s="75">
        <v>18996</v>
      </c>
      <c r="CZ60" s="75">
        <v>27237</v>
      </c>
    </row>
    <row r="61" spans="1:104" ht="17.100000000000001">
      <c r="A61" s="70" t="s">
        <v>660</v>
      </c>
      <c r="B61" s="71">
        <v>2025</v>
      </c>
      <c r="C61" s="75">
        <v>171488788</v>
      </c>
      <c r="D61" s="75">
        <v>2141790</v>
      </c>
      <c r="E61" s="75">
        <v>2147153</v>
      </c>
      <c r="F61" s="75">
        <v>2151437</v>
      </c>
      <c r="G61" s="75">
        <v>2153453</v>
      </c>
      <c r="H61" s="75">
        <v>2152839</v>
      </c>
      <c r="I61" s="75">
        <v>2149418</v>
      </c>
      <c r="J61" s="75">
        <v>2143563</v>
      </c>
      <c r="K61" s="75">
        <v>2136115</v>
      </c>
      <c r="L61" s="75">
        <v>2127808</v>
      </c>
      <c r="M61" s="75">
        <v>2118628</v>
      </c>
      <c r="N61" s="75">
        <v>2109255</v>
      </c>
      <c r="O61" s="75">
        <v>2099593</v>
      </c>
      <c r="P61" s="75">
        <v>2089482</v>
      </c>
      <c r="Q61" s="75">
        <v>2092644</v>
      </c>
      <c r="R61" s="75">
        <v>2109126</v>
      </c>
      <c r="S61" s="75">
        <v>2106867</v>
      </c>
      <c r="T61" s="75">
        <v>2112077</v>
      </c>
      <c r="U61" s="75">
        <v>2188314</v>
      </c>
      <c r="V61" s="75">
        <v>2214149</v>
      </c>
      <c r="W61" s="75">
        <v>2213726</v>
      </c>
      <c r="X61" s="75">
        <v>2223862</v>
      </c>
      <c r="Y61" s="75">
        <v>2244807</v>
      </c>
      <c r="Z61" s="75">
        <v>2245650</v>
      </c>
      <c r="AA61" s="75">
        <v>2253851</v>
      </c>
      <c r="AB61" s="75">
        <v>2321969</v>
      </c>
      <c r="AC61" s="75">
        <v>2370273</v>
      </c>
      <c r="AD61" s="75">
        <v>2345637</v>
      </c>
      <c r="AE61" s="75">
        <v>2354212</v>
      </c>
      <c r="AF61" s="75">
        <v>2362788</v>
      </c>
      <c r="AG61" s="75">
        <v>2385211</v>
      </c>
      <c r="AH61" s="75">
        <v>2431955</v>
      </c>
      <c r="AI61" s="75">
        <v>2472123</v>
      </c>
      <c r="AJ61" s="75">
        <v>2500282</v>
      </c>
      <c r="AK61" s="75">
        <v>2543044</v>
      </c>
      <c r="AL61" s="75">
        <v>2562606</v>
      </c>
      <c r="AM61" s="75">
        <v>2542064</v>
      </c>
      <c r="AN61" s="75">
        <v>2437241</v>
      </c>
      <c r="AO61" s="75">
        <v>2368800</v>
      </c>
      <c r="AP61" s="75">
        <v>2318432</v>
      </c>
      <c r="AQ61" s="75">
        <v>2312667</v>
      </c>
      <c r="AR61" s="75">
        <v>2311057</v>
      </c>
      <c r="AS61" s="75">
        <v>2223750</v>
      </c>
      <c r="AT61" s="75">
        <v>2239773</v>
      </c>
      <c r="AU61" s="75">
        <v>2227101</v>
      </c>
      <c r="AV61" s="75">
        <v>2190986</v>
      </c>
      <c r="AW61" s="75">
        <v>2230104</v>
      </c>
      <c r="AX61" s="75">
        <v>2080725</v>
      </c>
      <c r="AY61" s="75">
        <v>2029205</v>
      </c>
      <c r="AZ61" s="75">
        <v>1995304</v>
      </c>
      <c r="BA61" s="75">
        <v>1930369</v>
      </c>
      <c r="BB61" s="75">
        <v>1980630</v>
      </c>
      <c r="BC61" s="75">
        <v>1904205</v>
      </c>
      <c r="BD61" s="75">
        <v>1915605</v>
      </c>
      <c r="BE61" s="75">
        <v>1993955</v>
      </c>
      <c r="BF61" s="75">
        <v>2094828</v>
      </c>
      <c r="BG61" s="75">
        <v>2117823</v>
      </c>
      <c r="BH61" s="75">
        <v>1995523</v>
      </c>
      <c r="BI61" s="75">
        <v>1940174</v>
      </c>
      <c r="BJ61" s="75">
        <v>1925872</v>
      </c>
      <c r="BK61" s="75">
        <v>1949706</v>
      </c>
      <c r="BL61" s="75">
        <v>2050183</v>
      </c>
      <c r="BM61" s="75">
        <v>2066924</v>
      </c>
      <c r="BN61" s="75">
        <v>2047800</v>
      </c>
      <c r="BO61" s="75">
        <v>2029223</v>
      </c>
      <c r="BP61" s="75">
        <v>2035167</v>
      </c>
      <c r="BQ61" s="75">
        <v>2039402</v>
      </c>
      <c r="BR61" s="75">
        <v>1948515</v>
      </c>
      <c r="BS61" s="75">
        <v>1916284</v>
      </c>
      <c r="BT61" s="75">
        <v>1871230</v>
      </c>
      <c r="BU61" s="75">
        <v>1780282</v>
      </c>
      <c r="BV61" s="75">
        <v>1741931</v>
      </c>
      <c r="BW61" s="75">
        <v>1641936</v>
      </c>
      <c r="BX61" s="75">
        <v>1554744</v>
      </c>
      <c r="BY61" s="75">
        <v>1470656</v>
      </c>
      <c r="BZ61" s="75">
        <v>1394344</v>
      </c>
      <c r="CA61" s="75">
        <v>1333444</v>
      </c>
      <c r="CB61" s="75">
        <v>1264742</v>
      </c>
      <c r="CC61" s="75">
        <v>1222266</v>
      </c>
      <c r="CD61" s="75">
        <v>1237336</v>
      </c>
      <c r="CE61" s="75">
        <v>880056</v>
      </c>
      <c r="CF61" s="75">
        <v>833254</v>
      </c>
      <c r="CG61" s="75">
        <v>777826</v>
      </c>
      <c r="CH61" s="75">
        <v>758818</v>
      </c>
      <c r="CI61" s="75">
        <v>624675</v>
      </c>
      <c r="CJ61" s="75">
        <v>534275</v>
      </c>
      <c r="CK61" s="75">
        <v>472011</v>
      </c>
      <c r="CL61" s="75">
        <v>413368</v>
      </c>
      <c r="CM61" s="75">
        <v>361620</v>
      </c>
      <c r="CN61" s="75">
        <v>302315</v>
      </c>
      <c r="CO61" s="75">
        <v>258901</v>
      </c>
      <c r="CP61" s="75">
        <v>219598</v>
      </c>
      <c r="CQ61" s="75">
        <v>173267</v>
      </c>
      <c r="CR61" s="75">
        <v>144450</v>
      </c>
      <c r="CS61" s="75">
        <v>117531</v>
      </c>
      <c r="CT61" s="75">
        <v>93696</v>
      </c>
      <c r="CU61" s="75">
        <v>73940</v>
      </c>
      <c r="CV61" s="75">
        <v>54114</v>
      </c>
      <c r="CW61" s="75">
        <v>40143</v>
      </c>
      <c r="CX61" s="75">
        <v>28653</v>
      </c>
      <c r="CY61" s="75">
        <v>19562</v>
      </c>
      <c r="CZ61" s="75">
        <v>28700</v>
      </c>
    </row>
    <row r="62" spans="1:104" ht="17.100000000000001">
      <c r="A62" s="70" t="s">
        <v>660</v>
      </c>
      <c r="B62" s="71">
        <v>2026</v>
      </c>
      <c r="C62" s="75">
        <v>172736027</v>
      </c>
      <c r="D62" s="75">
        <v>2145023</v>
      </c>
      <c r="E62" s="75">
        <v>2151213</v>
      </c>
      <c r="F62" s="75">
        <v>2156263</v>
      </c>
      <c r="G62" s="75">
        <v>2159206</v>
      </c>
      <c r="H62" s="75">
        <v>2159991</v>
      </c>
      <c r="I62" s="75">
        <v>2158587</v>
      </c>
      <c r="J62" s="75">
        <v>2154842</v>
      </c>
      <c r="K62" s="75">
        <v>2148966</v>
      </c>
      <c r="L62" s="75">
        <v>2141688</v>
      </c>
      <c r="M62" s="75">
        <v>2133434</v>
      </c>
      <c r="N62" s="75">
        <v>2124464</v>
      </c>
      <c r="O62" s="75">
        <v>2115037</v>
      </c>
      <c r="P62" s="75">
        <v>2105316</v>
      </c>
      <c r="Q62" s="75">
        <v>2095405</v>
      </c>
      <c r="R62" s="75">
        <v>2099350</v>
      </c>
      <c r="S62" s="75">
        <v>2117588</v>
      </c>
      <c r="T62" s="75">
        <v>2118258</v>
      </c>
      <c r="U62" s="75">
        <v>2127356</v>
      </c>
      <c r="V62" s="75">
        <v>2207562</v>
      </c>
      <c r="W62" s="75">
        <v>2236481</v>
      </c>
      <c r="X62" s="75">
        <v>2237891</v>
      </c>
      <c r="Y62" s="75">
        <v>2248960</v>
      </c>
      <c r="Z62" s="75">
        <v>2269867</v>
      </c>
      <c r="AA62" s="75">
        <v>2269934</v>
      </c>
      <c r="AB62" s="75">
        <v>2277058</v>
      </c>
      <c r="AC62" s="75">
        <v>2343696</v>
      </c>
      <c r="AD62" s="75">
        <v>2390524</v>
      </c>
      <c r="AE62" s="75">
        <v>2364445</v>
      </c>
      <c r="AF62" s="75">
        <v>2371703</v>
      </c>
      <c r="AG62" s="75">
        <v>2379036</v>
      </c>
      <c r="AH62" s="75">
        <v>2400107</v>
      </c>
      <c r="AI62" s="75">
        <v>2445164</v>
      </c>
      <c r="AJ62" s="75">
        <v>2483621</v>
      </c>
      <c r="AK62" s="75">
        <v>2510284</v>
      </c>
      <c r="AL62" s="75">
        <v>2551977</v>
      </c>
      <c r="AM62" s="75">
        <v>2570702</v>
      </c>
      <c r="AN62" s="75">
        <v>2549282</v>
      </c>
      <c r="AO62" s="75">
        <v>2443730</v>
      </c>
      <c r="AP62" s="75">
        <v>2374605</v>
      </c>
      <c r="AQ62" s="75">
        <v>2323606</v>
      </c>
      <c r="AR62" s="75">
        <v>2316941</v>
      </c>
      <c r="AS62" s="75">
        <v>2314171</v>
      </c>
      <c r="AT62" s="75">
        <v>2225946</v>
      </c>
      <c r="AU62" s="75">
        <v>2241003</v>
      </c>
      <c r="AV62" s="75">
        <v>2227744</v>
      </c>
      <c r="AW62" s="75">
        <v>2191011</v>
      </c>
      <c r="AX62" s="75">
        <v>2229151</v>
      </c>
      <c r="AY62" s="75">
        <v>2079222</v>
      </c>
      <c r="AZ62" s="75">
        <v>2026779</v>
      </c>
      <c r="BA62" s="75">
        <v>1991975</v>
      </c>
      <c r="BB62" s="75">
        <v>1926339</v>
      </c>
      <c r="BC62" s="75">
        <v>1975401</v>
      </c>
      <c r="BD62" s="75">
        <v>1898413</v>
      </c>
      <c r="BE62" s="75">
        <v>1908775</v>
      </c>
      <c r="BF62" s="75">
        <v>1985703</v>
      </c>
      <c r="BG62" s="75">
        <v>2085018</v>
      </c>
      <c r="BH62" s="75">
        <v>2106701</v>
      </c>
      <c r="BI62" s="75">
        <v>1984102</v>
      </c>
      <c r="BJ62" s="75">
        <v>1927906</v>
      </c>
      <c r="BK62" s="75">
        <v>1912609</v>
      </c>
      <c r="BL62" s="75">
        <v>1935051</v>
      </c>
      <c r="BM62" s="75">
        <v>2033498</v>
      </c>
      <c r="BN62" s="75">
        <v>2048836</v>
      </c>
      <c r="BO62" s="75">
        <v>2028452</v>
      </c>
      <c r="BP62" s="75">
        <v>2008509</v>
      </c>
      <c r="BQ62" s="75">
        <v>2012426</v>
      </c>
      <c r="BR62" s="75">
        <v>2014252</v>
      </c>
      <c r="BS62" s="75">
        <v>1922224</v>
      </c>
      <c r="BT62" s="75">
        <v>1887929</v>
      </c>
      <c r="BU62" s="75">
        <v>1840915</v>
      </c>
      <c r="BV62" s="75">
        <v>1748717</v>
      </c>
      <c r="BW62" s="75">
        <v>1708018</v>
      </c>
      <c r="BX62" s="75">
        <v>1606904</v>
      </c>
      <c r="BY62" s="75">
        <v>1518231</v>
      </c>
      <c r="BZ62" s="75">
        <v>1432582</v>
      </c>
      <c r="CA62" s="75">
        <v>1354497</v>
      </c>
      <c r="CB62" s="75">
        <v>1291320</v>
      </c>
      <c r="CC62" s="75">
        <v>1220551</v>
      </c>
      <c r="CD62" s="75">
        <v>1174927</v>
      </c>
      <c r="CE62" s="75">
        <v>1184135</v>
      </c>
      <c r="CF62" s="75">
        <v>838003</v>
      </c>
      <c r="CG62" s="75">
        <v>788898</v>
      </c>
      <c r="CH62" s="75">
        <v>731828</v>
      </c>
      <c r="CI62" s="75">
        <v>708881</v>
      </c>
      <c r="CJ62" s="75">
        <v>578922</v>
      </c>
      <c r="CK62" s="75">
        <v>490696</v>
      </c>
      <c r="CL62" s="75">
        <v>429250</v>
      </c>
      <c r="CM62" s="75">
        <v>371864</v>
      </c>
      <c r="CN62" s="75">
        <v>321495</v>
      </c>
      <c r="CO62" s="75">
        <v>265309</v>
      </c>
      <c r="CP62" s="75">
        <v>223987</v>
      </c>
      <c r="CQ62" s="75">
        <v>187063</v>
      </c>
      <c r="CR62" s="75">
        <v>145122</v>
      </c>
      <c r="CS62" s="75">
        <v>118792</v>
      </c>
      <c r="CT62" s="75">
        <v>94782</v>
      </c>
      <c r="CU62" s="75">
        <v>74002</v>
      </c>
      <c r="CV62" s="75">
        <v>57126</v>
      </c>
      <c r="CW62" s="75">
        <v>40830</v>
      </c>
      <c r="CX62" s="75">
        <v>29553</v>
      </c>
      <c r="CY62" s="75">
        <v>20564</v>
      </c>
      <c r="CZ62" s="75">
        <v>29954</v>
      </c>
    </row>
    <row r="63" spans="1:104" ht="17.100000000000001">
      <c r="A63" s="70" t="s">
        <v>660</v>
      </c>
      <c r="B63" s="71">
        <v>2027</v>
      </c>
      <c r="C63" s="75">
        <v>173965071</v>
      </c>
      <c r="D63" s="75">
        <v>2147389</v>
      </c>
      <c r="E63" s="75">
        <v>2154554</v>
      </c>
      <c r="F63" s="75">
        <v>2160410</v>
      </c>
      <c r="G63" s="75">
        <v>2164106</v>
      </c>
      <c r="H63" s="75">
        <v>2165806</v>
      </c>
      <c r="I63" s="75">
        <v>2165791</v>
      </c>
      <c r="J63" s="75">
        <v>2164064</v>
      </c>
      <c r="K63" s="75">
        <v>2160294</v>
      </c>
      <c r="L63" s="75">
        <v>2154580</v>
      </c>
      <c r="M63" s="75">
        <v>2147362</v>
      </c>
      <c r="N63" s="75">
        <v>2139308</v>
      </c>
      <c r="O63" s="75">
        <v>2130285</v>
      </c>
      <c r="P63" s="75">
        <v>2120810</v>
      </c>
      <c r="Q63" s="75">
        <v>2111291</v>
      </c>
      <c r="R63" s="75">
        <v>2102155</v>
      </c>
      <c r="S63" s="75">
        <v>2107879</v>
      </c>
      <c r="T63" s="75">
        <v>2129059</v>
      </c>
      <c r="U63" s="75">
        <v>2133670</v>
      </c>
      <c r="V63" s="75">
        <v>2146817</v>
      </c>
      <c r="W63" s="75">
        <v>2230107</v>
      </c>
      <c r="X63" s="75">
        <v>2260846</v>
      </c>
      <c r="Y63" s="75">
        <v>2263236</v>
      </c>
      <c r="Z63" s="75">
        <v>2274295</v>
      </c>
      <c r="AA63" s="75">
        <v>2294417</v>
      </c>
      <c r="AB63" s="75">
        <v>2293383</v>
      </c>
      <c r="AC63" s="75">
        <v>2299062</v>
      </c>
      <c r="AD63" s="75">
        <v>2364246</v>
      </c>
      <c r="AE63" s="75">
        <v>2409552</v>
      </c>
      <c r="AF63" s="75">
        <v>2382143</v>
      </c>
      <c r="AG63" s="75">
        <v>2388145</v>
      </c>
      <c r="AH63" s="75">
        <v>2394163</v>
      </c>
      <c r="AI63" s="75">
        <v>2413562</v>
      </c>
      <c r="AJ63" s="75">
        <v>2456856</v>
      </c>
      <c r="AK63" s="75">
        <v>2493815</v>
      </c>
      <c r="AL63" s="75">
        <v>2519446</v>
      </c>
      <c r="AM63" s="75">
        <v>2560244</v>
      </c>
      <c r="AN63" s="75">
        <v>2578066</v>
      </c>
      <c r="AO63" s="75">
        <v>2555799</v>
      </c>
      <c r="AP63" s="75">
        <v>2449650</v>
      </c>
      <c r="AQ63" s="75">
        <v>2379824</v>
      </c>
      <c r="AR63" s="75">
        <v>2328020</v>
      </c>
      <c r="AS63" s="75">
        <v>2320228</v>
      </c>
      <c r="AT63" s="75">
        <v>2316312</v>
      </c>
      <c r="AU63" s="75">
        <v>2227399</v>
      </c>
      <c r="AV63" s="75">
        <v>2241677</v>
      </c>
      <c r="AW63" s="75">
        <v>2227864</v>
      </c>
      <c r="AX63" s="75">
        <v>2190398</v>
      </c>
      <c r="AY63" s="75">
        <v>2227371</v>
      </c>
      <c r="AZ63" s="75">
        <v>2076819</v>
      </c>
      <c r="BA63" s="75">
        <v>2023516</v>
      </c>
      <c r="BB63" s="75">
        <v>1987902</v>
      </c>
      <c r="BC63" s="75">
        <v>1921544</v>
      </c>
      <c r="BD63" s="75">
        <v>1969428</v>
      </c>
      <c r="BE63" s="75">
        <v>1891908</v>
      </c>
      <c r="BF63" s="75">
        <v>1901174</v>
      </c>
      <c r="BG63" s="75">
        <v>1976725</v>
      </c>
      <c r="BH63" s="75">
        <v>2074377</v>
      </c>
      <c r="BI63" s="75">
        <v>2094742</v>
      </c>
      <c r="BJ63" s="75">
        <v>1971860</v>
      </c>
      <c r="BK63" s="75">
        <v>1914874</v>
      </c>
      <c r="BL63" s="75">
        <v>1898619</v>
      </c>
      <c r="BM63" s="75">
        <v>1919743</v>
      </c>
      <c r="BN63" s="75">
        <v>2016045</v>
      </c>
      <c r="BO63" s="75">
        <v>2029831</v>
      </c>
      <c r="BP63" s="75">
        <v>2008049</v>
      </c>
      <c r="BQ63" s="75">
        <v>1986458</v>
      </c>
      <c r="BR63" s="75">
        <v>1988113</v>
      </c>
      <c r="BS63" s="75">
        <v>1987382</v>
      </c>
      <c r="BT63" s="75">
        <v>1894128</v>
      </c>
      <c r="BU63" s="75">
        <v>1857757</v>
      </c>
      <c r="BV63" s="75">
        <v>1808625</v>
      </c>
      <c r="BW63" s="75">
        <v>1715113</v>
      </c>
      <c r="BX63" s="75">
        <v>1671889</v>
      </c>
      <c r="BY63" s="75">
        <v>1569510</v>
      </c>
      <c r="BZ63" s="75">
        <v>1479289</v>
      </c>
      <c r="CA63" s="75">
        <v>1392061</v>
      </c>
      <c r="CB63" s="75">
        <v>1312132</v>
      </c>
      <c r="CC63" s="75">
        <v>1246569</v>
      </c>
      <c r="CD63" s="75">
        <v>1173674</v>
      </c>
      <c r="CE63" s="75">
        <v>1124813</v>
      </c>
      <c r="CF63" s="75">
        <v>1127894</v>
      </c>
      <c r="CG63" s="75">
        <v>793739</v>
      </c>
      <c r="CH63" s="75">
        <v>742577</v>
      </c>
      <c r="CI63" s="75">
        <v>684018</v>
      </c>
      <c r="CJ63" s="75">
        <v>657278</v>
      </c>
      <c r="CK63" s="75">
        <v>532016</v>
      </c>
      <c r="CL63" s="75">
        <v>446516</v>
      </c>
      <c r="CM63" s="75">
        <v>386419</v>
      </c>
      <c r="CN63" s="75">
        <v>330837</v>
      </c>
      <c r="CO63" s="75">
        <v>282360</v>
      </c>
      <c r="CP63" s="75">
        <v>229729</v>
      </c>
      <c r="CQ63" s="75">
        <v>190980</v>
      </c>
      <c r="CR63" s="75">
        <v>156829</v>
      </c>
      <c r="CS63" s="75">
        <v>119480</v>
      </c>
      <c r="CT63" s="75">
        <v>95915</v>
      </c>
      <c r="CU63" s="75">
        <v>74952</v>
      </c>
      <c r="CV63" s="75">
        <v>57234</v>
      </c>
      <c r="CW63" s="75">
        <v>43164</v>
      </c>
      <c r="CX63" s="75">
        <v>30103</v>
      </c>
      <c r="CY63" s="75">
        <v>21233</v>
      </c>
      <c r="CZ63" s="75">
        <v>31373</v>
      </c>
    </row>
    <row r="64" spans="1:104" ht="17.100000000000001">
      <c r="A64" s="70" t="s">
        <v>660</v>
      </c>
      <c r="B64" s="71">
        <v>2028</v>
      </c>
      <c r="C64" s="75">
        <v>175174341</v>
      </c>
      <c r="D64" s="75">
        <v>2148981</v>
      </c>
      <c r="E64" s="75">
        <v>2157035</v>
      </c>
      <c r="F64" s="75">
        <v>2163840</v>
      </c>
      <c r="G64" s="75">
        <v>2168322</v>
      </c>
      <c r="H64" s="75">
        <v>2170768</v>
      </c>
      <c r="I64" s="75">
        <v>2171658</v>
      </c>
      <c r="J64" s="75">
        <v>2171316</v>
      </c>
      <c r="K64" s="75">
        <v>2169562</v>
      </c>
      <c r="L64" s="75">
        <v>2165953</v>
      </c>
      <c r="M64" s="75">
        <v>2160298</v>
      </c>
      <c r="N64" s="75">
        <v>2153280</v>
      </c>
      <c r="O64" s="75">
        <v>2145169</v>
      </c>
      <c r="P64" s="75">
        <v>2136105</v>
      </c>
      <c r="Q64" s="75">
        <v>2126832</v>
      </c>
      <c r="R64" s="75">
        <v>2118098</v>
      </c>
      <c r="S64" s="75">
        <v>2110741</v>
      </c>
      <c r="T64" s="75">
        <v>2119449</v>
      </c>
      <c r="U64" s="75">
        <v>2144584</v>
      </c>
      <c r="V64" s="75">
        <v>2153298</v>
      </c>
      <c r="W64" s="75">
        <v>2169613</v>
      </c>
      <c r="X64" s="75">
        <v>2254712</v>
      </c>
      <c r="Y64" s="75">
        <v>2286405</v>
      </c>
      <c r="Z64" s="75">
        <v>2288826</v>
      </c>
      <c r="AA64" s="75">
        <v>2299125</v>
      </c>
      <c r="AB64" s="75">
        <v>2318122</v>
      </c>
      <c r="AC64" s="75">
        <v>2315612</v>
      </c>
      <c r="AD64" s="75">
        <v>2319877</v>
      </c>
      <c r="AE64" s="75">
        <v>2383553</v>
      </c>
      <c r="AF64" s="75">
        <v>2427465</v>
      </c>
      <c r="AG64" s="75">
        <v>2398799</v>
      </c>
      <c r="AH64" s="75">
        <v>2403449</v>
      </c>
      <c r="AI64" s="75">
        <v>2407820</v>
      </c>
      <c r="AJ64" s="75">
        <v>2425471</v>
      </c>
      <c r="AK64" s="75">
        <v>2467225</v>
      </c>
      <c r="AL64" s="75">
        <v>2503164</v>
      </c>
      <c r="AM64" s="75">
        <v>2527951</v>
      </c>
      <c r="AN64" s="75">
        <v>2567788</v>
      </c>
      <c r="AO64" s="75">
        <v>2584731</v>
      </c>
      <c r="AP64" s="75">
        <v>2561745</v>
      </c>
      <c r="AQ64" s="75">
        <v>2454994</v>
      </c>
      <c r="AR64" s="75">
        <v>2384292</v>
      </c>
      <c r="AS64" s="75">
        <v>2331430</v>
      </c>
      <c r="AT64" s="75">
        <v>2322531</v>
      </c>
      <c r="AU64" s="75">
        <v>2317707</v>
      </c>
      <c r="AV64" s="75">
        <v>2228315</v>
      </c>
      <c r="AW64" s="75">
        <v>2241836</v>
      </c>
      <c r="AX64" s="75">
        <v>2227338</v>
      </c>
      <c r="AY64" s="75">
        <v>2188968</v>
      </c>
      <c r="AZ64" s="75">
        <v>2224655</v>
      </c>
      <c r="BA64" s="75">
        <v>2073591</v>
      </c>
      <c r="BB64" s="75">
        <v>2019487</v>
      </c>
      <c r="BC64" s="75">
        <v>1983038</v>
      </c>
      <c r="BD64" s="75">
        <v>1916025</v>
      </c>
      <c r="BE64" s="75">
        <v>1962733</v>
      </c>
      <c r="BF64" s="75">
        <v>1884640</v>
      </c>
      <c r="BG64" s="75">
        <v>1892868</v>
      </c>
      <c r="BH64" s="75">
        <v>1966957</v>
      </c>
      <c r="BI64" s="75">
        <v>2062910</v>
      </c>
      <c r="BJ64" s="75">
        <v>2081921</v>
      </c>
      <c r="BK64" s="75">
        <v>1958838</v>
      </c>
      <c r="BL64" s="75">
        <v>1901118</v>
      </c>
      <c r="BM64" s="75">
        <v>1883988</v>
      </c>
      <c r="BN64" s="75">
        <v>1903700</v>
      </c>
      <c r="BO64" s="75">
        <v>1997686</v>
      </c>
      <c r="BP64" s="75">
        <v>2009776</v>
      </c>
      <c r="BQ64" s="75">
        <v>1986311</v>
      </c>
      <c r="BR64" s="75">
        <v>1962847</v>
      </c>
      <c r="BS64" s="75">
        <v>1962098</v>
      </c>
      <c r="BT64" s="75">
        <v>1958650</v>
      </c>
      <c r="BU64" s="75">
        <v>1864218</v>
      </c>
      <c r="BV64" s="75">
        <v>1825610</v>
      </c>
      <c r="BW64" s="75">
        <v>1774233</v>
      </c>
      <c r="BX64" s="75">
        <v>1679269</v>
      </c>
      <c r="BY64" s="75">
        <v>1633308</v>
      </c>
      <c r="BZ64" s="75">
        <v>1529598</v>
      </c>
      <c r="CA64" s="75">
        <v>1437829</v>
      </c>
      <c r="CB64" s="75">
        <v>1348974</v>
      </c>
      <c r="CC64" s="75">
        <v>1267093</v>
      </c>
      <c r="CD64" s="75">
        <v>1199055</v>
      </c>
      <c r="CE64" s="75">
        <v>1124012</v>
      </c>
      <c r="CF64" s="75">
        <v>1071783</v>
      </c>
      <c r="CG64" s="75">
        <v>1068690</v>
      </c>
      <c r="CH64" s="75">
        <v>747488</v>
      </c>
      <c r="CI64" s="75">
        <v>694400</v>
      </c>
      <c r="CJ64" s="75">
        <v>634591</v>
      </c>
      <c r="CK64" s="75">
        <v>604360</v>
      </c>
      <c r="CL64" s="75">
        <v>484418</v>
      </c>
      <c r="CM64" s="75">
        <v>402232</v>
      </c>
      <c r="CN64" s="75">
        <v>344050</v>
      </c>
      <c r="CO64" s="75">
        <v>290802</v>
      </c>
      <c r="CP64" s="75">
        <v>244706</v>
      </c>
      <c r="CQ64" s="75">
        <v>196050</v>
      </c>
      <c r="CR64" s="75">
        <v>160277</v>
      </c>
      <c r="CS64" s="75">
        <v>129256</v>
      </c>
      <c r="CT64" s="75">
        <v>96582</v>
      </c>
      <c r="CU64" s="75">
        <v>75933</v>
      </c>
      <c r="CV64" s="75">
        <v>58044</v>
      </c>
      <c r="CW64" s="75">
        <v>43291</v>
      </c>
      <c r="CX64" s="75">
        <v>31866</v>
      </c>
      <c r="CY64" s="75">
        <v>21661</v>
      </c>
      <c r="CZ64" s="75">
        <v>32672</v>
      </c>
    </row>
    <row r="65" spans="1:104" ht="17.100000000000001">
      <c r="A65" s="70" t="s">
        <v>660</v>
      </c>
      <c r="B65" s="71">
        <v>2029</v>
      </c>
      <c r="C65" s="75">
        <v>176362314</v>
      </c>
      <c r="D65" s="75">
        <v>2150220</v>
      </c>
      <c r="E65" s="75">
        <v>2158736</v>
      </c>
      <c r="F65" s="75">
        <v>2166400</v>
      </c>
      <c r="G65" s="75">
        <v>2171818</v>
      </c>
      <c r="H65" s="75">
        <v>2175043</v>
      </c>
      <c r="I65" s="75">
        <v>2176670</v>
      </c>
      <c r="J65" s="75">
        <v>2177227</v>
      </c>
      <c r="K65" s="75">
        <v>2176850</v>
      </c>
      <c r="L65" s="75">
        <v>2175266</v>
      </c>
      <c r="M65" s="75">
        <v>2171713</v>
      </c>
      <c r="N65" s="75">
        <v>2166260</v>
      </c>
      <c r="O65" s="75">
        <v>2159186</v>
      </c>
      <c r="P65" s="75">
        <v>2151029</v>
      </c>
      <c r="Q65" s="75">
        <v>2142174</v>
      </c>
      <c r="R65" s="75">
        <v>2133691</v>
      </c>
      <c r="S65" s="75">
        <v>2126760</v>
      </c>
      <c r="T65" s="75">
        <v>2122386</v>
      </c>
      <c r="U65" s="75">
        <v>2135088</v>
      </c>
      <c r="V65" s="75">
        <v>2164354</v>
      </c>
      <c r="W65" s="75">
        <v>2176281</v>
      </c>
      <c r="X65" s="75">
        <v>2194479</v>
      </c>
      <c r="Y65" s="75">
        <v>2280515</v>
      </c>
      <c r="Z65" s="75">
        <v>2312202</v>
      </c>
      <c r="AA65" s="75">
        <v>2313883</v>
      </c>
      <c r="AB65" s="75">
        <v>2323081</v>
      </c>
      <c r="AC65" s="75">
        <v>2340586</v>
      </c>
      <c r="AD65" s="75">
        <v>2336627</v>
      </c>
      <c r="AE65" s="75">
        <v>2339435</v>
      </c>
      <c r="AF65" s="75">
        <v>2401731</v>
      </c>
      <c r="AG65" s="75">
        <v>2444308</v>
      </c>
      <c r="AH65" s="75">
        <v>2414300</v>
      </c>
      <c r="AI65" s="75">
        <v>2417268</v>
      </c>
      <c r="AJ65" s="75">
        <v>2419907</v>
      </c>
      <c r="AK65" s="75">
        <v>2436042</v>
      </c>
      <c r="AL65" s="75">
        <v>2476743</v>
      </c>
      <c r="AM65" s="75">
        <v>2511838</v>
      </c>
      <c r="AN65" s="75">
        <v>2535722</v>
      </c>
      <c r="AO65" s="75">
        <v>2574611</v>
      </c>
      <c r="AP65" s="75">
        <v>2590817</v>
      </c>
      <c r="AQ65" s="75">
        <v>2567093</v>
      </c>
      <c r="AR65" s="75">
        <v>2459568</v>
      </c>
      <c r="AS65" s="75">
        <v>2387749</v>
      </c>
      <c r="AT65" s="75">
        <v>2333860</v>
      </c>
      <c r="AU65" s="75">
        <v>2324087</v>
      </c>
      <c r="AV65" s="75">
        <v>2318536</v>
      </c>
      <c r="AW65" s="75">
        <v>2228702</v>
      </c>
      <c r="AX65" s="75">
        <v>2241348</v>
      </c>
      <c r="AY65" s="75">
        <v>2225976</v>
      </c>
      <c r="AZ65" s="75">
        <v>2186619</v>
      </c>
      <c r="BA65" s="75">
        <v>2221078</v>
      </c>
      <c r="BB65" s="75">
        <v>2069574</v>
      </c>
      <c r="BC65" s="75">
        <v>2014683</v>
      </c>
      <c r="BD65" s="75">
        <v>1977446</v>
      </c>
      <c r="BE65" s="75">
        <v>1909800</v>
      </c>
      <c r="BF65" s="75">
        <v>1955264</v>
      </c>
      <c r="BG65" s="75">
        <v>1876697</v>
      </c>
      <c r="BH65" s="75">
        <v>1883814</v>
      </c>
      <c r="BI65" s="75">
        <v>1956408</v>
      </c>
      <c r="BJ65" s="75">
        <v>2050602</v>
      </c>
      <c r="BK65" s="75">
        <v>2068296</v>
      </c>
      <c r="BL65" s="75">
        <v>1945089</v>
      </c>
      <c r="BM65" s="75">
        <v>1886733</v>
      </c>
      <c r="BN65" s="75">
        <v>1868653</v>
      </c>
      <c r="BO65" s="75">
        <v>1886802</v>
      </c>
      <c r="BP65" s="75">
        <v>1978285</v>
      </c>
      <c r="BQ65" s="75">
        <v>1988376</v>
      </c>
      <c r="BR65" s="75">
        <v>1963020</v>
      </c>
      <c r="BS65" s="75">
        <v>1937555</v>
      </c>
      <c r="BT65" s="75">
        <v>1934235</v>
      </c>
      <c r="BU65" s="75">
        <v>1928041</v>
      </c>
      <c r="BV65" s="75">
        <v>1832319</v>
      </c>
      <c r="BW65" s="75">
        <v>1791321</v>
      </c>
      <c r="BX65" s="75">
        <v>1737524</v>
      </c>
      <c r="BY65" s="75">
        <v>1640959</v>
      </c>
      <c r="BZ65" s="75">
        <v>1592125</v>
      </c>
      <c r="CA65" s="75">
        <v>1487093</v>
      </c>
      <c r="CB65" s="75">
        <v>1393706</v>
      </c>
      <c r="CC65" s="75">
        <v>1303108</v>
      </c>
      <c r="CD65" s="75">
        <v>1219230</v>
      </c>
      <c r="CE65" s="75">
        <v>1148676</v>
      </c>
      <c r="CF65" s="75">
        <v>1071406</v>
      </c>
      <c r="CG65" s="75">
        <v>1015902</v>
      </c>
      <c r="CH65" s="75">
        <v>1006791</v>
      </c>
      <c r="CI65" s="75">
        <v>699332</v>
      </c>
      <c r="CJ65" s="75">
        <v>644568</v>
      </c>
      <c r="CK65" s="75">
        <v>583856</v>
      </c>
      <c r="CL65" s="75">
        <v>550617</v>
      </c>
      <c r="CM65" s="75">
        <v>436667</v>
      </c>
      <c r="CN65" s="75">
        <v>358391</v>
      </c>
      <c r="CO65" s="75">
        <v>302664</v>
      </c>
      <c r="CP65" s="75">
        <v>252228</v>
      </c>
      <c r="CQ65" s="75">
        <v>209013</v>
      </c>
      <c r="CR65" s="75">
        <v>164684</v>
      </c>
      <c r="CS65" s="75">
        <v>132224</v>
      </c>
      <c r="CT65" s="75">
        <v>104593</v>
      </c>
      <c r="CU65" s="75">
        <v>76552</v>
      </c>
      <c r="CV65" s="75">
        <v>58883</v>
      </c>
      <c r="CW65" s="75">
        <v>43965</v>
      </c>
      <c r="CX65" s="75">
        <v>31991</v>
      </c>
      <c r="CY65" s="75">
        <v>22952</v>
      </c>
      <c r="CZ65" s="75">
        <v>33738</v>
      </c>
    </row>
    <row r="66" spans="1:104" ht="17.100000000000001">
      <c r="A66" s="70" t="s">
        <v>660</v>
      </c>
      <c r="B66" s="71">
        <v>2030</v>
      </c>
      <c r="C66" s="75">
        <v>177528413</v>
      </c>
      <c r="D66" s="75">
        <v>2151367</v>
      </c>
      <c r="E66" s="75">
        <v>2160085</v>
      </c>
      <c r="F66" s="75">
        <v>2168189</v>
      </c>
      <c r="G66" s="75">
        <v>2174450</v>
      </c>
      <c r="H66" s="75">
        <v>2178598</v>
      </c>
      <c r="I66" s="75">
        <v>2180999</v>
      </c>
      <c r="J66" s="75">
        <v>2182290</v>
      </c>
      <c r="K66" s="75">
        <v>2182813</v>
      </c>
      <c r="L66" s="75">
        <v>2182593</v>
      </c>
      <c r="M66" s="75">
        <v>2181066</v>
      </c>
      <c r="N66" s="75">
        <v>2177715</v>
      </c>
      <c r="O66" s="75">
        <v>2172209</v>
      </c>
      <c r="P66" s="75">
        <v>2165079</v>
      </c>
      <c r="Q66" s="75">
        <v>2157143</v>
      </c>
      <c r="R66" s="75">
        <v>2149094</v>
      </c>
      <c r="S66" s="75">
        <v>2142414</v>
      </c>
      <c r="T66" s="75">
        <v>2138499</v>
      </c>
      <c r="U66" s="75">
        <v>2138146</v>
      </c>
      <c r="V66" s="75">
        <v>2155017</v>
      </c>
      <c r="W66" s="75">
        <v>2187498</v>
      </c>
      <c r="X66" s="75">
        <v>2201354</v>
      </c>
      <c r="Y66" s="75">
        <v>2220553</v>
      </c>
      <c r="Z66" s="75">
        <v>2306547</v>
      </c>
      <c r="AA66" s="75">
        <v>2337479</v>
      </c>
      <c r="AB66" s="75">
        <v>2338064</v>
      </c>
      <c r="AC66" s="75">
        <v>2345779</v>
      </c>
      <c r="AD66" s="75">
        <v>2361827</v>
      </c>
      <c r="AE66" s="75">
        <v>2356369</v>
      </c>
      <c r="AF66" s="75">
        <v>2357841</v>
      </c>
      <c r="AG66" s="75">
        <v>2418798</v>
      </c>
      <c r="AH66" s="75">
        <v>2459971</v>
      </c>
      <c r="AI66" s="75">
        <v>2428299</v>
      </c>
      <c r="AJ66" s="75">
        <v>2429508</v>
      </c>
      <c r="AK66" s="75">
        <v>2430661</v>
      </c>
      <c r="AL66" s="75">
        <v>2445768</v>
      </c>
      <c r="AM66" s="75">
        <v>2485577</v>
      </c>
      <c r="AN66" s="75">
        <v>2519765</v>
      </c>
      <c r="AO66" s="75">
        <v>2542767</v>
      </c>
      <c r="AP66" s="75">
        <v>2580846</v>
      </c>
      <c r="AQ66" s="75">
        <v>2596292</v>
      </c>
      <c r="AR66" s="75">
        <v>2571650</v>
      </c>
      <c r="AS66" s="75">
        <v>2463128</v>
      </c>
      <c r="AT66" s="75">
        <v>2390219</v>
      </c>
      <c r="AU66" s="75">
        <v>2335537</v>
      </c>
      <c r="AV66" s="75">
        <v>2325098</v>
      </c>
      <c r="AW66" s="75">
        <v>2318842</v>
      </c>
      <c r="AX66" s="75">
        <v>2228451</v>
      </c>
      <c r="AY66" s="75">
        <v>2240026</v>
      </c>
      <c r="AZ66" s="75">
        <v>2223693</v>
      </c>
      <c r="BA66" s="75">
        <v>2183425</v>
      </c>
      <c r="BB66" s="75">
        <v>2216699</v>
      </c>
      <c r="BC66" s="75">
        <v>2064788</v>
      </c>
      <c r="BD66" s="75">
        <v>2009149</v>
      </c>
      <c r="BE66" s="75">
        <v>1971146</v>
      </c>
      <c r="BF66" s="75">
        <v>1902827</v>
      </c>
      <c r="BG66" s="75">
        <v>1947094</v>
      </c>
      <c r="BH66" s="75">
        <v>1868016</v>
      </c>
      <c r="BI66" s="75">
        <v>1874013</v>
      </c>
      <c r="BJ66" s="75">
        <v>1945066</v>
      </c>
      <c r="BK66" s="75">
        <v>2037516</v>
      </c>
      <c r="BL66" s="75">
        <v>2053917</v>
      </c>
      <c r="BM66" s="75">
        <v>1930682</v>
      </c>
      <c r="BN66" s="75">
        <v>1871642</v>
      </c>
      <c r="BO66" s="75">
        <v>1852484</v>
      </c>
      <c r="BP66" s="75">
        <v>1868935</v>
      </c>
      <c r="BQ66" s="75">
        <v>1957569</v>
      </c>
      <c r="BR66" s="75">
        <v>1965423</v>
      </c>
      <c r="BS66" s="75">
        <v>1938048</v>
      </c>
      <c r="BT66" s="75">
        <v>1910438</v>
      </c>
      <c r="BU66" s="75">
        <v>1904526</v>
      </c>
      <c r="BV66" s="75">
        <v>1895376</v>
      </c>
      <c r="BW66" s="75">
        <v>1798279</v>
      </c>
      <c r="BX66" s="75">
        <v>1754681</v>
      </c>
      <c r="BY66" s="75">
        <v>1698252</v>
      </c>
      <c r="BZ66" s="75">
        <v>1600013</v>
      </c>
      <c r="CA66" s="75">
        <v>1548231</v>
      </c>
      <c r="CB66" s="75">
        <v>1441842</v>
      </c>
      <c r="CC66" s="75">
        <v>1346728</v>
      </c>
      <c r="CD66" s="75">
        <v>1254352</v>
      </c>
      <c r="CE66" s="75">
        <v>1168441</v>
      </c>
      <c r="CF66" s="75">
        <v>1095289</v>
      </c>
      <c r="CG66" s="75">
        <v>1015930</v>
      </c>
      <c r="CH66" s="75">
        <v>957452</v>
      </c>
      <c r="CI66" s="75">
        <v>942320</v>
      </c>
      <c r="CJ66" s="75">
        <v>649502</v>
      </c>
      <c r="CK66" s="75">
        <v>593380</v>
      </c>
      <c r="CL66" s="75">
        <v>532288</v>
      </c>
      <c r="CM66" s="75">
        <v>496666</v>
      </c>
      <c r="CN66" s="75">
        <v>389347</v>
      </c>
      <c r="CO66" s="75">
        <v>315513</v>
      </c>
      <c r="CP66" s="75">
        <v>262744</v>
      </c>
      <c r="CQ66" s="75">
        <v>215633</v>
      </c>
      <c r="CR66" s="75">
        <v>175737</v>
      </c>
      <c r="CS66" s="75">
        <v>135992</v>
      </c>
      <c r="CT66" s="75">
        <v>107107</v>
      </c>
      <c r="CU66" s="75">
        <v>82994</v>
      </c>
      <c r="CV66" s="75">
        <v>59432</v>
      </c>
      <c r="CW66" s="75">
        <v>44654</v>
      </c>
      <c r="CX66" s="75">
        <v>32539</v>
      </c>
      <c r="CY66" s="75">
        <v>23070</v>
      </c>
      <c r="CZ66" s="75">
        <v>35253</v>
      </c>
    </row>
    <row r="67" spans="1:104" ht="17.100000000000001">
      <c r="A67" s="70" t="s">
        <v>660</v>
      </c>
      <c r="B67" s="71">
        <v>2031</v>
      </c>
      <c r="C67" s="75">
        <v>178672200</v>
      </c>
      <c r="D67" s="75">
        <v>2152547</v>
      </c>
      <c r="E67" s="75">
        <v>2161333</v>
      </c>
      <c r="F67" s="75">
        <v>2169621</v>
      </c>
      <c r="G67" s="75">
        <v>2176313</v>
      </c>
      <c r="H67" s="75">
        <v>2181300</v>
      </c>
      <c r="I67" s="75">
        <v>2184606</v>
      </c>
      <c r="J67" s="75">
        <v>2186667</v>
      </c>
      <c r="K67" s="75">
        <v>2187916</v>
      </c>
      <c r="L67" s="75">
        <v>2188595</v>
      </c>
      <c r="M67" s="75">
        <v>2188430</v>
      </c>
      <c r="N67" s="75">
        <v>2187111</v>
      </c>
      <c r="O67" s="75">
        <v>2183702</v>
      </c>
      <c r="P67" s="75">
        <v>2178149</v>
      </c>
      <c r="Q67" s="75">
        <v>2171232</v>
      </c>
      <c r="R67" s="75">
        <v>2164113</v>
      </c>
      <c r="S67" s="75">
        <v>2157889</v>
      </c>
      <c r="T67" s="75">
        <v>2154248</v>
      </c>
      <c r="U67" s="75">
        <v>2154388</v>
      </c>
      <c r="V67" s="75">
        <v>2158225</v>
      </c>
      <c r="W67" s="75">
        <v>2178352</v>
      </c>
      <c r="X67" s="75">
        <v>2212752</v>
      </c>
      <c r="Y67" s="75">
        <v>2227640</v>
      </c>
      <c r="Z67" s="75">
        <v>2246867</v>
      </c>
      <c r="AA67" s="75">
        <v>2332053</v>
      </c>
      <c r="AB67" s="75">
        <v>2361860</v>
      </c>
      <c r="AC67" s="75">
        <v>2360983</v>
      </c>
      <c r="AD67" s="75">
        <v>2367247</v>
      </c>
      <c r="AE67" s="75">
        <v>2381779</v>
      </c>
      <c r="AF67" s="75">
        <v>2374957</v>
      </c>
      <c r="AG67" s="75">
        <v>2375142</v>
      </c>
      <c r="AH67" s="75">
        <v>2434683</v>
      </c>
      <c r="AI67" s="75">
        <v>2474128</v>
      </c>
      <c r="AJ67" s="75">
        <v>2440704</v>
      </c>
      <c r="AK67" s="75">
        <v>2440391</v>
      </c>
      <c r="AL67" s="75">
        <v>2440550</v>
      </c>
      <c r="AM67" s="75">
        <v>2454792</v>
      </c>
      <c r="AN67" s="75">
        <v>2493666</v>
      </c>
      <c r="AO67" s="75">
        <v>2526967</v>
      </c>
      <c r="AP67" s="75">
        <v>2549222</v>
      </c>
      <c r="AQ67" s="75">
        <v>2586472</v>
      </c>
      <c r="AR67" s="75">
        <v>2600987</v>
      </c>
      <c r="AS67" s="75">
        <v>2575183</v>
      </c>
      <c r="AT67" s="75">
        <v>2465681</v>
      </c>
      <c r="AU67" s="75">
        <v>2391913</v>
      </c>
      <c r="AV67" s="75">
        <v>2336649</v>
      </c>
      <c r="AW67" s="75">
        <v>2325570</v>
      </c>
      <c r="AX67" s="75">
        <v>2318509</v>
      </c>
      <c r="AY67" s="75">
        <v>2227375</v>
      </c>
      <c r="AZ67" s="75">
        <v>2237782</v>
      </c>
      <c r="BA67" s="75">
        <v>2220570</v>
      </c>
      <c r="BB67" s="75">
        <v>2179448</v>
      </c>
      <c r="BC67" s="75">
        <v>2211516</v>
      </c>
      <c r="BD67" s="75">
        <v>2059265</v>
      </c>
      <c r="BE67" s="75">
        <v>2002899</v>
      </c>
      <c r="BF67" s="75">
        <v>1964080</v>
      </c>
      <c r="BG67" s="75">
        <v>1895180</v>
      </c>
      <c r="BH67" s="75">
        <v>1938180</v>
      </c>
      <c r="BI67" s="75">
        <v>1858598</v>
      </c>
      <c r="BJ67" s="75">
        <v>1863453</v>
      </c>
      <c r="BK67" s="75">
        <v>1932974</v>
      </c>
      <c r="BL67" s="75">
        <v>2023682</v>
      </c>
      <c r="BM67" s="75">
        <v>2038850</v>
      </c>
      <c r="BN67" s="75">
        <v>1915560</v>
      </c>
      <c r="BO67" s="75">
        <v>1855706</v>
      </c>
      <c r="BP67" s="75">
        <v>1835360</v>
      </c>
      <c r="BQ67" s="75">
        <v>1849815</v>
      </c>
      <c r="BR67" s="75">
        <v>1935323</v>
      </c>
      <c r="BS67" s="75">
        <v>1940778</v>
      </c>
      <c r="BT67" s="75">
        <v>1911251</v>
      </c>
      <c r="BU67" s="75">
        <v>1881489</v>
      </c>
      <c r="BV67" s="75">
        <v>1872771</v>
      </c>
      <c r="BW67" s="75">
        <v>1860500</v>
      </c>
      <c r="BX67" s="75">
        <v>1761869</v>
      </c>
      <c r="BY67" s="75">
        <v>1715487</v>
      </c>
      <c r="BZ67" s="75">
        <v>1656288</v>
      </c>
      <c r="CA67" s="75">
        <v>1556367</v>
      </c>
      <c r="CB67" s="75">
        <v>1501497</v>
      </c>
      <c r="CC67" s="75">
        <v>1393637</v>
      </c>
      <c r="CD67" s="75">
        <v>1296753</v>
      </c>
      <c r="CE67" s="75">
        <v>1202572</v>
      </c>
      <c r="CF67" s="75">
        <v>1114574</v>
      </c>
      <c r="CG67" s="75">
        <v>1038960</v>
      </c>
      <c r="CH67" s="75">
        <v>957869</v>
      </c>
      <c r="CI67" s="75">
        <v>896545</v>
      </c>
      <c r="CJ67" s="75">
        <v>875563</v>
      </c>
      <c r="CK67" s="75">
        <v>598266</v>
      </c>
      <c r="CL67" s="75">
        <v>541316</v>
      </c>
      <c r="CM67" s="75">
        <v>480474</v>
      </c>
      <c r="CN67" s="75">
        <v>443150</v>
      </c>
      <c r="CO67" s="75">
        <v>343024</v>
      </c>
      <c r="CP67" s="75">
        <v>274120</v>
      </c>
      <c r="CQ67" s="75">
        <v>224825</v>
      </c>
      <c r="CR67" s="75">
        <v>181470</v>
      </c>
      <c r="CS67" s="75">
        <v>145263</v>
      </c>
      <c r="CT67" s="75">
        <v>110272</v>
      </c>
      <c r="CU67" s="75">
        <v>85077</v>
      </c>
      <c r="CV67" s="75">
        <v>64501</v>
      </c>
      <c r="CW67" s="75">
        <v>45127</v>
      </c>
      <c r="CX67" s="75">
        <v>33088</v>
      </c>
      <c r="CY67" s="75">
        <v>23496</v>
      </c>
      <c r="CZ67" s="75">
        <v>36261</v>
      </c>
    </row>
    <row r="68" spans="1:104" ht="17.100000000000001">
      <c r="A68" s="70" t="s">
        <v>660</v>
      </c>
      <c r="B68" s="71">
        <v>2032</v>
      </c>
      <c r="C68" s="75">
        <v>179793774</v>
      </c>
      <c r="D68" s="75">
        <v>2154126</v>
      </c>
      <c r="E68" s="75">
        <v>2162620</v>
      </c>
      <c r="F68" s="75">
        <v>2170957</v>
      </c>
      <c r="G68" s="75">
        <v>2177810</v>
      </c>
      <c r="H68" s="75">
        <v>2183219</v>
      </c>
      <c r="I68" s="75">
        <v>2187364</v>
      </c>
      <c r="J68" s="75">
        <v>2190314</v>
      </c>
      <c r="K68" s="75">
        <v>2192338</v>
      </c>
      <c r="L68" s="75">
        <v>2193741</v>
      </c>
      <c r="M68" s="75">
        <v>2194474</v>
      </c>
      <c r="N68" s="75">
        <v>2194512</v>
      </c>
      <c r="O68" s="75">
        <v>2193145</v>
      </c>
      <c r="P68" s="75">
        <v>2189680</v>
      </c>
      <c r="Q68" s="75">
        <v>2184337</v>
      </c>
      <c r="R68" s="75">
        <v>2178249</v>
      </c>
      <c r="S68" s="75">
        <v>2172971</v>
      </c>
      <c r="T68" s="75">
        <v>2169809</v>
      </c>
      <c r="U68" s="75">
        <v>2170259</v>
      </c>
      <c r="V68" s="75">
        <v>2174626</v>
      </c>
      <c r="W68" s="75">
        <v>2181734</v>
      </c>
      <c r="X68" s="75">
        <v>2203822</v>
      </c>
      <c r="Y68" s="75">
        <v>2239230</v>
      </c>
      <c r="Z68" s="75">
        <v>2254169</v>
      </c>
      <c r="AA68" s="75">
        <v>2272654</v>
      </c>
      <c r="AB68" s="75">
        <v>2356658</v>
      </c>
      <c r="AC68" s="75">
        <v>2384955</v>
      </c>
      <c r="AD68" s="75">
        <v>2382643</v>
      </c>
      <c r="AE68" s="75">
        <v>2387406</v>
      </c>
      <c r="AF68" s="75">
        <v>2400558</v>
      </c>
      <c r="AG68" s="75">
        <v>2392422</v>
      </c>
      <c r="AH68" s="75">
        <v>2391239</v>
      </c>
      <c r="AI68" s="75">
        <v>2449053</v>
      </c>
      <c r="AJ68" s="75">
        <v>2486678</v>
      </c>
      <c r="AK68" s="75">
        <v>2451740</v>
      </c>
      <c r="AL68" s="75">
        <v>2450395</v>
      </c>
      <c r="AM68" s="75">
        <v>2449749</v>
      </c>
      <c r="AN68" s="75">
        <v>2463074</v>
      </c>
      <c r="AO68" s="75">
        <v>2501009</v>
      </c>
      <c r="AP68" s="75">
        <v>2533564</v>
      </c>
      <c r="AQ68" s="75">
        <v>2555056</v>
      </c>
      <c r="AR68" s="75">
        <v>2591308</v>
      </c>
      <c r="AS68" s="75">
        <v>2604658</v>
      </c>
      <c r="AT68" s="75">
        <v>2577712</v>
      </c>
      <c r="AU68" s="75">
        <v>2467461</v>
      </c>
      <c r="AV68" s="75">
        <v>2393058</v>
      </c>
      <c r="AW68" s="75">
        <v>2337233</v>
      </c>
      <c r="AX68" s="75">
        <v>2325392</v>
      </c>
      <c r="AY68" s="75">
        <v>2317334</v>
      </c>
      <c r="AZ68" s="75">
        <v>2225388</v>
      </c>
      <c r="BA68" s="75">
        <v>2234702</v>
      </c>
      <c r="BB68" s="75">
        <v>2216662</v>
      </c>
      <c r="BC68" s="75">
        <v>2174679</v>
      </c>
      <c r="BD68" s="75">
        <v>2205571</v>
      </c>
      <c r="BE68" s="75">
        <v>2053013</v>
      </c>
      <c r="BF68" s="75">
        <v>1995887</v>
      </c>
      <c r="BG68" s="75">
        <v>1956331</v>
      </c>
      <c r="BH68" s="75">
        <v>1886800</v>
      </c>
      <c r="BI68" s="75">
        <v>1928507</v>
      </c>
      <c r="BJ68" s="75">
        <v>1848431</v>
      </c>
      <c r="BK68" s="75">
        <v>1852183</v>
      </c>
      <c r="BL68" s="75">
        <v>1920186</v>
      </c>
      <c r="BM68" s="75">
        <v>2009184</v>
      </c>
      <c r="BN68" s="75">
        <v>2023035</v>
      </c>
      <c r="BO68" s="75">
        <v>1899585</v>
      </c>
      <c r="BP68" s="75">
        <v>1838819</v>
      </c>
      <c r="BQ68" s="75">
        <v>1817004</v>
      </c>
      <c r="BR68" s="75">
        <v>1829244</v>
      </c>
      <c r="BS68" s="75">
        <v>1911417</v>
      </c>
      <c r="BT68" s="75">
        <v>1914316</v>
      </c>
      <c r="BU68" s="75">
        <v>1882620</v>
      </c>
      <c r="BV68" s="75">
        <v>1850520</v>
      </c>
      <c r="BW68" s="75">
        <v>1838818</v>
      </c>
      <c r="BX68" s="75">
        <v>1823195</v>
      </c>
      <c r="BY68" s="75">
        <v>1722886</v>
      </c>
      <c r="BZ68" s="75">
        <v>1673558</v>
      </c>
      <c r="CA68" s="75">
        <v>1611516</v>
      </c>
      <c r="CB68" s="75">
        <v>1509844</v>
      </c>
      <c r="CC68" s="75">
        <v>1451689</v>
      </c>
      <c r="CD68" s="75">
        <v>1342322</v>
      </c>
      <c r="CE68" s="75">
        <v>1243656</v>
      </c>
      <c r="CF68" s="75">
        <v>1147583</v>
      </c>
      <c r="CG68" s="75">
        <v>1057681</v>
      </c>
      <c r="CH68" s="75">
        <v>979974</v>
      </c>
      <c r="CI68" s="75">
        <v>897352</v>
      </c>
      <c r="CJ68" s="75">
        <v>833444</v>
      </c>
      <c r="CK68" s="75">
        <v>806903</v>
      </c>
      <c r="CL68" s="75">
        <v>546111</v>
      </c>
      <c r="CM68" s="75">
        <v>488960</v>
      </c>
      <c r="CN68" s="75">
        <v>429038</v>
      </c>
      <c r="CO68" s="75">
        <v>390717</v>
      </c>
      <c r="CP68" s="75">
        <v>298261</v>
      </c>
      <c r="CQ68" s="75">
        <v>234765</v>
      </c>
      <c r="CR68" s="75">
        <v>189396</v>
      </c>
      <c r="CS68" s="75">
        <v>150142</v>
      </c>
      <c r="CT68" s="75">
        <v>117905</v>
      </c>
      <c r="CU68" s="75">
        <v>87682</v>
      </c>
      <c r="CV68" s="75">
        <v>66192</v>
      </c>
      <c r="CW68" s="75">
        <v>49023</v>
      </c>
      <c r="CX68" s="75">
        <v>33476</v>
      </c>
      <c r="CY68" s="75">
        <v>23926</v>
      </c>
      <c r="CZ68" s="75">
        <v>37160</v>
      </c>
    </row>
    <row r="69" spans="1:104" ht="17.100000000000001">
      <c r="A69" s="70" t="s">
        <v>660</v>
      </c>
      <c r="B69" s="71">
        <v>2033</v>
      </c>
      <c r="C69" s="75">
        <v>180893589</v>
      </c>
      <c r="D69" s="75">
        <v>2156301</v>
      </c>
      <c r="E69" s="75">
        <v>2164295</v>
      </c>
      <c r="F69" s="75">
        <v>2172317</v>
      </c>
      <c r="G69" s="75">
        <v>2179204</v>
      </c>
      <c r="H69" s="75">
        <v>2184767</v>
      </c>
      <c r="I69" s="75">
        <v>2189327</v>
      </c>
      <c r="J69" s="75">
        <v>2193111</v>
      </c>
      <c r="K69" s="75">
        <v>2196021</v>
      </c>
      <c r="L69" s="75">
        <v>2198203</v>
      </c>
      <c r="M69" s="75">
        <v>2199663</v>
      </c>
      <c r="N69" s="75">
        <v>2200591</v>
      </c>
      <c r="O69" s="75">
        <v>2200579</v>
      </c>
      <c r="P69" s="75">
        <v>2199172</v>
      </c>
      <c r="Q69" s="75">
        <v>2195921</v>
      </c>
      <c r="R69" s="75">
        <v>2191396</v>
      </c>
      <c r="S69" s="75">
        <v>2187167</v>
      </c>
      <c r="T69" s="75">
        <v>2184984</v>
      </c>
      <c r="U69" s="75">
        <v>2185943</v>
      </c>
      <c r="V69" s="75">
        <v>2190643</v>
      </c>
      <c r="W69" s="75">
        <v>2198316</v>
      </c>
      <c r="X69" s="75">
        <v>2207394</v>
      </c>
      <c r="Y69" s="75">
        <v>2230515</v>
      </c>
      <c r="Z69" s="75">
        <v>2265952</v>
      </c>
      <c r="AA69" s="75">
        <v>2280156</v>
      </c>
      <c r="AB69" s="75">
        <v>2297527</v>
      </c>
      <c r="AC69" s="75">
        <v>2379973</v>
      </c>
      <c r="AD69" s="75">
        <v>2406804</v>
      </c>
      <c r="AE69" s="75">
        <v>2403001</v>
      </c>
      <c r="AF69" s="75">
        <v>2406397</v>
      </c>
      <c r="AG69" s="75">
        <v>2418217</v>
      </c>
      <c r="AH69" s="75">
        <v>2408686</v>
      </c>
      <c r="AI69" s="75">
        <v>2405806</v>
      </c>
      <c r="AJ69" s="75">
        <v>2461811</v>
      </c>
      <c r="AK69" s="75">
        <v>2497838</v>
      </c>
      <c r="AL69" s="75">
        <v>2461894</v>
      </c>
      <c r="AM69" s="75">
        <v>2459692</v>
      </c>
      <c r="AN69" s="75">
        <v>2458175</v>
      </c>
      <c r="AO69" s="75">
        <v>2470615</v>
      </c>
      <c r="AP69" s="75">
        <v>2507755</v>
      </c>
      <c r="AQ69" s="75">
        <v>2539553</v>
      </c>
      <c r="AR69" s="75">
        <v>2560101</v>
      </c>
      <c r="AS69" s="75">
        <v>2595102</v>
      </c>
      <c r="AT69" s="75">
        <v>2607298</v>
      </c>
      <c r="AU69" s="75">
        <v>2579456</v>
      </c>
      <c r="AV69" s="75">
        <v>2468680</v>
      </c>
      <c r="AW69" s="75">
        <v>2393657</v>
      </c>
      <c r="AX69" s="75">
        <v>2337177</v>
      </c>
      <c r="AY69" s="75">
        <v>2324388</v>
      </c>
      <c r="AZ69" s="75">
        <v>2315224</v>
      </c>
      <c r="BA69" s="75">
        <v>2222557</v>
      </c>
      <c r="BB69" s="75">
        <v>2230845</v>
      </c>
      <c r="BC69" s="75">
        <v>2211957</v>
      </c>
      <c r="BD69" s="75">
        <v>2169176</v>
      </c>
      <c r="BE69" s="75">
        <v>2198881</v>
      </c>
      <c r="BF69" s="75">
        <v>2045998</v>
      </c>
      <c r="BG69" s="75">
        <v>1988189</v>
      </c>
      <c r="BH69" s="75">
        <v>1947835</v>
      </c>
      <c r="BI69" s="75">
        <v>1877687</v>
      </c>
      <c r="BJ69" s="75">
        <v>1918069</v>
      </c>
      <c r="BK69" s="75">
        <v>1837577</v>
      </c>
      <c r="BL69" s="75">
        <v>1840251</v>
      </c>
      <c r="BM69" s="75">
        <v>1906779</v>
      </c>
      <c r="BN69" s="75">
        <v>1993944</v>
      </c>
      <c r="BO69" s="75">
        <v>2006311</v>
      </c>
      <c r="BP69" s="75">
        <v>1882626</v>
      </c>
      <c r="BQ69" s="75">
        <v>1820702</v>
      </c>
      <c r="BR69" s="75">
        <v>1797212</v>
      </c>
      <c r="BS69" s="75">
        <v>1807091</v>
      </c>
      <c r="BT69" s="75">
        <v>1885706</v>
      </c>
      <c r="BU69" s="75">
        <v>1886029</v>
      </c>
      <c r="BV69" s="75">
        <v>1851983</v>
      </c>
      <c r="BW69" s="75">
        <v>1817389</v>
      </c>
      <c r="BX69" s="75">
        <v>1802464</v>
      </c>
      <c r="BY69" s="75">
        <v>1783227</v>
      </c>
      <c r="BZ69" s="75">
        <v>1681165</v>
      </c>
      <c r="CA69" s="75">
        <v>1628788</v>
      </c>
      <c r="CB69" s="75">
        <v>1563780</v>
      </c>
      <c r="CC69" s="75">
        <v>1460220</v>
      </c>
      <c r="CD69" s="75">
        <v>1398628</v>
      </c>
      <c r="CE69" s="75">
        <v>1287765</v>
      </c>
      <c r="CF69" s="75">
        <v>1187213</v>
      </c>
      <c r="CG69" s="75">
        <v>1089468</v>
      </c>
      <c r="CH69" s="75">
        <v>998056</v>
      </c>
      <c r="CI69" s="75">
        <v>918432</v>
      </c>
      <c r="CJ69" s="75">
        <v>834597</v>
      </c>
      <c r="CK69" s="75">
        <v>768507</v>
      </c>
      <c r="CL69" s="75">
        <v>736982</v>
      </c>
      <c r="CM69" s="75">
        <v>493616</v>
      </c>
      <c r="CN69" s="75">
        <v>436928</v>
      </c>
      <c r="CO69" s="75">
        <v>378580</v>
      </c>
      <c r="CP69" s="75">
        <v>339995</v>
      </c>
      <c r="CQ69" s="75">
        <v>255653</v>
      </c>
      <c r="CR69" s="75">
        <v>197942</v>
      </c>
      <c r="CS69" s="75">
        <v>156871</v>
      </c>
      <c r="CT69" s="75">
        <v>121994</v>
      </c>
      <c r="CU69" s="75">
        <v>93856</v>
      </c>
      <c r="CV69" s="75">
        <v>68287</v>
      </c>
      <c r="CW69" s="75">
        <v>50365</v>
      </c>
      <c r="CX69" s="75">
        <v>36408</v>
      </c>
      <c r="CY69" s="75">
        <v>24238</v>
      </c>
      <c r="CZ69" s="75">
        <v>38005</v>
      </c>
    </row>
    <row r="70" spans="1:104" ht="17.100000000000001">
      <c r="A70" s="70" t="s">
        <v>660</v>
      </c>
      <c r="B70" s="71">
        <v>2034</v>
      </c>
      <c r="C70" s="75">
        <v>181972111</v>
      </c>
      <c r="D70" s="75">
        <v>2159208</v>
      </c>
      <c r="E70" s="75">
        <v>2166571</v>
      </c>
      <c r="F70" s="75">
        <v>2174069</v>
      </c>
      <c r="G70" s="75">
        <v>2180626</v>
      </c>
      <c r="H70" s="75">
        <v>2186210</v>
      </c>
      <c r="I70" s="75">
        <v>2190921</v>
      </c>
      <c r="J70" s="75">
        <v>2195111</v>
      </c>
      <c r="K70" s="75">
        <v>2198851</v>
      </c>
      <c r="L70" s="75">
        <v>2201922</v>
      </c>
      <c r="M70" s="75">
        <v>2204161</v>
      </c>
      <c r="N70" s="75">
        <v>2205819</v>
      </c>
      <c r="O70" s="75">
        <v>2206695</v>
      </c>
      <c r="P70" s="75">
        <v>2206639</v>
      </c>
      <c r="Q70" s="75">
        <v>2205461</v>
      </c>
      <c r="R70" s="75">
        <v>2203038</v>
      </c>
      <c r="S70" s="75">
        <v>2200381</v>
      </c>
      <c r="T70" s="75">
        <v>2199251</v>
      </c>
      <c r="U70" s="75">
        <v>2201221</v>
      </c>
      <c r="V70" s="75">
        <v>2206470</v>
      </c>
      <c r="W70" s="75">
        <v>2214512</v>
      </c>
      <c r="X70" s="75">
        <v>2224166</v>
      </c>
      <c r="Y70" s="75">
        <v>2234278</v>
      </c>
      <c r="Z70" s="75">
        <v>2257449</v>
      </c>
      <c r="AA70" s="75">
        <v>2292128</v>
      </c>
      <c r="AB70" s="75">
        <v>2305225</v>
      </c>
      <c r="AC70" s="75">
        <v>2321086</v>
      </c>
      <c r="AD70" s="75">
        <v>2402010</v>
      </c>
      <c r="AE70" s="75">
        <v>2427317</v>
      </c>
      <c r="AF70" s="75">
        <v>2422155</v>
      </c>
      <c r="AG70" s="75">
        <v>2424227</v>
      </c>
      <c r="AH70" s="75">
        <v>2434642</v>
      </c>
      <c r="AI70" s="75">
        <v>2423386</v>
      </c>
      <c r="AJ70" s="75">
        <v>2418741</v>
      </c>
      <c r="AK70" s="75">
        <v>2473150</v>
      </c>
      <c r="AL70" s="75">
        <v>2508096</v>
      </c>
      <c r="AM70" s="75">
        <v>2471327</v>
      </c>
      <c r="AN70" s="75">
        <v>2468225</v>
      </c>
      <c r="AO70" s="75">
        <v>2465859</v>
      </c>
      <c r="AP70" s="75">
        <v>2477551</v>
      </c>
      <c r="AQ70" s="75">
        <v>2513880</v>
      </c>
      <c r="AR70" s="75">
        <v>2544737</v>
      </c>
      <c r="AS70" s="75">
        <v>2564107</v>
      </c>
      <c r="AT70" s="75">
        <v>2597882</v>
      </c>
      <c r="AU70" s="75">
        <v>2609150</v>
      </c>
      <c r="AV70" s="75">
        <v>2580620</v>
      </c>
      <c r="AW70" s="75">
        <v>2469339</v>
      </c>
      <c r="AX70" s="75">
        <v>2393606</v>
      </c>
      <c r="AY70" s="75">
        <v>2336281</v>
      </c>
      <c r="AZ70" s="75">
        <v>2322443</v>
      </c>
      <c r="BA70" s="75">
        <v>2312254</v>
      </c>
      <c r="BB70" s="75">
        <v>2218967</v>
      </c>
      <c r="BC70" s="75">
        <v>2226203</v>
      </c>
      <c r="BD70" s="75">
        <v>2206513</v>
      </c>
      <c r="BE70" s="75">
        <v>2162931</v>
      </c>
      <c r="BF70" s="75">
        <v>2191378</v>
      </c>
      <c r="BG70" s="75">
        <v>2038276</v>
      </c>
      <c r="BH70" s="75">
        <v>1979735</v>
      </c>
      <c r="BI70" s="75">
        <v>1938587</v>
      </c>
      <c r="BJ70" s="75">
        <v>1867836</v>
      </c>
      <c r="BK70" s="75">
        <v>1906927</v>
      </c>
      <c r="BL70" s="75">
        <v>1826060</v>
      </c>
      <c r="BM70" s="75">
        <v>1827732</v>
      </c>
      <c r="BN70" s="75">
        <v>1892686</v>
      </c>
      <c r="BO70" s="75">
        <v>1977822</v>
      </c>
      <c r="BP70" s="75">
        <v>1988562</v>
      </c>
      <c r="BQ70" s="75">
        <v>1864418</v>
      </c>
      <c r="BR70" s="75">
        <v>1801142</v>
      </c>
      <c r="BS70" s="75">
        <v>1775849</v>
      </c>
      <c r="BT70" s="75">
        <v>1783225</v>
      </c>
      <c r="BU70" s="75">
        <v>1858190</v>
      </c>
      <c r="BV70" s="75">
        <v>1855709</v>
      </c>
      <c r="BW70" s="75">
        <v>1819176</v>
      </c>
      <c r="BX70" s="75">
        <v>1781868</v>
      </c>
      <c r="BY70" s="75">
        <v>1763464</v>
      </c>
      <c r="BZ70" s="75">
        <v>1740410</v>
      </c>
      <c r="CA70" s="75">
        <v>1636586</v>
      </c>
      <c r="CB70" s="75">
        <v>1581001</v>
      </c>
      <c r="CC70" s="75">
        <v>1512831</v>
      </c>
      <c r="CD70" s="75">
        <v>1407330</v>
      </c>
      <c r="CE70" s="75">
        <v>1342196</v>
      </c>
      <c r="CF70" s="75">
        <v>1229732</v>
      </c>
      <c r="CG70" s="75">
        <v>1127496</v>
      </c>
      <c r="CH70" s="75">
        <v>1028511</v>
      </c>
      <c r="CI70" s="75">
        <v>935837</v>
      </c>
      <c r="CJ70" s="75">
        <v>854591</v>
      </c>
      <c r="CK70" s="75">
        <v>769982</v>
      </c>
      <c r="CL70" s="75">
        <v>702324</v>
      </c>
      <c r="CM70" s="75">
        <v>666551</v>
      </c>
      <c r="CN70" s="75">
        <v>441392</v>
      </c>
      <c r="CO70" s="75">
        <v>385844</v>
      </c>
      <c r="CP70" s="75">
        <v>329715</v>
      </c>
      <c r="CQ70" s="75">
        <v>291670</v>
      </c>
      <c r="CR70" s="75">
        <v>215745</v>
      </c>
      <c r="CS70" s="75">
        <v>164094</v>
      </c>
      <c r="CT70" s="75">
        <v>127593</v>
      </c>
      <c r="CU70" s="75">
        <v>97206</v>
      </c>
      <c r="CV70" s="75">
        <v>73171</v>
      </c>
      <c r="CW70" s="75">
        <v>52015</v>
      </c>
      <c r="CX70" s="75">
        <v>37452</v>
      </c>
      <c r="CY70" s="75">
        <v>26387</v>
      </c>
      <c r="CZ70" s="75">
        <v>38739</v>
      </c>
    </row>
    <row r="71" spans="1:104" ht="17.100000000000001">
      <c r="A71" s="70" t="s">
        <v>660</v>
      </c>
      <c r="B71" s="71">
        <v>2035</v>
      </c>
      <c r="C71" s="75">
        <v>183030417</v>
      </c>
      <c r="D71" s="75">
        <v>2162843</v>
      </c>
      <c r="E71" s="75">
        <v>2169573</v>
      </c>
      <c r="F71" s="75">
        <v>2176421</v>
      </c>
      <c r="G71" s="75">
        <v>2182443</v>
      </c>
      <c r="H71" s="75">
        <v>2187683</v>
      </c>
      <c r="I71" s="75">
        <v>2192408</v>
      </c>
      <c r="J71" s="75">
        <v>2196748</v>
      </c>
      <c r="K71" s="75">
        <v>2200884</v>
      </c>
      <c r="L71" s="75">
        <v>2204790</v>
      </c>
      <c r="M71" s="75">
        <v>2207917</v>
      </c>
      <c r="N71" s="75">
        <v>2210353</v>
      </c>
      <c r="O71" s="75">
        <v>2211962</v>
      </c>
      <c r="P71" s="75">
        <v>2212792</v>
      </c>
      <c r="Q71" s="75">
        <v>2212968</v>
      </c>
      <c r="R71" s="75">
        <v>2212619</v>
      </c>
      <c r="S71" s="75">
        <v>2212084</v>
      </c>
      <c r="T71" s="75">
        <v>2212560</v>
      </c>
      <c r="U71" s="75">
        <v>2215604</v>
      </c>
      <c r="V71" s="75">
        <v>2221892</v>
      </c>
      <c r="W71" s="75">
        <v>2230500</v>
      </c>
      <c r="X71" s="75">
        <v>2240538</v>
      </c>
      <c r="Y71" s="75">
        <v>2251247</v>
      </c>
      <c r="Z71" s="75">
        <v>2261409</v>
      </c>
      <c r="AA71" s="75">
        <v>2283829</v>
      </c>
      <c r="AB71" s="75">
        <v>2317382</v>
      </c>
      <c r="AC71" s="75">
        <v>2328975</v>
      </c>
      <c r="AD71" s="75">
        <v>2343351</v>
      </c>
      <c r="AE71" s="75">
        <v>2422704</v>
      </c>
      <c r="AF71" s="75">
        <v>2446615</v>
      </c>
      <c r="AG71" s="75">
        <v>2440154</v>
      </c>
      <c r="AH71" s="75">
        <v>2440812</v>
      </c>
      <c r="AI71" s="75">
        <v>2449503</v>
      </c>
      <c r="AJ71" s="75">
        <v>2436440</v>
      </c>
      <c r="AK71" s="75">
        <v>2430263</v>
      </c>
      <c r="AL71" s="75">
        <v>2483598</v>
      </c>
      <c r="AM71" s="75">
        <v>2517639</v>
      </c>
      <c r="AN71" s="75">
        <v>2479988</v>
      </c>
      <c r="AO71" s="75">
        <v>2476009</v>
      </c>
      <c r="AP71" s="75">
        <v>2472946</v>
      </c>
      <c r="AQ71" s="75">
        <v>2483864</v>
      </c>
      <c r="AR71" s="75">
        <v>2519195</v>
      </c>
      <c r="AS71" s="75">
        <v>2548877</v>
      </c>
      <c r="AT71" s="75">
        <v>2567090</v>
      </c>
      <c r="AU71" s="75">
        <v>2599857</v>
      </c>
      <c r="AV71" s="75">
        <v>2610408</v>
      </c>
      <c r="AW71" s="75">
        <v>2581205</v>
      </c>
      <c r="AX71" s="75">
        <v>2469335</v>
      </c>
      <c r="AY71" s="75">
        <v>2392711</v>
      </c>
      <c r="AZ71" s="75">
        <v>2334468</v>
      </c>
      <c r="BA71" s="75">
        <v>2319663</v>
      </c>
      <c r="BB71" s="75">
        <v>2308514</v>
      </c>
      <c r="BC71" s="75">
        <v>2214588</v>
      </c>
      <c r="BD71" s="75">
        <v>2220815</v>
      </c>
      <c r="BE71" s="75">
        <v>2200318</v>
      </c>
      <c r="BF71" s="75">
        <v>2155892</v>
      </c>
      <c r="BG71" s="75">
        <v>2183134</v>
      </c>
      <c r="BH71" s="75">
        <v>2029800</v>
      </c>
      <c r="BI71" s="75">
        <v>1970533</v>
      </c>
      <c r="BJ71" s="75">
        <v>1928585</v>
      </c>
      <c r="BK71" s="75">
        <v>1857294</v>
      </c>
      <c r="BL71" s="75">
        <v>1895112</v>
      </c>
      <c r="BM71" s="75">
        <v>1813962</v>
      </c>
      <c r="BN71" s="75">
        <v>1814552</v>
      </c>
      <c r="BO71" s="75">
        <v>1877747</v>
      </c>
      <c r="BP71" s="75">
        <v>1960672</v>
      </c>
      <c r="BQ71" s="75">
        <v>1969483</v>
      </c>
      <c r="BR71" s="75">
        <v>1844738</v>
      </c>
      <c r="BS71" s="75">
        <v>1780019</v>
      </c>
      <c r="BT71" s="75">
        <v>1752812</v>
      </c>
      <c r="BU71" s="75">
        <v>1757648</v>
      </c>
      <c r="BV71" s="75">
        <v>1828688</v>
      </c>
      <c r="BW71" s="75">
        <v>1823217</v>
      </c>
      <c r="BX71" s="75">
        <v>1783979</v>
      </c>
      <c r="BY71" s="75">
        <v>1743738</v>
      </c>
      <c r="BZ71" s="75">
        <v>1721628</v>
      </c>
      <c r="CA71" s="75">
        <v>1694640</v>
      </c>
      <c r="CB71" s="75">
        <v>1588976</v>
      </c>
      <c r="CC71" s="75">
        <v>1529969</v>
      </c>
      <c r="CD71" s="75">
        <v>1458483</v>
      </c>
      <c r="CE71" s="75">
        <v>1351017</v>
      </c>
      <c r="CF71" s="75">
        <v>1282129</v>
      </c>
      <c r="CG71" s="75">
        <v>1168290</v>
      </c>
      <c r="CH71" s="75">
        <v>1064843</v>
      </c>
      <c r="CI71" s="75">
        <v>964849</v>
      </c>
      <c r="CJ71" s="75">
        <v>871234</v>
      </c>
      <c r="CK71" s="75">
        <v>788828</v>
      </c>
      <c r="CL71" s="75">
        <v>704087</v>
      </c>
      <c r="CM71" s="75">
        <v>635598</v>
      </c>
      <c r="CN71" s="75">
        <v>596419</v>
      </c>
      <c r="CO71" s="75">
        <v>390069</v>
      </c>
      <c r="CP71" s="75">
        <v>336318</v>
      </c>
      <c r="CQ71" s="75">
        <v>283107</v>
      </c>
      <c r="CR71" s="75">
        <v>246354</v>
      </c>
      <c r="CS71" s="75">
        <v>179022</v>
      </c>
      <c r="CT71" s="75">
        <v>133595</v>
      </c>
      <c r="CU71" s="75">
        <v>101783</v>
      </c>
      <c r="CV71" s="75">
        <v>75865</v>
      </c>
      <c r="CW71" s="75">
        <v>55798</v>
      </c>
      <c r="CX71" s="75">
        <v>38717</v>
      </c>
      <c r="CY71" s="75">
        <v>27174</v>
      </c>
      <c r="CZ71" s="75">
        <v>40666</v>
      </c>
    </row>
    <row r="72" spans="1:104" ht="17.100000000000001">
      <c r="A72" s="70" t="s">
        <v>660</v>
      </c>
      <c r="B72" s="71">
        <v>2036</v>
      </c>
      <c r="C72" s="75">
        <v>184071974</v>
      </c>
      <c r="D72" s="75">
        <v>2167035</v>
      </c>
      <c r="E72" s="75">
        <v>2173297</v>
      </c>
      <c r="F72" s="75">
        <v>2179494</v>
      </c>
      <c r="G72" s="75">
        <v>2184856</v>
      </c>
      <c r="H72" s="75">
        <v>2189554</v>
      </c>
      <c r="I72" s="75">
        <v>2193921</v>
      </c>
      <c r="J72" s="75">
        <v>2198272</v>
      </c>
      <c r="K72" s="75">
        <v>2202571</v>
      </c>
      <c r="L72" s="75">
        <v>2206878</v>
      </c>
      <c r="M72" s="75">
        <v>2210837</v>
      </c>
      <c r="N72" s="75">
        <v>2214161</v>
      </c>
      <c r="O72" s="75">
        <v>2216538</v>
      </c>
      <c r="P72" s="75">
        <v>2218094</v>
      </c>
      <c r="Q72" s="75">
        <v>2219151</v>
      </c>
      <c r="R72" s="75">
        <v>2220170</v>
      </c>
      <c r="S72" s="75">
        <v>2221710</v>
      </c>
      <c r="T72" s="75">
        <v>2224337</v>
      </c>
      <c r="U72" s="75">
        <v>2229019</v>
      </c>
      <c r="V72" s="75">
        <v>2236414</v>
      </c>
      <c r="W72" s="75">
        <v>2246076</v>
      </c>
      <c r="X72" s="75">
        <v>2256698</v>
      </c>
      <c r="Y72" s="75">
        <v>2267808</v>
      </c>
      <c r="Z72" s="75">
        <v>2278578</v>
      </c>
      <c r="AA72" s="75">
        <v>2287988</v>
      </c>
      <c r="AB72" s="75">
        <v>2309287</v>
      </c>
      <c r="AC72" s="75">
        <v>2341306</v>
      </c>
      <c r="AD72" s="75">
        <v>2351421</v>
      </c>
      <c r="AE72" s="75">
        <v>2364277</v>
      </c>
      <c r="AF72" s="75">
        <v>2442177</v>
      </c>
      <c r="AG72" s="75">
        <v>2464757</v>
      </c>
      <c r="AH72" s="75">
        <v>2456903</v>
      </c>
      <c r="AI72" s="75">
        <v>2455828</v>
      </c>
      <c r="AJ72" s="75">
        <v>2462710</v>
      </c>
      <c r="AK72" s="75">
        <v>2448068</v>
      </c>
      <c r="AL72" s="75">
        <v>2440867</v>
      </c>
      <c r="AM72" s="75">
        <v>2493318</v>
      </c>
      <c r="AN72" s="75">
        <v>2526409</v>
      </c>
      <c r="AO72" s="75">
        <v>2487898</v>
      </c>
      <c r="AP72" s="75">
        <v>2483194</v>
      </c>
      <c r="AQ72" s="75">
        <v>2479397</v>
      </c>
      <c r="AR72" s="75">
        <v>2489382</v>
      </c>
      <c r="AS72" s="75">
        <v>2523485</v>
      </c>
      <c r="AT72" s="75">
        <v>2552016</v>
      </c>
      <c r="AU72" s="75">
        <v>2569299</v>
      </c>
      <c r="AV72" s="75">
        <v>2601265</v>
      </c>
      <c r="AW72" s="75">
        <v>2611114</v>
      </c>
      <c r="AX72" s="75">
        <v>2581137</v>
      </c>
      <c r="AY72" s="75">
        <v>2468495</v>
      </c>
      <c r="AZ72" s="75">
        <v>2390906</v>
      </c>
      <c r="BA72" s="75">
        <v>2331824</v>
      </c>
      <c r="BB72" s="75">
        <v>2316123</v>
      </c>
      <c r="BC72" s="75">
        <v>2304006</v>
      </c>
      <c r="BD72" s="75">
        <v>2209519</v>
      </c>
      <c r="BE72" s="75">
        <v>2214710</v>
      </c>
      <c r="BF72" s="75">
        <v>2193360</v>
      </c>
      <c r="BG72" s="75">
        <v>2148152</v>
      </c>
      <c r="BH72" s="75">
        <v>2174115</v>
      </c>
      <c r="BI72" s="75">
        <v>2020582</v>
      </c>
      <c r="BJ72" s="75">
        <v>1960586</v>
      </c>
      <c r="BK72" s="75">
        <v>1917900</v>
      </c>
      <c r="BL72" s="75">
        <v>1846125</v>
      </c>
      <c r="BM72" s="75">
        <v>1882722</v>
      </c>
      <c r="BN72" s="75">
        <v>1801232</v>
      </c>
      <c r="BO72" s="75">
        <v>1800586</v>
      </c>
      <c r="BP72" s="75">
        <v>1861862</v>
      </c>
      <c r="BQ72" s="75">
        <v>1942244</v>
      </c>
      <c r="BR72" s="75">
        <v>1948894</v>
      </c>
      <c r="BS72" s="75">
        <v>1823485</v>
      </c>
      <c r="BT72" s="75">
        <v>1757238</v>
      </c>
      <c r="BU72" s="75">
        <v>1728116</v>
      </c>
      <c r="BV72" s="75">
        <v>1730213</v>
      </c>
      <c r="BW72" s="75">
        <v>1797069</v>
      </c>
      <c r="BX72" s="75">
        <v>1788358</v>
      </c>
      <c r="BY72" s="75">
        <v>1746206</v>
      </c>
      <c r="BZ72" s="75">
        <v>1702850</v>
      </c>
      <c r="CA72" s="75">
        <v>1676932</v>
      </c>
      <c r="CB72" s="75">
        <v>1645799</v>
      </c>
      <c r="CC72" s="75">
        <v>1538155</v>
      </c>
      <c r="CD72" s="75">
        <v>1475547</v>
      </c>
      <c r="CE72" s="75">
        <v>1400651</v>
      </c>
      <c r="CF72" s="75">
        <v>1291081</v>
      </c>
      <c r="CG72" s="75">
        <v>1218533</v>
      </c>
      <c r="CH72" s="75">
        <v>1103850</v>
      </c>
      <c r="CI72" s="75">
        <v>999431</v>
      </c>
      <c r="CJ72" s="75">
        <v>898781</v>
      </c>
      <c r="CK72" s="75">
        <v>804710</v>
      </c>
      <c r="CL72" s="75">
        <v>721796</v>
      </c>
      <c r="CM72" s="75">
        <v>637681</v>
      </c>
      <c r="CN72" s="75">
        <v>569212</v>
      </c>
      <c r="CO72" s="75">
        <v>527523</v>
      </c>
      <c r="CP72" s="75">
        <v>340336</v>
      </c>
      <c r="CQ72" s="75">
        <v>289082</v>
      </c>
      <c r="CR72" s="75">
        <v>239413</v>
      </c>
      <c r="CS72" s="75">
        <v>204674</v>
      </c>
      <c r="CT72" s="75">
        <v>145939</v>
      </c>
      <c r="CU72" s="75">
        <v>106715</v>
      </c>
      <c r="CV72" s="75">
        <v>79565</v>
      </c>
      <c r="CW72" s="75">
        <v>57941</v>
      </c>
      <c r="CX72" s="75">
        <v>41600</v>
      </c>
      <c r="CY72" s="75">
        <v>28138</v>
      </c>
      <c r="CZ72" s="75">
        <v>42439</v>
      </c>
    </row>
    <row r="73" spans="1:104" ht="17.100000000000001">
      <c r="A73" s="70" t="s">
        <v>660</v>
      </c>
      <c r="B73" s="71">
        <v>2037</v>
      </c>
      <c r="C73" s="75">
        <v>185097686</v>
      </c>
      <c r="D73" s="75">
        <v>2171633</v>
      </c>
      <c r="E73" s="75">
        <v>2177571</v>
      </c>
      <c r="F73" s="75">
        <v>2183288</v>
      </c>
      <c r="G73" s="75">
        <v>2187983</v>
      </c>
      <c r="H73" s="75">
        <v>2192007</v>
      </c>
      <c r="I73" s="75">
        <v>2195839</v>
      </c>
      <c r="J73" s="75">
        <v>2199841</v>
      </c>
      <c r="K73" s="75">
        <v>2204136</v>
      </c>
      <c r="L73" s="75">
        <v>2208596</v>
      </c>
      <c r="M73" s="75">
        <v>2212960</v>
      </c>
      <c r="N73" s="75">
        <v>2217109</v>
      </c>
      <c r="O73" s="75">
        <v>2220379</v>
      </c>
      <c r="P73" s="75">
        <v>2222701</v>
      </c>
      <c r="Q73" s="75">
        <v>2224496</v>
      </c>
      <c r="R73" s="75">
        <v>2226414</v>
      </c>
      <c r="S73" s="75">
        <v>2229328</v>
      </c>
      <c r="T73" s="75">
        <v>2234037</v>
      </c>
      <c r="U73" s="75">
        <v>2240893</v>
      </c>
      <c r="V73" s="75">
        <v>2249951</v>
      </c>
      <c r="W73" s="75">
        <v>2260760</v>
      </c>
      <c r="X73" s="75">
        <v>2272461</v>
      </c>
      <c r="Y73" s="75">
        <v>2284156</v>
      </c>
      <c r="Z73" s="75">
        <v>2295330</v>
      </c>
      <c r="AA73" s="75">
        <v>2305358</v>
      </c>
      <c r="AB73" s="75">
        <v>2313637</v>
      </c>
      <c r="AC73" s="75">
        <v>2333391</v>
      </c>
      <c r="AD73" s="75">
        <v>2363899</v>
      </c>
      <c r="AE73" s="75">
        <v>2372503</v>
      </c>
      <c r="AF73" s="75">
        <v>2383965</v>
      </c>
      <c r="AG73" s="75">
        <v>2460478</v>
      </c>
      <c r="AH73" s="75">
        <v>2481637</v>
      </c>
      <c r="AI73" s="75">
        <v>2472067</v>
      </c>
      <c r="AJ73" s="75">
        <v>2469180</v>
      </c>
      <c r="AK73" s="75">
        <v>2474484</v>
      </c>
      <c r="AL73" s="75">
        <v>2458794</v>
      </c>
      <c r="AM73" s="75">
        <v>2450749</v>
      </c>
      <c r="AN73" s="75">
        <v>2502248</v>
      </c>
      <c r="AO73" s="75">
        <v>2534411</v>
      </c>
      <c r="AP73" s="75">
        <v>2495208</v>
      </c>
      <c r="AQ73" s="75">
        <v>2489750</v>
      </c>
      <c r="AR73" s="75">
        <v>2485050</v>
      </c>
      <c r="AS73" s="75">
        <v>2493864</v>
      </c>
      <c r="AT73" s="75">
        <v>2526752</v>
      </c>
      <c r="AU73" s="75">
        <v>2554374</v>
      </c>
      <c r="AV73" s="75">
        <v>2570938</v>
      </c>
      <c r="AW73" s="75">
        <v>2602122</v>
      </c>
      <c r="AX73" s="75">
        <v>2611150</v>
      </c>
      <c r="AY73" s="75">
        <v>2580212</v>
      </c>
      <c r="AZ73" s="75">
        <v>2466730</v>
      </c>
      <c r="BA73" s="75">
        <v>2388261</v>
      </c>
      <c r="BB73" s="75">
        <v>2328416</v>
      </c>
      <c r="BC73" s="75">
        <v>2311818</v>
      </c>
      <c r="BD73" s="75">
        <v>2298769</v>
      </c>
      <c r="BE73" s="75">
        <v>2203732</v>
      </c>
      <c r="BF73" s="75">
        <v>2207835</v>
      </c>
      <c r="BG73" s="75">
        <v>2185692</v>
      </c>
      <c r="BH73" s="75">
        <v>2139654</v>
      </c>
      <c r="BI73" s="75">
        <v>2164322</v>
      </c>
      <c r="BJ73" s="75">
        <v>2010599</v>
      </c>
      <c r="BK73" s="75">
        <v>1949951</v>
      </c>
      <c r="BL73" s="75">
        <v>1906568</v>
      </c>
      <c r="BM73" s="75">
        <v>1834394</v>
      </c>
      <c r="BN73" s="75">
        <v>1869678</v>
      </c>
      <c r="BO73" s="75">
        <v>1787723</v>
      </c>
      <c r="BP73" s="75">
        <v>1785715</v>
      </c>
      <c r="BQ73" s="75">
        <v>1844761</v>
      </c>
      <c r="BR73" s="75">
        <v>1922321</v>
      </c>
      <c r="BS73" s="75">
        <v>1926651</v>
      </c>
      <c r="BT73" s="75">
        <v>1800537</v>
      </c>
      <c r="BU73" s="75">
        <v>1732798</v>
      </c>
      <c r="BV73" s="75">
        <v>1701599</v>
      </c>
      <c r="BW73" s="75">
        <v>1700787</v>
      </c>
      <c r="BX73" s="75">
        <v>1763118</v>
      </c>
      <c r="BY73" s="75">
        <v>1750916</v>
      </c>
      <c r="BZ73" s="75">
        <v>1705685</v>
      </c>
      <c r="CA73" s="75">
        <v>1659136</v>
      </c>
      <c r="CB73" s="75">
        <v>1629189</v>
      </c>
      <c r="CC73" s="75">
        <v>1593634</v>
      </c>
      <c r="CD73" s="75">
        <v>1483921</v>
      </c>
      <c r="CE73" s="75">
        <v>1417597</v>
      </c>
      <c r="CF73" s="75">
        <v>1339037</v>
      </c>
      <c r="CG73" s="75">
        <v>1227578</v>
      </c>
      <c r="CH73" s="75">
        <v>1151815</v>
      </c>
      <c r="CI73" s="75">
        <v>1036547</v>
      </c>
      <c r="CJ73" s="75">
        <v>931493</v>
      </c>
      <c r="CK73" s="75">
        <v>830679</v>
      </c>
      <c r="CL73" s="75">
        <v>736844</v>
      </c>
      <c r="CM73" s="75">
        <v>654196</v>
      </c>
      <c r="CN73" s="75">
        <v>571529</v>
      </c>
      <c r="CO73" s="75">
        <v>503925</v>
      </c>
      <c r="CP73" s="75">
        <v>460700</v>
      </c>
      <c r="CQ73" s="75">
        <v>292849</v>
      </c>
      <c r="CR73" s="75">
        <v>244748</v>
      </c>
      <c r="CS73" s="75">
        <v>199160</v>
      </c>
      <c r="CT73" s="75">
        <v>167064</v>
      </c>
      <c r="CU73" s="75">
        <v>116739</v>
      </c>
      <c r="CV73" s="75">
        <v>83542</v>
      </c>
      <c r="CW73" s="75">
        <v>60869</v>
      </c>
      <c r="CX73" s="75">
        <v>43262</v>
      </c>
      <c r="CY73" s="75">
        <v>30284</v>
      </c>
      <c r="CZ73" s="75">
        <v>44229</v>
      </c>
    </row>
    <row r="74" spans="1:104" ht="17.100000000000001">
      <c r="A74" s="70" t="s">
        <v>660</v>
      </c>
      <c r="B74" s="71">
        <v>2038</v>
      </c>
      <c r="C74" s="75">
        <v>186108789</v>
      </c>
      <c r="D74" s="75">
        <v>2176597</v>
      </c>
      <c r="E74" s="75">
        <v>2182251</v>
      </c>
      <c r="F74" s="75">
        <v>2187640</v>
      </c>
      <c r="G74" s="75">
        <v>2191836</v>
      </c>
      <c r="H74" s="75">
        <v>2195197</v>
      </c>
      <c r="I74" s="75">
        <v>2198342</v>
      </c>
      <c r="J74" s="75">
        <v>2201795</v>
      </c>
      <c r="K74" s="75">
        <v>2205746</v>
      </c>
      <c r="L74" s="75">
        <v>2210195</v>
      </c>
      <c r="M74" s="75">
        <v>2214705</v>
      </c>
      <c r="N74" s="75">
        <v>2219266</v>
      </c>
      <c r="O74" s="75">
        <v>2223353</v>
      </c>
      <c r="P74" s="75">
        <v>2226581</v>
      </c>
      <c r="Q74" s="75">
        <v>2229145</v>
      </c>
      <c r="R74" s="75">
        <v>2231791</v>
      </c>
      <c r="S74" s="75">
        <v>2235625</v>
      </c>
      <c r="T74" s="75">
        <v>2241728</v>
      </c>
      <c r="U74" s="75">
        <v>2250695</v>
      </c>
      <c r="V74" s="75">
        <v>2261948</v>
      </c>
      <c r="W74" s="75">
        <v>2274442</v>
      </c>
      <c r="X74" s="75">
        <v>2287305</v>
      </c>
      <c r="Y74" s="75">
        <v>2300099</v>
      </c>
      <c r="Z74" s="75">
        <v>2311862</v>
      </c>
      <c r="AA74" s="75">
        <v>2322291</v>
      </c>
      <c r="AB74" s="75">
        <v>2331188</v>
      </c>
      <c r="AC74" s="75">
        <v>2337914</v>
      </c>
      <c r="AD74" s="75">
        <v>2356163</v>
      </c>
      <c r="AE74" s="75">
        <v>2385124</v>
      </c>
      <c r="AF74" s="75">
        <v>2392330</v>
      </c>
      <c r="AG74" s="75">
        <v>2402468</v>
      </c>
      <c r="AH74" s="75">
        <v>2477521</v>
      </c>
      <c r="AI74" s="75">
        <v>2496931</v>
      </c>
      <c r="AJ74" s="75">
        <v>2485557</v>
      </c>
      <c r="AK74" s="75">
        <v>2481093</v>
      </c>
      <c r="AL74" s="75">
        <v>2485342</v>
      </c>
      <c r="AM74" s="75">
        <v>2468799</v>
      </c>
      <c r="AN74" s="75">
        <v>2459840</v>
      </c>
      <c r="AO74" s="75">
        <v>2510420</v>
      </c>
      <c r="AP74" s="75">
        <v>2541798</v>
      </c>
      <c r="AQ74" s="75">
        <v>2501878</v>
      </c>
      <c r="AR74" s="75">
        <v>2495504</v>
      </c>
      <c r="AS74" s="75">
        <v>2489662</v>
      </c>
      <c r="AT74" s="75">
        <v>2497322</v>
      </c>
      <c r="AU74" s="75">
        <v>2529246</v>
      </c>
      <c r="AV74" s="75">
        <v>2556153</v>
      </c>
      <c r="AW74" s="75">
        <v>2572032</v>
      </c>
      <c r="AX74" s="75">
        <v>2602316</v>
      </c>
      <c r="AY74" s="75">
        <v>2610335</v>
      </c>
      <c r="AZ74" s="75">
        <v>2578363</v>
      </c>
      <c r="BA74" s="75">
        <v>2464122</v>
      </c>
      <c r="BB74" s="75">
        <v>2384859</v>
      </c>
      <c r="BC74" s="75">
        <v>2324251</v>
      </c>
      <c r="BD74" s="75">
        <v>2306783</v>
      </c>
      <c r="BE74" s="75">
        <v>2292823</v>
      </c>
      <c r="BF74" s="75">
        <v>2197188</v>
      </c>
      <c r="BG74" s="75">
        <v>2200272</v>
      </c>
      <c r="BH74" s="75">
        <v>2177260</v>
      </c>
      <c r="BI74" s="75">
        <v>2130389</v>
      </c>
      <c r="BJ74" s="75">
        <v>2153721</v>
      </c>
      <c r="BK74" s="75">
        <v>1999925</v>
      </c>
      <c r="BL74" s="75">
        <v>1938666</v>
      </c>
      <c r="BM74" s="75">
        <v>1894658</v>
      </c>
      <c r="BN74" s="75">
        <v>1822033</v>
      </c>
      <c r="BO74" s="75">
        <v>1855836</v>
      </c>
      <c r="BP74" s="75">
        <v>1773321</v>
      </c>
      <c r="BQ74" s="75">
        <v>1769673</v>
      </c>
      <c r="BR74" s="75">
        <v>1826226</v>
      </c>
      <c r="BS74" s="75">
        <v>1900763</v>
      </c>
      <c r="BT74" s="75">
        <v>1902625</v>
      </c>
      <c r="BU74" s="75">
        <v>1775898</v>
      </c>
      <c r="BV74" s="75">
        <v>1706538</v>
      </c>
      <c r="BW74" s="75">
        <v>1673100</v>
      </c>
      <c r="BX74" s="75">
        <v>1669145</v>
      </c>
      <c r="BY74" s="75">
        <v>1726622</v>
      </c>
      <c r="BZ74" s="75">
        <v>1710723</v>
      </c>
      <c r="CA74" s="75">
        <v>1662312</v>
      </c>
      <c r="CB74" s="75">
        <v>1612390</v>
      </c>
      <c r="CC74" s="75">
        <v>1578153</v>
      </c>
      <c r="CD74" s="75">
        <v>1537936</v>
      </c>
      <c r="CE74" s="75">
        <v>1426132</v>
      </c>
      <c r="CF74" s="75">
        <v>1355786</v>
      </c>
      <c r="CG74" s="75">
        <v>1273697</v>
      </c>
      <c r="CH74" s="75">
        <v>1160909</v>
      </c>
      <c r="CI74" s="75">
        <v>1082087</v>
      </c>
      <c r="CJ74" s="75">
        <v>966595</v>
      </c>
      <c r="CK74" s="75">
        <v>861448</v>
      </c>
      <c r="CL74" s="75">
        <v>761162</v>
      </c>
      <c r="CM74" s="75">
        <v>668342</v>
      </c>
      <c r="CN74" s="75">
        <v>586813</v>
      </c>
      <c r="CO74" s="75">
        <v>506424</v>
      </c>
      <c r="CP74" s="75">
        <v>440533</v>
      </c>
      <c r="CQ74" s="75">
        <v>396822</v>
      </c>
      <c r="CR74" s="75">
        <v>248223</v>
      </c>
      <c r="CS74" s="75">
        <v>203863</v>
      </c>
      <c r="CT74" s="75">
        <v>162796</v>
      </c>
      <c r="CU74" s="75">
        <v>133814</v>
      </c>
      <c r="CV74" s="75">
        <v>91516</v>
      </c>
      <c r="CW74" s="75">
        <v>64003</v>
      </c>
      <c r="CX74" s="75">
        <v>45531</v>
      </c>
      <c r="CY74" s="75">
        <v>31550</v>
      </c>
      <c r="CZ74" s="75">
        <v>46798</v>
      </c>
    </row>
    <row r="75" spans="1:104" ht="17.100000000000001">
      <c r="A75" s="70" t="s">
        <v>660</v>
      </c>
      <c r="B75" s="71">
        <v>2039</v>
      </c>
      <c r="C75" s="75">
        <v>187106663</v>
      </c>
      <c r="D75" s="75">
        <v>2181980</v>
      </c>
      <c r="E75" s="75">
        <v>2187304</v>
      </c>
      <c r="F75" s="75">
        <v>2192394</v>
      </c>
      <c r="G75" s="75">
        <v>2196252</v>
      </c>
      <c r="H75" s="75">
        <v>2199093</v>
      </c>
      <c r="I75" s="75">
        <v>2201574</v>
      </c>
      <c r="J75" s="75">
        <v>2204335</v>
      </c>
      <c r="K75" s="75">
        <v>2207729</v>
      </c>
      <c r="L75" s="75">
        <v>2211829</v>
      </c>
      <c r="M75" s="75">
        <v>2216335</v>
      </c>
      <c r="N75" s="75">
        <v>2221049</v>
      </c>
      <c r="O75" s="75">
        <v>2225540</v>
      </c>
      <c r="P75" s="75">
        <v>2229590</v>
      </c>
      <c r="Q75" s="75">
        <v>2233057</v>
      </c>
      <c r="R75" s="75">
        <v>2236478</v>
      </c>
      <c r="S75" s="75">
        <v>2241050</v>
      </c>
      <c r="T75" s="75">
        <v>2248108</v>
      </c>
      <c r="U75" s="75">
        <v>2258488</v>
      </c>
      <c r="V75" s="75">
        <v>2271874</v>
      </c>
      <c r="W75" s="75">
        <v>2286590</v>
      </c>
      <c r="X75" s="75">
        <v>2301154</v>
      </c>
      <c r="Y75" s="75">
        <v>2315107</v>
      </c>
      <c r="Z75" s="75">
        <v>2327980</v>
      </c>
      <c r="AA75" s="75">
        <v>2339003</v>
      </c>
      <c r="AB75" s="75">
        <v>2348291</v>
      </c>
      <c r="AC75" s="75">
        <v>2355646</v>
      </c>
      <c r="AD75" s="75">
        <v>2360852</v>
      </c>
      <c r="AE75" s="75">
        <v>2377546</v>
      </c>
      <c r="AF75" s="75">
        <v>2405093</v>
      </c>
      <c r="AG75" s="75">
        <v>2410971</v>
      </c>
      <c r="AH75" s="75">
        <v>2419700</v>
      </c>
      <c r="AI75" s="75">
        <v>2492944</v>
      </c>
      <c r="AJ75" s="75">
        <v>2510522</v>
      </c>
      <c r="AK75" s="75">
        <v>2497588</v>
      </c>
      <c r="AL75" s="75">
        <v>2492079</v>
      </c>
      <c r="AM75" s="75">
        <v>2495466</v>
      </c>
      <c r="AN75" s="75">
        <v>2477999</v>
      </c>
      <c r="AO75" s="75">
        <v>2468172</v>
      </c>
      <c r="AP75" s="75">
        <v>2517979</v>
      </c>
      <c r="AQ75" s="75">
        <v>2548551</v>
      </c>
      <c r="AR75" s="75">
        <v>2507738</v>
      </c>
      <c r="AS75" s="75">
        <v>2500206</v>
      </c>
      <c r="AT75" s="75">
        <v>2493248</v>
      </c>
      <c r="AU75" s="75">
        <v>2500002</v>
      </c>
      <c r="AV75" s="75">
        <v>2531183</v>
      </c>
      <c r="AW75" s="75">
        <v>2557398</v>
      </c>
      <c r="AX75" s="75">
        <v>2572479</v>
      </c>
      <c r="AY75" s="75">
        <v>2601659</v>
      </c>
      <c r="AZ75" s="75">
        <v>2608584</v>
      </c>
      <c r="BA75" s="75">
        <v>2575650</v>
      </c>
      <c r="BB75" s="75">
        <v>2460740</v>
      </c>
      <c r="BC75" s="75">
        <v>2380675</v>
      </c>
      <c r="BD75" s="75">
        <v>2319370</v>
      </c>
      <c r="BE75" s="75">
        <v>2301038</v>
      </c>
      <c r="BF75" s="75">
        <v>2286100</v>
      </c>
      <c r="BG75" s="75">
        <v>2189952</v>
      </c>
      <c r="BH75" s="75">
        <v>2191926</v>
      </c>
      <c r="BI75" s="75">
        <v>2168060</v>
      </c>
      <c r="BJ75" s="75">
        <v>2120344</v>
      </c>
      <c r="BK75" s="75">
        <v>2142370</v>
      </c>
      <c r="BL75" s="75">
        <v>1988589</v>
      </c>
      <c r="BM75" s="75">
        <v>1926805</v>
      </c>
      <c r="BN75" s="75">
        <v>1882096</v>
      </c>
      <c r="BO75" s="75">
        <v>1808899</v>
      </c>
      <c r="BP75" s="75">
        <v>1841063</v>
      </c>
      <c r="BQ75" s="75">
        <v>1757745</v>
      </c>
      <c r="BR75" s="75">
        <v>1752250</v>
      </c>
      <c r="BS75" s="75">
        <v>1806136</v>
      </c>
      <c r="BT75" s="75">
        <v>1877455</v>
      </c>
      <c r="BU75" s="75">
        <v>1876818</v>
      </c>
      <c r="BV75" s="75">
        <v>1749388</v>
      </c>
      <c r="BW75" s="75">
        <v>1678295</v>
      </c>
      <c r="BX75" s="75">
        <v>1642433</v>
      </c>
      <c r="BY75" s="75">
        <v>1635070</v>
      </c>
      <c r="BZ75" s="75">
        <v>1687404</v>
      </c>
      <c r="CA75" s="75">
        <v>1667671</v>
      </c>
      <c r="CB75" s="75">
        <v>1615920</v>
      </c>
      <c r="CC75" s="75">
        <v>1562386</v>
      </c>
      <c r="CD75" s="75">
        <v>1523607</v>
      </c>
      <c r="CE75" s="75">
        <v>1478543</v>
      </c>
      <c r="CF75" s="75">
        <v>1364452</v>
      </c>
      <c r="CG75" s="75">
        <v>1290188</v>
      </c>
      <c r="CH75" s="75">
        <v>1205072</v>
      </c>
      <c r="CI75" s="75">
        <v>1091186</v>
      </c>
      <c r="CJ75" s="75">
        <v>1009598</v>
      </c>
      <c r="CK75" s="75">
        <v>894437</v>
      </c>
      <c r="CL75" s="75">
        <v>789876</v>
      </c>
      <c r="CM75" s="75">
        <v>690933</v>
      </c>
      <c r="CN75" s="75">
        <v>599992</v>
      </c>
      <c r="CO75" s="75">
        <v>520422</v>
      </c>
      <c r="CP75" s="75">
        <v>443151</v>
      </c>
      <c r="CQ75" s="75">
        <v>379871</v>
      </c>
      <c r="CR75" s="75">
        <v>336719</v>
      </c>
      <c r="CS75" s="75">
        <v>206993</v>
      </c>
      <c r="CT75" s="75">
        <v>166852</v>
      </c>
      <c r="CU75" s="75">
        <v>130586</v>
      </c>
      <c r="CV75" s="75">
        <v>105045</v>
      </c>
      <c r="CW75" s="75">
        <v>70214</v>
      </c>
      <c r="CX75" s="75">
        <v>47937</v>
      </c>
      <c r="CY75" s="75">
        <v>33262</v>
      </c>
      <c r="CZ75" s="75">
        <v>49290</v>
      </c>
    </row>
    <row r="76" spans="1:104" ht="17.100000000000001">
      <c r="A76" s="70" t="s">
        <v>660</v>
      </c>
      <c r="B76" s="71">
        <v>2040</v>
      </c>
      <c r="C76" s="75">
        <v>188093001</v>
      </c>
      <c r="D76" s="75">
        <v>2187724</v>
      </c>
      <c r="E76" s="75">
        <v>2192766</v>
      </c>
      <c r="F76" s="75">
        <v>2197508</v>
      </c>
      <c r="G76" s="75">
        <v>2201052</v>
      </c>
      <c r="H76" s="75">
        <v>2203552</v>
      </c>
      <c r="I76" s="75">
        <v>2205506</v>
      </c>
      <c r="J76" s="75">
        <v>2207602</v>
      </c>
      <c r="K76" s="75">
        <v>2210299</v>
      </c>
      <c r="L76" s="75">
        <v>2213847</v>
      </c>
      <c r="M76" s="75">
        <v>2217999</v>
      </c>
      <c r="N76" s="75">
        <v>2222703</v>
      </c>
      <c r="O76" s="75">
        <v>2227366</v>
      </c>
      <c r="P76" s="75">
        <v>2231815</v>
      </c>
      <c r="Q76" s="75">
        <v>2236093</v>
      </c>
      <c r="R76" s="75">
        <v>2240435</v>
      </c>
      <c r="S76" s="75">
        <v>2245789</v>
      </c>
      <c r="T76" s="75">
        <v>2253585</v>
      </c>
      <c r="U76" s="75">
        <v>2264951</v>
      </c>
      <c r="V76" s="75">
        <v>2279788</v>
      </c>
      <c r="W76" s="75">
        <v>2296654</v>
      </c>
      <c r="X76" s="75">
        <v>2313456</v>
      </c>
      <c r="Y76" s="75">
        <v>2329131</v>
      </c>
      <c r="Z76" s="75">
        <v>2343167</v>
      </c>
      <c r="AA76" s="75">
        <v>2355310</v>
      </c>
      <c r="AB76" s="75">
        <v>2365188</v>
      </c>
      <c r="AC76" s="75">
        <v>2372919</v>
      </c>
      <c r="AD76" s="75">
        <v>2378736</v>
      </c>
      <c r="AE76" s="75">
        <v>2382382</v>
      </c>
      <c r="AF76" s="75">
        <v>2397659</v>
      </c>
      <c r="AG76" s="75">
        <v>2423866</v>
      </c>
      <c r="AH76" s="75">
        <v>2428324</v>
      </c>
      <c r="AI76" s="75">
        <v>2435302</v>
      </c>
      <c r="AJ76" s="75">
        <v>2506665</v>
      </c>
      <c r="AK76" s="75">
        <v>2522643</v>
      </c>
      <c r="AL76" s="75">
        <v>2508685</v>
      </c>
      <c r="AM76" s="75">
        <v>2502315</v>
      </c>
      <c r="AN76" s="75">
        <v>2504775</v>
      </c>
      <c r="AO76" s="75">
        <v>2486423</v>
      </c>
      <c r="AP76" s="75">
        <v>2475879</v>
      </c>
      <c r="AQ76" s="75">
        <v>2524896</v>
      </c>
      <c r="AR76" s="75">
        <v>2554488</v>
      </c>
      <c r="AS76" s="75">
        <v>2512550</v>
      </c>
      <c r="AT76" s="75">
        <v>2503893</v>
      </c>
      <c r="AU76" s="75">
        <v>2496056</v>
      </c>
      <c r="AV76" s="75">
        <v>2502126</v>
      </c>
      <c r="AW76" s="75">
        <v>2532582</v>
      </c>
      <c r="AX76" s="75">
        <v>2557994</v>
      </c>
      <c r="AY76" s="75">
        <v>2572072</v>
      </c>
      <c r="AZ76" s="75">
        <v>2600080</v>
      </c>
      <c r="BA76" s="75">
        <v>2605987</v>
      </c>
      <c r="BB76" s="75">
        <v>2572160</v>
      </c>
      <c r="BC76" s="75">
        <v>2456581</v>
      </c>
      <c r="BD76" s="75">
        <v>2375786</v>
      </c>
      <c r="BE76" s="75">
        <v>2313783</v>
      </c>
      <c r="BF76" s="75">
        <v>2294523</v>
      </c>
      <c r="BG76" s="75">
        <v>2278658</v>
      </c>
      <c r="BH76" s="75">
        <v>2181951</v>
      </c>
      <c r="BI76" s="75">
        <v>2182815</v>
      </c>
      <c r="BJ76" s="75">
        <v>2158081</v>
      </c>
      <c r="BK76" s="75">
        <v>2109587</v>
      </c>
      <c r="BL76" s="75">
        <v>2130336</v>
      </c>
      <c r="BM76" s="75">
        <v>1976662</v>
      </c>
      <c r="BN76" s="75">
        <v>1914278</v>
      </c>
      <c r="BO76" s="75">
        <v>1868732</v>
      </c>
      <c r="BP76" s="75">
        <v>1794866</v>
      </c>
      <c r="BQ76" s="75">
        <v>1825074</v>
      </c>
      <c r="BR76" s="75">
        <v>1740806</v>
      </c>
      <c r="BS76" s="75">
        <v>1733336</v>
      </c>
      <c r="BT76" s="75">
        <v>1784375</v>
      </c>
      <c r="BU76" s="75">
        <v>1852399</v>
      </c>
      <c r="BV76" s="75">
        <v>1849057</v>
      </c>
      <c r="BW76" s="75">
        <v>1720853</v>
      </c>
      <c r="BX76" s="75">
        <v>1647877</v>
      </c>
      <c r="BY76" s="75">
        <v>1609378</v>
      </c>
      <c r="BZ76" s="75">
        <v>1598414</v>
      </c>
      <c r="CA76" s="75">
        <v>1645387</v>
      </c>
      <c r="CB76" s="75">
        <v>1621612</v>
      </c>
      <c r="CC76" s="75">
        <v>1566259</v>
      </c>
      <c r="CD76" s="75">
        <v>1508897</v>
      </c>
      <c r="CE76" s="75">
        <v>1465397</v>
      </c>
      <c r="CF76" s="75">
        <v>1415108</v>
      </c>
      <c r="CG76" s="75">
        <v>1298938</v>
      </c>
      <c r="CH76" s="75">
        <v>1221237</v>
      </c>
      <c r="CI76" s="75">
        <v>1133257</v>
      </c>
      <c r="CJ76" s="75">
        <v>1018654</v>
      </c>
      <c r="CK76" s="75">
        <v>934767</v>
      </c>
      <c r="CL76" s="75">
        <v>820655</v>
      </c>
      <c r="CM76" s="75">
        <v>717521</v>
      </c>
      <c r="CN76" s="75">
        <v>620766</v>
      </c>
      <c r="CO76" s="75">
        <v>532577</v>
      </c>
      <c r="CP76" s="75">
        <v>455833</v>
      </c>
      <c r="CQ76" s="75">
        <v>382528</v>
      </c>
      <c r="CR76" s="75">
        <v>322716</v>
      </c>
      <c r="CS76" s="75">
        <v>281131</v>
      </c>
      <c r="CT76" s="75">
        <v>169639</v>
      </c>
      <c r="CU76" s="75">
        <v>134036</v>
      </c>
      <c r="CV76" s="75">
        <v>102663</v>
      </c>
      <c r="CW76" s="75">
        <v>80707</v>
      </c>
      <c r="CX76" s="75">
        <v>52672</v>
      </c>
      <c r="CY76" s="75">
        <v>35067</v>
      </c>
      <c r="CZ76" s="75">
        <v>52026</v>
      </c>
    </row>
    <row r="77" spans="1:104" ht="17.100000000000001">
      <c r="A77" s="70" t="s">
        <v>660</v>
      </c>
      <c r="B77" s="71">
        <v>2041</v>
      </c>
      <c r="C77" s="75">
        <v>189069720</v>
      </c>
      <c r="D77" s="75">
        <v>2193819</v>
      </c>
      <c r="E77" s="75">
        <v>2198588</v>
      </c>
      <c r="F77" s="75">
        <v>2203033</v>
      </c>
      <c r="G77" s="75">
        <v>2206226</v>
      </c>
      <c r="H77" s="75">
        <v>2208407</v>
      </c>
      <c r="I77" s="75">
        <v>2209998</v>
      </c>
      <c r="J77" s="75">
        <v>2211565</v>
      </c>
      <c r="K77" s="75">
        <v>2213601</v>
      </c>
      <c r="L77" s="75">
        <v>2216449</v>
      </c>
      <c r="M77" s="75">
        <v>2220052</v>
      </c>
      <c r="N77" s="75">
        <v>2224394</v>
      </c>
      <c r="O77" s="75">
        <v>2229041</v>
      </c>
      <c r="P77" s="75">
        <v>2233663</v>
      </c>
      <c r="Q77" s="75">
        <v>2238346</v>
      </c>
      <c r="R77" s="75">
        <v>2243498</v>
      </c>
      <c r="S77" s="75">
        <v>2249796</v>
      </c>
      <c r="T77" s="75">
        <v>2258402</v>
      </c>
      <c r="U77" s="75">
        <v>2270526</v>
      </c>
      <c r="V77" s="75">
        <v>2286364</v>
      </c>
      <c r="W77" s="75">
        <v>2304705</v>
      </c>
      <c r="X77" s="75">
        <v>2323672</v>
      </c>
      <c r="Y77" s="75">
        <v>2341589</v>
      </c>
      <c r="Z77" s="75">
        <v>2357361</v>
      </c>
      <c r="AA77" s="75">
        <v>2370660</v>
      </c>
      <c r="AB77" s="75">
        <v>2381656</v>
      </c>
      <c r="AC77" s="75">
        <v>2389970</v>
      </c>
      <c r="AD77" s="75">
        <v>2396162</v>
      </c>
      <c r="AE77" s="75">
        <v>2400413</v>
      </c>
      <c r="AF77" s="75">
        <v>2402627</v>
      </c>
      <c r="AG77" s="75">
        <v>2416565</v>
      </c>
      <c r="AH77" s="75">
        <v>2441331</v>
      </c>
      <c r="AI77" s="75">
        <v>2444026</v>
      </c>
      <c r="AJ77" s="75">
        <v>2449179</v>
      </c>
      <c r="AK77" s="75">
        <v>2518913</v>
      </c>
      <c r="AL77" s="75">
        <v>2533826</v>
      </c>
      <c r="AM77" s="75">
        <v>2519015</v>
      </c>
      <c r="AN77" s="75">
        <v>2511731</v>
      </c>
      <c r="AO77" s="75">
        <v>2513306</v>
      </c>
      <c r="AP77" s="75">
        <v>2494232</v>
      </c>
      <c r="AQ77" s="75">
        <v>2482951</v>
      </c>
      <c r="AR77" s="75">
        <v>2530999</v>
      </c>
      <c r="AS77" s="75">
        <v>2559365</v>
      </c>
      <c r="AT77" s="75">
        <v>2516344</v>
      </c>
      <c r="AU77" s="75">
        <v>2506804</v>
      </c>
      <c r="AV77" s="75">
        <v>2498325</v>
      </c>
      <c r="AW77" s="75">
        <v>2503724</v>
      </c>
      <c r="AX77" s="75">
        <v>2533344</v>
      </c>
      <c r="AY77" s="75">
        <v>2557757</v>
      </c>
      <c r="AZ77" s="75">
        <v>2570747</v>
      </c>
      <c r="BA77" s="75">
        <v>2597653</v>
      </c>
      <c r="BB77" s="75">
        <v>2602598</v>
      </c>
      <c r="BC77" s="75">
        <v>2567860</v>
      </c>
      <c r="BD77" s="75">
        <v>2451702</v>
      </c>
      <c r="BE77" s="75">
        <v>2370186</v>
      </c>
      <c r="BF77" s="75">
        <v>2307427</v>
      </c>
      <c r="BG77" s="75">
        <v>2287303</v>
      </c>
      <c r="BH77" s="75">
        <v>2270433</v>
      </c>
      <c r="BI77" s="75">
        <v>2173193</v>
      </c>
      <c r="BJ77" s="75">
        <v>2172943</v>
      </c>
      <c r="BK77" s="75">
        <v>2147382</v>
      </c>
      <c r="BL77" s="75">
        <v>2098146</v>
      </c>
      <c r="BM77" s="75">
        <v>2117672</v>
      </c>
      <c r="BN77" s="75">
        <v>1964066</v>
      </c>
      <c r="BO77" s="75">
        <v>1900950</v>
      </c>
      <c r="BP77" s="75">
        <v>1854445</v>
      </c>
      <c r="BQ77" s="75">
        <v>1779663</v>
      </c>
      <c r="BR77" s="75">
        <v>1807686</v>
      </c>
      <c r="BS77" s="75">
        <v>1722393</v>
      </c>
      <c r="BT77" s="75">
        <v>1712818</v>
      </c>
      <c r="BU77" s="75">
        <v>1760951</v>
      </c>
      <c r="BV77" s="75">
        <v>1825409</v>
      </c>
      <c r="BW77" s="75">
        <v>1819172</v>
      </c>
      <c r="BX77" s="75">
        <v>1690092</v>
      </c>
      <c r="BY77" s="75">
        <v>1615064</v>
      </c>
      <c r="BZ77" s="75">
        <v>1573774</v>
      </c>
      <c r="CA77" s="75">
        <v>1559095</v>
      </c>
      <c r="CB77" s="75">
        <v>1600402</v>
      </c>
      <c r="CC77" s="75">
        <v>1572282</v>
      </c>
      <c r="CD77" s="75">
        <v>1513136</v>
      </c>
      <c r="CE77" s="75">
        <v>1451786</v>
      </c>
      <c r="CF77" s="75">
        <v>1403143</v>
      </c>
      <c r="CG77" s="75">
        <v>1347698</v>
      </c>
      <c r="CH77" s="75">
        <v>1230044</v>
      </c>
      <c r="CI77" s="75">
        <v>1149056</v>
      </c>
      <c r="CJ77" s="75">
        <v>1058517</v>
      </c>
      <c r="CK77" s="75">
        <v>943736</v>
      </c>
      <c r="CL77" s="75">
        <v>858210</v>
      </c>
      <c r="CM77" s="75">
        <v>746023</v>
      </c>
      <c r="CN77" s="75">
        <v>645191</v>
      </c>
      <c r="CO77" s="75">
        <v>551519</v>
      </c>
      <c r="CP77" s="75">
        <v>466937</v>
      </c>
      <c r="CQ77" s="75">
        <v>393887</v>
      </c>
      <c r="CR77" s="75">
        <v>325356</v>
      </c>
      <c r="CS77" s="75">
        <v>269790</v>
      </c>
      <c r="CT77" s="75">
        <v>230684</v>
      </c>
      <c r="CU77" s="75">
        <v>136451</v>
      </c>
      <c r="CV77" s="75">
        <v>105535</v>
      </c>
      <c r="CW77" s="75">
        <v>79011</v>
      </c>
      <c r="CX77" s="75">
        <v>60635</v>
      </c>
      <c r="CY77" s="75">
        <v>38594</v>
      </c>
      <c r="CZ77" s="75">
        <v>54954</v>
      </c>
    </row>
    <row r="78" spans="1:104" ht="17.100000000000001">
      <c r="A78" s="70" t="s">
        <v>660</v>
      </c>
      <c r="B78" s="71">
        <v>2042</v>
      </c>
      <c r="C78" s="75">
        <v>190038792</v>
      </c>
      <c r="D78" s="75">
        <v>2200329</v>
      </c>
      <c r="E78" s="75">
        <v>2204748</v>
      </c>
      <c r="F78" s="75">
        <v>2208910</v>
      </c>
      <c r="G78" s="75">
        <v>2211805</v>
      </c>
      <c r="H78" s="75">
        <v>2213619</v>
      </c>
      <c r="I78" s="75">
        <v>2214890</v>
      </c>
      <c r="J78" s="75">
        <v>2216090</v>
      </c>
      <c r="K78" s="75">
        <v>2217593</v>
      </c>
      <c r="L78" s="75">
        <v>2219788</v>
      </c>
      <c r="M78" s="75">
        <v>2222681</v>
      </c>
      <c r="N78" s="75">
        <v>2226481</v>
      </c>
      <c r="O78" s="75">
        <v>2230766</v>
      </c>
      <c r="P78" s="75">
        <v>2235368</v>
      </c>
      <c r="Q78" s="75">
        <v>2240233</v>
      </c>
      <c r="R78" s="75">
        <v>2245790</v>
      </c>
      <c r="S78" s="75">
        <v>2252900</v>
      </c>
      <c r="T78" s="75">
        <v>2262465</v>
      </c>
      <c r="U78" s="75">
        <v>2275418</v>
      </c>
      <c r="V78" s="75">
        <v>2292056</v>
      </c>
      <c r="W78" s="75">
        <v>2311418</v>
      </c>
      <c r="X78" s="75">
        <v>2331861</v>
      </c>
      <c r="Y78" s="75">
        <v>2351962</v>
      </c>
      <c r="Z78" s="75">
        <v>2369988</v>
      </c>
      <c r="AA78" s="75">
        <v>2385012</v>
      </c>
      <c r="AB78" s="75">
        <v>2397163</v>
      </c>
      <c r="AC78" s="75">
        <v>2406592</v>
      </c>
      <c r="AD78" s="75">
        <v>2413352</v>
      </c>
      <c r="AE78" s="75">
        <v>2417983</v>
      </c>
      <c r="AF78" s="75">
        <v>2420800</v>
      </c>
      <c r="AG78" s="75">
        <v>2421654</v>
      </c>
      <c r="AH78" s="75">
        <v>2434147</v>
      </c>
      <c r="AI78" s="75">
        <v>2457131</v>
      </c>
      <c r="AJ78" s="75">
        <v>2458006</v>
      </c>
      <c r="AK78" s="75">
        <v>2461575</v>
      </c>
      <c r="AL78" s="75">
        <v>2530211</v>
      </c>
      <c r="AM78" s="75">
        <v>2544233</v>
      </c>
      <c r="AN78" s="75">
        <v>2528535</v>
      </c>
      <c r="AO78" s="75">
        <v>2520372</v>
      </c>
      <c r="AP78" s="75">
        <v>2521214</v>
      </c>
      <c r="AQ78" s="75">
        <v>2501395</v>
      </c>
      <c r="AR78" s="75">
        <v>2489212</v>
      </c>
      <c r="AS78" s="75">
        <v>2536049</v>
      </c>
      <c r="AT78" s="75">
        <v>2563229</v>
      </c>
      <c r="AU78" s="75">
        <v>2519370</v>
      </c>
      <c r="AV78" s="75">
        <v>2509167</v>
      </c>
      <c r="AW78" s="75">
        <v>2500065</v>
      </c>
      <c r="AX78" s="75">
        <v>2504695</v>
      </c>
      <c r="AY78" s="75">
        <v>2533288</v>
      </c>
      <c r="AZ78" s="75">
        <v>2556615</v>
      </c>
      <c r="BA78" s="75">
        <v>2568579</v>
      </c>
      <c r="BB78" s="75">
        <v>2594454</v>
      </c>
      <c r="BC78" s="75">
        <v>2598428</v>
      </c>
      <c r="BD78" s="75">
        <v>2562829</v>
      </c>
      <c r="BE78" s="75">
        <v>2446095</v>
      </c>
      <c r="BF78" s="75">
        <v>2363807</v>
      </c>
      <c r="BG78" s="75">
        <v>2300371</v>
      </c>
      <c r="BH78" s="75">
        <v>2279295</v>
      </c>
      <c r="BI78" s="75">
        <v>2261438</v>
      </c>
      <c r="BJ78" s="75">
        <v>2163681</v>
      </c>
      <c r="BK78" s="75">
        <v>2162357</v>
      </c>
      <c r="BL78" s="75">
        <v>2136003</v>
      </c>
      <c r="BM78" s="75">
        <v>2086093</v>
      </c>
      <c r="BN78" s="75">
        <v>2104302</v>
      </c>
      <c r="BO78" s="75">
        <v>1950648</v>
      </c>
      <c r="BP78" s="75">
        <v>1886688</v>
      </c>
      <c r="BQ78" s="75">
        <v>1838962</v>
      </c>
      <c r="BR78" s="75">
        <v>1763090</v>
      </c>
      <c r="BS78" s="75">
        <v>1788771</v>
      </c>
      <c r="BT78" s="75">
        <v>1702392</v>
      </c>
      <c r="BU78" s="75">
        <v>1690709</v>
      </c>
      <c r="BV78" s="75">
        <v>1735697</v>
      </c>
      <c r="BW78" s="75">
        <v>1796335</v>
      </c>
      <c r="BX78" s="75">
        <v>1786943</v>
      </c>
      <c r="BY78" s="75">
        <v>1656895</v>
      </c>
      <c r="BZ78" s="75">
        <v>1579709</v>
      </c>
      <c r="CA78" s="75">
        <v>1535552</v>
      </c>
      <c r="CB78" s="75">
        <v>1516973</v>
      </c>
      <c r="CC78" s="75">
        <v>1552175</v>
      </c>
      <c r="CD78" s="75">
        <v>1519462</v>
      </c>
      <c r="CE78" s="75">
        <v>1456361</v>
      </c>
      <c r="CF78" s="75">
        <v>1390652</v>
      </c>
      <c r="CG78" s="75">
        <v>1336926</v>
      </c>
      <c r="CH78" s="75">
        <v>1276770</v>
      </c>
      <c r="CI78" s="75">
        <v>1157894</v>
      </c>
      <c r="CJ78" s="75">
        <v>1073870</v>
      </c>
      <c r="CK78" s="75">
        <v>981273</v>
      </c>
      <c r="CL78" s="75">
        <v>867037</v>
      </c>
      <c r="CM78" s="75">
        <v>780721</v>
      </c>
      <c r="CN78" s="75">
        <v>671353</v>
      </c>
      <c r="CO78" s="75">
        <v>573724</v>
      </c>
      <c r="CP78" s="75">
        <v>484005</v>
      </c>
      <c r="CQ78" s="75">
        <v>403911</v>
      </c>
      <c r="CR78" s="75">
        <v>335396</v>
      </c>
      <c r="CS78" s="75">
        <v>272331</v>
      </c>
      <c r="CT78" s="75">
        <v>221693</v>
      </c>
      <c r="CU78" s="75">
        <v>185801</v>
      </c>
      <c r="CV78" s="75">
        <v>107596</v>
      </c>
      <c r="CW78" s="75">
        <v>81357</v>
      </c>
      <c r="CX78" s="75">
        <v>59463</v>
      </c>
      <c r="CY78" s="75">
        <v>44494</v>
      </c>
      <c r="CZ78" s="75">
        <v>59207</v>
      </c>
    </row>
    <row r="79" spans="1:104" ht="17.100000000000001">
      <c r="A79" s="70" t="s">
        <v>660</v>
      </c>
      <c r="B79" s="71">
        <v>2043</v>
      </c>
      <c r="C79" s="75">
        <v>191001980</v>
      </c>
      <c r="D79" s="75">
        <v>2207198</v>
      </c>
      <c r="E79" s="75">
        <v>2211331</v>
      </c>
      <c r="F79" s="75">
        <v>2215134</v>
      </c>
      <c r="G79" s="75">
        <v>2217726</v>
      </c>
      <c r="H79" s="75">
        <v>2219242</v>
      </c>
      <c r="I79" s="75">
        <v>2220138</v>
      </c>
      <c r="J79" s="75">
        <v>2221015</v>
      </c>
      <c r="K79" s="75">
        <v>2222148</v>
      </c>
      <c r="L79" s="75">
        <v>2223812</v>
      </c>
      <c r="M79" s="75">
        <v>2226054</v>
      </c>
      <c r="N79" s="75">
        <v>2229136</v>
      </c>
      <c r="O79" s="75">
        <v>2232875</v>
      </c>
      <c r="P79" s="75">
        <v>2237122</v>
      </c>
      <c r="Q79" s="75">
        <v>2241968</v>
      </c>
      <c r="R79" s="75">
        <v>2247719</v>
      </c>
      <c r="S79" s="75">
        <v>2255250</v>
      </c>
      <c r="T79" s="75">
        <v>2265637</v>
      </c>
      <c r="U79" s="75">
        <v>2279560</v>
      </c>
      <c r="V79" s="75">
        <v>2297048</v>
      </c>
      <c r="W79" s="75">
        <v>2317233</v>
      </c>
      <c r="X79" s="75">
        <v>2338712</v>
      </c>
      <c r="Y79" s="75">
        <v>2360305</v>
      </c>
      <c r="Z79" s="75">
        <v>2380512</v>
      </c>
      <c r="AA79" s="75">
        <v>2397805</v>
      </c>
      <c r="AB79" s="75">
        <v>2411682</v>
      </c>
      <c r="AC79" s="75">
        <v>2422250</v>
      </c>
      <c r="AD79" s="75">
        <v>2430128</v>
      </c>
      <c r="AE79" s="75">
        <v>2435300</v>
      </c>
      <c r="AF79" s="75">
        <v>2438489</v>
      </c>
      <c r="AG79" s="75">
        <v>2439948</v>
      </c>
      <c r="AH79" s="75">
        <v>2439352</v>
      </c>
      <c r="AI79" s="75">
        <v>2450068</v>
      </c>
      <c r="AJ79" s="75">
        <v>2471207</v>
      </c>
      <c r="AK79" s="75">
        <v>2470504</v>
      </c>
      <c r="AL79" s="75">
        <v>2473008</v>
      </c>
      <c r="AM79" s="75">
        <v>2540729</v>
      </c>
      <c r="AN79" s="75">
        <v>2553828</v>
      </c>
      <c r="AO79" s="75">
        <v>2537273</v>
      </c>
      <c r="AP79" s="75">
        <v>2528377</v>
      </c>
      <c r="AQ79" s="75">
        <v>2528481</v>
      </c>
      <c r="AR79" s="75">
        <v>2507736</v>
      </c>
      <c r="AS79" s="75">
        <v>2494412</v>
      </c>
      <c r="AT79" s="75">
        <v>2540079</v>
      </c>
      <c r="AU79" s="75">
        <v>2566310</v>
      </c>
      <c r="AV79" s="75">
        <v>2521839</v>
      </c>
      <c r="AW79" s="75">
        <v>2511016</v>
      </c>
      <c r="AX79" s="75">
        <v>2501171</v>
      </c>
      <c r="AY79" s="75">
        <v>2504856</v>
      </c>
      <c r="AZ79" s="75">
        <v>2532331</v>
      </c>
      <c r="BA79" s="75">
        <v>2554653</v>
      </c>
      <c r="BB79" s="75">
        <v>2565668</v>
      </c>
      <c r="BC79" s="75">
        <v>2590474</v>
      </c>
      <c r="BD79" s="75">
        <v>2593511</v>
      </c>
      <c r="BE79" s="75">
        <v>2557057</v>
      </c>
      <c r="BF79" s="75">
        <v>2439702</v>
      </c>
      <c r="BG79" s="75">
        <v>2356712</v>
      </c>
      <c r="BH79" s="75">
        <v>2292537</v>
      </c>
      <c r="BI79" s="75">
        <v>2270520</v>
      </c>
      <c r="BJ79" s="75">
        <v>2251664</v>
      </c>
      <c r="BK79" s="75">
        <v>2153458</v>
      </c>
      <c r="BL79" s="75">
        <v>2151078</v>
      </c>
      <c r="BM79" s="75">
        <v>2124012</v>
      </c>
      <c r="BN79" s="75">
        <v>2073354</v>
      </c>
      <c r="BO79" s="75">
        <v>2090069</v>
      </c>
      <c r="BP79" s="75">
        <v>1936271</v>
      </c>
      <c r="BQ79" s="75">
        <v>1871204</v>
      </c>
      <c r="BR79" s="75">
        <v>1822079</v>
      </c>
      <c r="BS79" s="75">
        <v>1745026</v>
      </c>
      <c r="BT79" s="75">
        <v>1768218</v>
      </c>
      <c r="BU79" s="75">
        <v>1680812</v>
      </c>
      <c r="BV79" s="75">
        <v>1666843</v>
      </c>
      <c r="BW79" s="75">
        <v>1708456</v>
      </c>
      <c r="BX79" s="75">
        <v>1764940</v>
      </c>
      <c r="BY79" s="75">
        <v>1752142</v>
      </c>
      <c r="BZ79" s="75">
        <v>1621094</v>
      </c>
      <c r="CA79" s="75">
        <v>1541736</v>
      </c>
      <c r="CB79" s="75">
        <v>1494574</v>
      </c>
      <c r="CC79" s="75">
        <v>1471760</v>
      </c>
      <c r="CD79" s="75">
        <v>1500504</v>
      </c>
      <c r="CE79" s="75">
        <v>1462977</v>
      </c>
      <c r="CF79" s="75">
        <v>1395539</v>
      </c>
      <c r="CG79" s="75">
        <v>1325563</v>
      </c>
      <c r="CH79" s="75">
        <v>1267199</v>
      </c>
      <c r="CI79" s="75">
        <v>1202431</v>
      </c>
      <c r="CJ79" s="75">
        <v>1082697</v>
      </c>
      <c r="CK79" s="75">
        <v>996128</v>
      </c>
      <c r="CL79" s="75">
        <v>902134</v>
      </c>
      <c r="CM79" s="75">
        <v>789344</v>
      </c>
      <c r="CN79" s="75">
        <v>703129</v>
      </c>
      <c r="CO79" s="75">
        <v>597502</v>
      </c>
      <c r="CP79" s="75">
        <v>503982</v>
      </c>
      <c r="CQ79" s="75">
        <v>419098</v>
      </c>
      <c r="CR79" s="75">
        <v>344324</v>
      </c>
      <c r="CS79" s="75">
        <v>281082</v>
      </c>
      <c r="CT79" s="75">
        <v>224079</v>
      </c>
      <c r="CU79" s="75">
        <v>178829</v>
      </c>
      <c r="CV79" s="75">
        <v>146701</v>
      </c>
      <c r="CW79" s="75">
        <v>83076</v>
      </c>
      <c r="CX79" s="75">
        <v>61333</v>
      </c>
      <c r="CY79" s="75">
        <v>43711</v>
      </c>
      <c r="CZ79" s="75">
        <v>65940</v>
      </c>
    </row>
    <row r="80" spans="1:104" ht="17.100000000000001">
      <c r="A80" s="70" t="s">
        <v>660</v>
      </c>
      <c r="B80" s="71">
        <v>2044</v>
      </c>
      <c r="C80" s="75">
        <v>191961335</v>
      </c>
      <c r="D80" s="75">
        <v>2214423</v>
      </c>
      <c r="E80" s="75">
        <v>2218267</v>
      </c>
      <c r="F80" s="75">
        <v>2221775</v>
      </c>
      <c r="G80" s="75">
        <v>2224000</v>
      </c>
      <c r="H80" s="75">
        <v>2225212</v>
      </c>
      <c r="I80" s="75">
        <v>2225798</v>
      </c>
      <c r="J80" s="75">
        <v>2226293</v>
      </c>
      <c r="K80" s="75">
        <v>2227102</v>
      </c>
      <c r="L80" s="75">
        <v>2228391</v>
      </c>
      <c r="M80" s="75">
        <v>2230104</v>
      </c>
      <c r="N80" s="75">
        <v>2232535</v>
      </c>
      <c r="O80" s="75">
        <v>2235552</v>
      </c>
      <c r="P80" s="75">
        <v>2239257</v>
      </c>
      <c r="Q80" s="75">
        <v>2243749</v>
      </c>
      <c r="R80" s="75">
        <v>2249480</v>
      </c>
      <c r="S80" s="75">
        <v>2257212</v>
      </c>
      <c r="T80" s="75">
        <v>2268038</v>
      </c>
      <c r="U80" s="75">
        <v>2282816</v>
      </c>
      <c r="V80" s="75">
        <v>2301301</v>
      </c>
      <c r="W80" s="75">
        <v>2322353</v>
      </c>
      <c r="X80" s="75">
        <v>2344683</v>
      </c>
      <c r="Y80" s="75">
        <v>2367312</v>
      </c>
      <c r="Z80" s="75">
        <v>2389001</v>
      </c>
      <c r="AA80" s="75">
        <v>2408465</v>
      </c>
      <c r="AB80" s="75">
        <v>2424621</v>
      </c>
      <c r="AC80" s="75">
        <v>2436916</v>
      </c>
      <c r="AD80" s="75">
        <v>2445928</v>
      </c>
      <c r="AE80" s="75">
        <v>2452211</v>
      </c>
      <c r="AF80" s="75">
        <v>2455936</v>
      </c>
      <c r="AG80" s="75">
        <v>2457755</v>
      </c>
      <c r="AH80" s="75">
        <v>2457769</v>
      </c>
      <c r="AI80" s="75">
        <v>2455380</v>
      </c>
      <c r="AJ80" s="75">
        <v>2464249</v>
      </c>
      <c r="AK80" s="75">
        <v>2483774</v>
      </c>
      <c r="AL80" s="75">
        <v>2482026</v>
      </c>
      <c r="AM80" s="75">
        <v>2483650</v>
      </c>
      <c r="AN80" s="75">
        <v>2550409</v>
      </c>
      <c r="AO80" s="75">
        <v>2562628</v>
      </c>
      <c r="AP80" s="75">
        <v>2545377</v>
      </c>
      <c r="AQ80" s="75">
        <v>2535737</v>
      </c>
      <c r="AR80" s="75">
        <v>2534921</v>
      </c>
      <c r="AS80" s="75">
        <v>2513020</v>
      </c>
      <c r="AT80" s="75">
        <v>2498591</v>
      </c>
      <c r="AU80" s="75">
        <v>2543321</v>
      </c>
      <c r="AV80" s="75">
        <v>2568851</v>
      </c>
      <c r="AW80" s="75">
        <v>2523796</v>
      </c>
      <c r="AX80" s="75">
        <v>2512233</v>
      </c>
      <c r="AY80" s="75">
        <v>2501476</v>
      </c>
      <c r="AZ80" s="75">
        <v>2504125</v>
      </c>
      <c r="BA80" s="75">
        <v>2530568</v>
      </c>
      <c r="BB80" s="75">
        <v>2551938</v>
      </c>
      <c r="BC80" s="75">
        <v>2561997</v>
      </c>
      <c r="BD80" s="75">
        <v>2585776</v>
      </c>
      <c r="BE80" s="75">
        <v>2587861</v>
      </c>
      <c r="BF80" s="75">
        <v>2550483</v>
      </c>
      <c r="BG80" s="75">
        <v>2432583</v>
      </c>
      <c r="BH80" s="75">
        <v>2348831</v>
      </c>
      <c r="BI80" s="75">
        <v>2283930</v>
      </c>
      <c r="BJ80" s="75">
        <v>2260970</v>
      </c>
      <c r="BK80" s="75">
        <v>2241161</v>
      </c>
      <c r="BL80" s="75">
        <v>2142562</v>
      </c>
      <c r="BM80" s="75">
        <v>2139205</v>
      </c>
      <c r="BN80" s="75">
        <v>2111319</v>
      </c>
      <c r="BO80" s="75">
        <v>2059758</v>
      </c>
      <c r="BP80" s="75">
        <v>2074804</v>
      </c>
      <c r="BQ80" s="75">
        <v>1920643</v>
      </c>
      <c r="BR80" s="75">
        <v>1854302</v>
      </c>
      <c r="BS80" s="75">
        <v>1803665</v>
      </c>
      <c r="BT80" s="75">
        <v>1725366</v>
      </c>
      <c r="BU80" s="75">
        <v>1746046</v>
      </c>
      <c r="BV80" s="75">
        <v>1657479</v>
      </c>
      <c r="BW80" s="75">
        <v>1641072</v>
      </c>
      <c r="BX80" s="75">
        <v>1679020</v>
      </c>
      <c r="BY80" s="75">
        <v>1731019</v>
      </c>
      <c r="BZ80" s="75">
        <v>1714625</v>
      </c>
      <c r="CA80" s="75">
        <v>1582621</v>
      </c>
      <c r="CB80" s="75">
        <v>1500991</v>
      </c>
      <c r="CC80" s="75">
        <v>1450552</v>
      </c>
      <c r="CD80" s="75">
        <v>1423284</v>
      </c>
      <c r="CE80" s="75">
        <v>1445210</v>
      </c>
      <c r="CF80" s="75">
        <v>1402414</v>
      </c>
      <c r="CG80" s="75">
        <v>1330725</v>
      </c>
      <c r="CH80" s="75">
        <v>1256973</v>
      </c>
      <c r="CI80" s="75">
        <v>1194065</v>
      </c>
      <c r="CJ80" s="75">
        <v>1124935</v>
      </c>
      <c r="CK80" s="75">
        <v>1004893</v>
      </c>
      <c r="CL80" s="75">
        <v>916409</v>
      </c>
      <c r="CM80" s="75">
        <v>821900</v>
      </c>
      <c r="CN80" s="75">
        <v>711472</v>
      </c>
      <c r="CO80" s="75">
        <v>626316</v>
      </c>
      <c r="CP80" s="75">
        <v>525355</v>
      </c>
      <c r="CQ80" s="75">
        <v>436856</v>
      </c>
      <c r="CR80" s="75">
        <v>357665</v>
      </c>
      <c r="CS80" s="75">
        <v>288922</v>
      </c>
      <c r="CT80" s="75">
        <v>231577</v>
      </c>
      <c r="CU80" s="75">
        <v>181016</v>
      </c>
      <c r="CV80" s="75">
        <v>141439</v>
      </c>
      <c r="CW80" s="75">
        <v>113425</v>
      </c>
      <c r="CX80" s="75">
        <v>62721</v>
      </c>
      <c r="CY80" s="75">
        <v>45168</v>
      </c>
      <c r="CZ80" s="75">
        <v>69629</v>
      </c>
    </row>
    <row r="81" spans="1:104" ht="17.100000000000001">
      <c r="A81" s="70" t="s">
        <v>660</v>
      </c>
      <c r="B81" s="71">
        <v>2045</v>
      </c>
      <c r="C81" s="75">
        <v>192918554</v>
      </c>
      <c r="D81" s="75">
        <v>2221943</v>
      </c>
      <c r="E81" s="75">
        <v>2225563</v>
      </c>
      <c r="F81" s="75">
        <v>2228766</v>
      </c>
      <c r="G81" s="75">
        <v>2230681</v>
      </c>
      <c r="H81" s="75">
        <v>2231522</v>
      </c>
      <c r="I81" s="75">
        <v>2231804</v>
      </c>
      <c r="J81" s="75">
        <v>2231976</v>
      </c>
      <c r="K81" s="75">
        <v>2232413</v>
      </c>
      <c r="L81" s="75">
        <v>2233369</v>
      </c>
      <c r="M81" s="75">
        <v>2234707</v>
      </c>
      <c r="N81" s="75">
        <v>2236610</v>
      </c>
      <c r="O81" s="75">
        <v>2238979</v>
      </c>
      <c r="P81" s="75">
        <v>2241960</v>
      </c>
      <c r="Q81" s="75">
        <v>2245908</v>
      </c>
      <c r="R81" s="75">
        <v>2251281</v>
      </c>
      <c r="S81" s="75">
        <v>2259018</v>
      </c>
      <c r="T81" s="75">
        <v>2270057</v>
      </c>
      <c r="U81" s="75">
        <v>2285296</v>
      </c>
      <c r="V81" s="75">
        <v>2304663</v>
      </c>
      <c r="W81" s="75">
        <v>2326723</v>
      </c>
      <c r="X81" s="75">
        <v>2349927</v>
      </c>
      <c r="Y81" s="75">
        <v>2373421</v>
      </c>
      <c r="Z81" s="75">
        <v>2396159</v>
      </c>
      <c r="AA81" s="75">
        <v>2417124</v>
      </c>
      <c r="AB81" s="75">
        <v>2435434</v>
      </c>
      <c r="AC81" s="75">
        <v>2450000</v>
      </c>
      <c r="AD81" s="75">
        <v>2460715</v>
      </c>
      <c r="AE81" s="75">
        <v>2468138</v>
      </c>
      <c r="AF81" s="75">
        <v>2472966</v>
      </c>
      <c r="AG81" s="75">
        <v>2475309</v>
      </c>
      <c r="AH81" s="75">
        <v>2475686</v>
      </c>
      <c r="AI81" s="75">
        <v>2473904</v>
      </c>
      <c r="AJ81" s="75">
        <v>2469641</v>
      </c>
      <c r="AK81" s="75">
        <v>2476906</v>
      </c>
      <c r="AL81" s="75">
        <v>2495364</v>
      </c>
      <c r="AM81" s="75">
        <v>2492754</v>
      </c>
      <c r="AN81" s="75">
        <v>2493466</v>
      </c>
      <c r="AO81" s="75">
        <v>2559315</v>
      </c>
      <c r="AP81" s="75">
        <v>2570792</v>
      </c>
      <c r="AQ81" s="75">
        <v>2552822</v>
      </c>
      <c r="AR81" s="75">
        <v>2542269</v>
      </c>
      <c r="AS81" s="75">
        <v>2540301</v>
      </c>
      <c r="AT81" s="75">
        <v>2517269</v>
      </c>
      <c r="AU81" s="75">
        <v>2501996</v>
      </c>
      <c r="AV81" s="75">
        <v>2546011</v>
      </c>
      <c r="AW81" s="75">
        <v>2570865</v>
      </c>
      <c r="AX81" s="75">
        <v>2525138</v>
      </c>
      <c r="AY81" s="75">
        <v>2512646</v>
      </c>
      <c r="AZ81" s="75">
        <v>2500895</v>
      </c>
      <c r="BA81" s="75">
        <v>2502586</v>
      </c>
      <c r="BB81" s="75">
        <v>2528061</v>
      </c>
      <c r="BC81" s="75">
        <v>2548472</v>
      </c>
      <c r="BD81" s="75">
        <v>2557598</v>
      </c>
      <c r="BE81" s="75">
        <v>2580334</v>
      </c>
      <c r="BF81" s="75">
        <v>2581397</v>
      </c>
      <c r="BG81" s="75">
        <v>2543148</v>
      </c>
      <c r="BH81" s="75">
        <v>2424656</v>
      </c>
      <c r="BI81" s="75">
        <v>2340167</v>
      </c>
      <c r="BJ81" s="75">
        <v>2274548</v>
      </c>
      <c r="BK81" s="75">
        <v>2250710</v>
      </c>
      <c r="BL81" s="75">
        <v>2229961</v>
      </c>
      <c r="BM81" s="75">
        <v>2131062</v>
      </c>
      <c r="BN81" s="75">
        <v>2126624</v>
      </c>
      <c r="BO81" s="75">
        <v>2097753</v>
      </c>
      <c r="BP81" s="75">
        <v>2045163</v>
      </c>
      <c r="BQ81" s="75">
        <v>2058229</v>
      </c>
      <c r="BR81" s="75">
        <v>1903579</v>
      </c>
      <c r="BS81" s="75">
        <v>1835857</v>
      </c>
      <c r="BT81" s="75">
        <v>1783615</v>
      </c>
      <c r="BU81" s="75">
        <v>1704124</v>
      </c>
      <c r="BV81" s="75">
        <v>1722062</v>
      </c>
      <c r="BW81" s="75">
        <v>1632267</v>
      </c>
      <c r="BX81" s="75">
        <v>1613193</v>
      </c>
      <c r="BY81" s="75">
        <v>1647163</v>
      </c>
      <c r="BZ81" s="75">
        <v>1694406</v>
      </c>
      <c r="CA81" s="75">
        <v>1674290</v>
      </c>
      <c r="CB81" s="75">
        <v>1541299</v>
      </c>
      <c r="CC81" s="75">
        <v>1457202</v>
      </c>
      <c r="CD81" s="75">
        <v>1403288</v>
      </c>
      <c r="CE81" s="75">
        <v>1371346</v>
      </c>
      <c r="CF81" s="75">
        <v>1385861</v>
      </c>
      <c r="CG81" s="75">
        <v>1337807</v>
      </c>
      <c r="CH81" s="75">
        <v>1262396</v>
      </c>
      <c r="CI81" s="75">
        <v>1184992</v>
      </c>
      <c r="CJ81" s="75">
        <v>1117763</v>
      </c>
      <c r="CK81" s="75">
        <v>1044688</v>
      </c>
      <c r="CL81" s="75">
        <v>925056</v>
      </c>
      <c r="CM81" s="75">
        <v>835515</v>
      </c>
      <c r="CN81" s="75">
        <v>741393</v>
      </c>
      <c r="CO81" s="75">
        <v>634295</v>
      </c>
      <c r="CP81" s="75">
        <v>551199</v>
      </c>
      <c r="CQ81" s="75">
        <v>455833</v>
      </c>
      <c r="CR81" s="75">
        <v>373230</v>
      </c>
      <c r="CS81" s="75">
        <v>300463</v>
      </c>
      <c r="CT81" s="75">
        <v>238346</v>
      </c>
      <c r="CU81" s="75">
        <v>187335</v>
      </c>
      <c r="CV81" s="75">
        <v>143378</v>
      </c>
      <c r="CW81" s="75">
        <v>109530</v>
      </c>
      <c r="CX81" s="75">
        <v>85750</v>
      </c>
      <c r="CY81" s="75">
        <v>46264</v>
      </c>
      <c r="CZ81" s="75">
        <v>72828</v>
      </c>
    </row>
    <row r="82" spans="1:104" ht="17.100000000000001">
      <c r="A82" s="70" t="s">
        <v>660</v>
      </c>
      <c r="B82" s="71">
        <v>2046</v>
      </c>
      <c r="C82" s="75">
        <v>193875634</v>
      </c>
      <c r="D82" s="75">
        <v>2229646</v>
      </c>
      <c r="E82" s="75">
        <v>2233131</v>
      </c>
      <c r="F82" s="75">
        <v>2236107</v>
      </c>
      <c r="G82" s="75">
        <v>2237724</v>
      </c>
      <c r="H82" s="75">
        <v>2238245</v>
      </c>
      <c r="I82" s="75">
        <v>2238156</v>
      </c>
      <c r="J82" s="75">
        <v>2238023</v>
      </c>
      <c r="K82" s="75">
        <v>2238117</v>
      </c>
      <c r="L82" s="75">
        <v>2238702</v>
      </c>
      <c r="M82" s="75">
        <v>2239706</v>
      </c>
      <c r="N82" s="75">
        <v>2241236</v>
      </c>
      <c r="O82" s="75">
        <v>2243073</v>
      </c>
      <c r="P82" s="75">
        <v>2245403</v>
      </c>
      <c r="Q82" s="75">
        <v>2248644</v>
      </c>
      <c r="R82" s="75">
        <v>2253482</v>
      </c>
      <c r="S82" s="75">
        <v>2260862</v>
      </c>
      <c r="T82" s="75">
        <v>2271917</v>
      </c>
      <c r="U82" s="75">
        <v>2287390</v>
      </c>
      <c r="V82" s="75">
        <v>2307232</v>
      </c>
      <c r="W82" s="75">
        <v>2330194</v>
      </c>
      <c r="X82" s="75">
        <v>2354414</v>
      </c>
      <c r="Y82" s="75">
        <v>2378806</v>
      </c>
      <c r="Z82" s="75">
        <v>2402420</v>
      </c>
      <c r="AA82" s="75">
        <v>2424416</v>
      </c>
      <c r="AB82" s="75">
        <v>2444224</v>
      </c>
      <c r="AC82" s="75">
        <v>2460949</v>
      </c>
      <c r="AD82" s="75">
        <v>2473932</v>
      </c>
      <c r="AE82" s="75">
        <v>2483045</v>
      </c>
      <c r="AF82" s="75">
        <v>2489011</v>
      </c>
      <c r="AG82" s="75">
        <v>2492456</v>
      </c>
      <c r="AH82" s="75">
        <v>2493336</v>
      </c>
      <c r="AI82" s="75">
        <v>2491918</v>
      </c>
      <c r="AJ82" s="75">
        <v>2488263</v>
      </c>
      <c r="AK82" s="75">
        <v>2482379</v>
      </c>
      <c r="AL82" s="75">
        <v>2488591</v>
      </c>
      <c r="AM82" s="75">
        <v>2506155</v>
      </c>
      <c r="AN82" s="75">
        <v>2502644</v>
      </c>
      <c r="AO82" s="75">
        <v>2502497</v>
      </c>
      <c r="AP82" s="75">
        <v>2567569</v>
      </c>
      <c r="AQ82" s="75">
        <v>2578302</v>
      </c>
      <c r="AR82" s="75">
        <v>2559434</v>
      </c>
      <c r="AS82" s="75">
        <v>2547748</v>
      </c>
      <c r="AT82" s="75">
        <v>2544651</v>
      </c>
      <c r="AU82" s="75">
        <v>2520762</v>
      </c>
      <c r="AV82" s="75">
        <v>2504862</v>
      </c>
      <c r="AW82" s="75">
        <v>2548205</v>
      </c>
      <c r="AX82" s="75">
        <v>2572257</v>
      </c>
      <c r="AY82" s="75">
        <v>2525663</v>
      </c>
      <c r="AZ82" s="75">
        <v>2512169</v>
      </c>
      <c r="BA82" s="75">
        <v>2499509</v>
      </c>
      <c r="BB82" s="75">
        <v>2500328</v>
      </c>
      <c r="BC82" s="75">
        <v>2524812</v>
      </c>
      <c r="BD82" s="75">
        <v>2544287</v>
      </c>
      <c r="BE82" s="75">
        <v>2552482</v>
      </c>
      <c r="BF82" s="75">
        <v>2574081</v>
      </c>
      <c r="BG82" s="75">
        <v>2574173</v>
      </c>
      <c r="BH82" s="75">
        <v>2534984</v>
      </c>
      <c r="BI82" s="75">
        <v>2415921</v>
      </c>
      <c r="BJ82" s="75">
        <v>2330708</v>
      </c>
      <c r="BK82" s="75">
        <v>2264452</v>
      </c>
      <c r="BL82" s="75">
        <v>2239767</v>
      </c>
      <c r="BM82" s="75">
        <v>2218146</v>
      </c>
      <c r="BN82" s="75">
        <v>2118881</v>
      </c>
      <c r="BO82" s="75">
        <v>2113170</v>
      </c>
      <c r="BP82" s="75">
        <v>2083164</v>
      </c>
      <c r="BQ82" s="75">
        <v>2029260</v>
      </c>
      <c r="BR82" s="75">
        <v>2040119</v>
      </c>
      <c r="BS82" s="75">
        <v>1884933</v>
      </c>
      <c r="BT82" s="75">
        <v>1815759</v>
      </c>
      <c r="BU82" s="75">
        <v>1761933</v>
      </c>
      <c r="BV82" s="75">
        <v>1681119</v>
      </c>
      <c r="BW82" s="75">
        <v>1696125</v>
      </c>
      <c r="BX82" s="75">
        <v>1604948</v>
      </c>
      <c r="BY82" s="75">
        <v>1582980</v>
      </c>
      <c r="BZ82" s="75">
        <v>1612739</v>
      </c>
      <c r="CA82" s="75">
        <v>1655014</v>
      </c>
      <c r="CB82" s="75">
        <v>1630960</v>
      </c>
      <c r="CC82" s="75">
        <v>1496860</v>
      </c>
      <c r="CD82" s="75">
        <v>1410157</v>
      </c>
      <c r="CE82" s="75">
        <v>1352608</v>
      </c>
      <c r="CF82" s="75">
        <v>1315540</v>
      </c>
      <c r="CG82" s="75">
        <v>1322520</v>
      </c>
      <c r="CH82" s="75">
        <v>1269663</v>
      </c>
      <c r="CI82" s="75">
        <v>1190654</v>
      </c>
      <c r="CJ82" s="75">
        <v>1109861</v>
      </c>
      <c r="CK82" s="75">
        <v>1038683</v>
      </c>
      <c r="CL82" s="75">
        <v>962294</v>
      </c>
      <c r="CM82" s="75">
        <v>843980</v>
      </c>
      <c r="CN82" s="75">
        <v>754278</v>
      </c>
      <c r="CO82" s="75">
        <v>661549</v>
      </c>
      <c r="CP82" s="75">
        <v>558756</v>
      </c>
      <c r="CQ82" s="75">
        <v>478748</v>
      </c>
      <c r="CR82" s="75">
        <v>389871</v>
      </c>
      <c r="CS82" s="75">
        <v>313917</v>
      </c>
      <c r="CT82" s="75">
        <v>248175</v>
      </c>
      <c r="CU82" s="75">
        <v>193070</v>
      </c>
      <c r="CV82" s="75">
        <v>148612</v>
      </c>
      <c r="CW82" s="75">
        <v>111216</v>
      </c>
      <c r="CX82" s="75">
        <v>82959</v>
      </c>
      <c r="CY82" s="75">
        <v>63326</v>
      </c>
      <c r="CZ82" s="75">
        <v>75515</v>
      </c>
    </row>
    <row r="83" spans="1:104" ht="17.100000000000001">
      <c r="A83" s="70" t="s">
        <v>660</v>
      </c>
      <c r="B83" s="71">
        <v>2047</v>
      </c>
      <c r="C83" s="75">
        <v>194833659</v>
      </c>
      <c r="D83" s="75">
        <v>2237438</v>
      </c>
      <c r="E83" s="75">
        <v>2240900</v>
      </c>
      <c r="F83" s="75">
        <v>2243725</v>
      </c>
      <c r="G83" s="75">
        <v>2245108</v>
      </c>
      <c r="H83" s="75">
        <v>2245327</v>
      </c>
      <c r="I83" s="75">
        <v>2244905</v>
      </c>
      <c r="J83" s="75">
        <v>2244404</v>
      </c>
      <c r="K83" s="75">
        <v>2244190</v>
      </c>
      <c r="L83" s="75">
        <v>2244432</v>
      </c>
      <c r="M83" s="75">
        <v>2245065</v>
      </c>
      <c r="N83" s="75">
        <v>2246252</v>
      </c>
      <c r="O83" s="75">
        <v>2247723</v>
      </c>
      <c r="P83" s="75">
        <v>2249524</v>
      </c>
      <c r="Q83" s="75">
        <v>2252102</v>
      </c>
      <c r="R83" s="75">
        <v>2256245</v>
      </c>
      <c r="S83" s="75">
        <v>2263100</v>
      </c>
      <c r="T83" s="75">
        <v>2273809</v>
      </c>
      <c r="U83" s="75">
        <v>2289313</v>
      </c>
      <c r="V83" s="75">
        <v>2309406</v>
      </c>
      <c r="W83" s="75">
        <v>2332847</v>
      </c>
      <c r="X83" s="75">
        <v>2358000</v>
      </c>
      <c r="Y83" s="75">
        <v>2383418</v>
      </c>
      <c r="Z83" s="75">
        <v>2407932</v>
      </c>
      <c r="AA83" s="75">
        <v>2430809</v>
      </c>
      <c r="AB83" s="75">
        <v>2451656</v>
      </c>
      <c r="AC83" s="75">
        <v>2469866</v>
      </c>
      <c r="AD83" s="75">
        <v>2485004</v>
      </c>
      <c r="AE83" s="75">
        <v>2496382</v>
      </c>
      <c r="AF83" s="75">
        <v>2504034</v>
      </c>
      <c r="AG83" s="75">
        <v>2508610</v>
      </c>
      <c r="AH83" s="75">
        <v>2510595</v>
      </c>
      <c r="AI83" s="75">
        <v>2509667</v>
      </c>
      <c r="AJ83" s="75">
        <v>2506353</v>
      </c>
      <c r="AK83" s="75">
        <v>2501084</v>
      </c>
      <c r="AL83" s="75">
        <v>2494127</v>
      </c>
      <c r="AM83" s="75">
        <v>2499459</v>
      </c>
      <c r="AN83" s="75">
        <v>2516111</v>
      </c>
      <c r="AO83" s="75">
        <v>2511725</v>
      </c>
      <c r="AP83" s="75">
        <v>2510877</v>
      </c>
      <c r="AQ83" s="75">
        <v>2575158</v>
      </c>
      <c r="AR83" s="75">
        <v>2584976</v>
      </c>
      <c r="AS83" s="75">
        <v>2564976</v>
      </c>
      <c r="AT83" s="75">
        <v>2552190</v>
      </c>
      <c r="AU83" s="75">
        <v>2548234</v>
      </c>
      <c r="AV83" s="75">
        <v>2523713</v>
      </c>
      <c r="AW83" s="75">
        <v>2507228</v>
      </c>
      <c r="AX83" s="75">
        <v>2549773</v>
      </c>
      <c r="AY83" s="75">
        <v>2572827</v>
      </c>
      <c r="AZ83" s="75">
        <v>2525305</v>
      </c>
      <c r="BA83" s="75">
        <v>2510898</v>
      </c>
      <c r="BB83" s="75">
        <v>2497419</v>
      </c>
      <c r="BC83" s="75">
        <v>2497344</v>
      </c>
      <c r="BD83" s="75">
        <v>2520873</v>
      </c>
      <c r="BE83" s="75">
        <v>2539403</v>
      </c>
      <c r="BF83" s="75">
        <v>2546576</v>
      </c>
      <c r="BG83" s="75">
        <v>2567096</v>
      </c>
      <c r="BH83" s="75">
        <v>2566133</v>
      </c>
      <c r="BI83" s="75">
        <v>2525998</v>
      </c>
      <c r="BJ83" s="75">
        <v>2406386</v>
      </c>
      <c r="BK83" s="75">
        <v>2320547</v>
      </c>
      <c r="BL83" s="75">
        <v>2253677</v>
      </c>
      <c r="BM83" s="75">
        <v>2228200</v>
      </c>
      <c r="BN83" s="75">
        <v>2205620</v>
      </c>
      <c r="BO83" s="75">
        <v>2105836</v>
      </c>
      <c r="BP83" s="75">
        <v>2098704</v>
      </c>
      <c r="BQ83" s="75">
        <v>2067253</v>
      </c>
      <c r="BR83" s="75">
        <v>2011839</v>
      </c>
      <c r="BS83" s="75">
        <v>2020324</v>
      </c>
      <c r="BT83" s="75">
        <v>1864590</v>
      </c>
      <c r="BU83" s="75">
        <v>1794009</v>
      </c>
      <c r="BV83" s="75">
        <v>1738442</v>
      </c>
      <c r="BW83" s="75">
        <v>1656203</v>
      </c>
      <c r="BX83" s="75">
        <v>1668017</v>
      </c>
      <c r="BY83" s="75">
        <v>1575312</v>
      </c>
      <c r="BZ83" s="75">
        <v>1550295</v>
      </c>
      <c r="CA83" s="75">
        <v>1575667</v>
      </c>
      <c r="CB83" s="75">
        <v>1612662</v>
      </c>
      <c r="CC83" s="75">
        <v>1584340</v>
      </c>
      <c r="CD83" s="75">
        <v>1449073</v>
      </c>
      <c r="CE83" s="75">
        <v>1359678</v>
      </c>
      <c r="CF83" s="75">
        <v>1298108</v>
      </c>
      <c r="CG83" s="75">
        <v>1255924</v>
      </c>
      <c r="CH83" s="75">
        <v>1255669</v>
      </c>
      <c r="CI83" s="75">
        <v>1198084</v>
      </c>
      <c r="CJ83" s="75">
        <v>1115722</v>
      </c>
      <c r="CK83" s="75">
        <v>1031941</v>
      </c>
      <c r="CL83" s="75">
        <v>957426</v>
      </c>
      <c r="CM83" s="75">
        <v>878568</v>
      </c>
      <c r="CN83" s="75">
        <v>762496</v>
      </c>
      <c r="CO83" s="75">
        <v>673631</v>
      </c>
      <c r="CP83" s="75">
        <v>583304</v>
      </c>
      <c r="CQ83" s="75">
        <v>485804</v>
      </c>
      <c r="CR83" s="75">
        <v>409914</v>
      </c>
      <c r="CS83" s="75">
        <v>328299</v>
      </c>
      <c r="CT83" s="75">
        <v>259617</v>
      </c>
      <c r="CU83" s="75">
        <v>201285</v>
      </c>
      <c r="CV83" s="75">
        <v>153375</v>
      </c>
      <c r="CW83" s="75">
        <v>115453</v>
      </c>
      <c r="CX83" s="75">
        <v>84374</v>
      </c>
      <c r="CY83" s="75">
        <v>61390</v>
      </c>
      <c r="CZ83" s="75">
        <v>88957</v>
      </c>
    </row>
    <row r="84" spans="1:104" ht="17.100000000000001">
      <c r="A84" s="70" t="s">
        <v>660</v>
      </c>
      <c r="B84" s="71">
        <v>2048</v>
      </c>
      <c r="C84" s="75">
        <v>195794039</v>
      </c>
      <c r="D84" s="75">
        <v>2245217</v>
      </c>
      <c r="E84" s="75">
        <v>2248749</v>
      </c>
      <c r="F84" s="75">
        <v>2251548</v>
      </c>
      <c r="G84" s="75">
        <v>2252768</v>
      </c>
      <c r="H84" s="75">
        <v>2252733</v>
      </c>
      <c r="I84" s="75">
        <v>2252016</v>
      </c>
      <c r="J84" s="75">
        <v>2251181</v>
      </c>
      <c r="K84" s="75">
        <v>2250600</v>
      </c>
      <c r="L84" s="75">
        <v>2250529</v>
      </c>
      <c r="M84" s="75">
        <v>2250817</v>
      </c>
      <c r="N84" s="75">
        <v>2251632</v>
      </c>
      <c r="O84" s="75">
        <v>2252756</v>
      </c>
      <c r="P84" s="75">
        <v>2254195</v>
      </c>
      <c r="Q84" s="75">
        <v>2256249</v>
      </c>
      <c r="R84" s="75">
        <v>2259723</v>
      </c>
      <c r="S84" s="75">
        <v>2265890</v>
      </c>
      <c r="T84" s="75">
        <v>2276098</v>
      </c>
      <c r="U84" s="75">
        <v>2291277</v>
      </c>
      <c r="V84" s="75">
        <v>2311408</v>
      </c>
      <c r="W84" s="75">
        <v>2335123</v>
      </c>
      <c r="X84" s="75">
        <v>2360762</v>
      </c>
      <c r="Y84" s="75">
        <v>2387120</v>
      </c>
      <c r="Z84" s="75">
        <v>2412675</v>
      </c>
      <c r="AA84" s="75">
        <v>2436459</v>
      </c>
      <c r="AB84" s="75">
        <v>2458184</v>
      </c>
      <c r="AC84" s="75">
        <v>2477421</v>
      </c>
      <c r="AD84" s="75">
        <v>2494036</v>
      </c>
      <c r="AE84" s="75">
        <v>2507563</v>
      </c>
      <c r="AF84" s="75">
        <v>2517471</v>
      </c>
      <c r="AG84" s="75">
        <v>2523730</v>
      </c>
      <c r="AH84" s="75">
        <v>2526834</v>
      </c>
      <c r="AI84" s="75">
        <v>2527010</v>
      </c>
      <c r="AJ84" s="75">
        <v>2524188</v>
      </c>
      <c r="AK84" s="75">
        <v>2519247</v>
      </c>
      <c r="AL84" s="75">
        <v>2512900</v>
      </c>
      <c r="AM84" s="75">
        <v>2505073</v>
      </c>
      <c r="AN84" s="75">
        <v>2509486</v>
      </c>
      <c r="AO84" s="75">
        <v>2525257</v>
      </c>
      <c r="AP84" s="75">
        <v>2520169</v>
      </c>
      <c r="AQ84" s="75">
        <v>2518592</v>
      </c>
      <c r="AR84" s="75">
        <v>2581917</v>
      </c>
      <c r="AS84" s="75">
        <v>2590576</v>
      </c>
      <c r="AT84" s="75">
        <v>2569494</v>
      </c>
      <c r="AU84" s="75">
        <v>2555854</v>
      </c>
      <c r="AV84" s="75">
        <v>2551274</v>
      </c>
      <c r="AW84" s="75">
        <v>2526159</v>
      </c>
      <c r="AX84" s="75">
        <v>2508975</v>
      </c>
      <c r="AY84" s="75">
        <v>2550539</v>
      </c>
      <c r="AZ84" s="75">
        <v>2572529</v>
      </c>
      <c r="BA84" s="75">
        <v>2524160</v>
      </c>
      <c r="BB84" s="75">
        <v>2508920</v>
      </c>
      <c r="BC84" s="75">
        <v>2494614</v>
      </c>
      <c r="BD84" s="75">
        <v>2493680</v>
      </c>
      <c r="BE84" s="75">
        <v>2516228</v>
      </c>
      <c r="BF84" s="75">
        <v>2533736</v>
      </c>
      <c r="BG84" s="75">
        <v>2539934</v>
      </c>
      <c r="BH84" s="75">
        <v>2559291</v>
      </c>
      <c r="BI84" s="75">
        <v>2557255</v>
      </c>
      <c r="BJ84" s="75">
        <v>2516174</v>
      </c>
      <c r="BK84" s="75">
        <v>2396109</v>
      </c>
      <c r="BL84" s="75">
        <v>2309680</v>
      </c>
      <c r="BM84" s="75">
        <v>2242280</v>
      </c>
      <c r="BN84" s="75">
        <v>2215928</v>
      </c>
      <c r="BO84" s="75">
        <v>2192213</v>
      </c>
      <c r="BP84" s="75">
        <v>2091780</v>
      </c>
      <c r="BQ84" s="75">
        <v>2082912</v>
      </c>
      <c r="BR84" s="75">
        <v>2049824</v>
      </c>
      <c r="BS84" s="75">
        <v>1992772</v>
      </c>
      <c r="BT84" s="75">
        <v>1998733</v>
      </c>
      <c r="BU84" s="75">
        <v>1842552</v>
      </c>
      <c r="BV84" s="75">
        <v>1770422</v>
      </c>
      <c r="BW84" s="75">
        <v>1712981</v>
      </c>
      <c r="BX84" s="75">
        <v>1629162</v>
      </c>
      <c r="BY84" s="75">
        <v>1637519</v>
      </c>
      <c r="BZ84" s="75">
        <v>1543213</v>
      </c>
      <c r="CA84" s="75">
        <v>1515069</v>
      </c>
      <c r="CB84" s="75">
        <v>1535775</v>
      </c>
      <c r="CC84" s="75">
        <v>1567058</v>
      </c>
      <c r="CD84" s="75">
        <v>1534197</v>
      </c>
      <c r="CE84" s="75">
        <v>1397765</v>
      </c>
      <c r="CF84" s="75">
        <v>1305341</v>
      </c>
      <c r="CG84" s="75">
        <v>1239810</v>
      </c>
      <c r="CH84" s="75">
        <v>1192955</v>
      </c>
      <c r="CI84" s="75">
        <v>1185410</v>
      </c>
      <c r="CJ84" s="75">
        <v>1123261</v>
      </c>
      <c r="CK84" s="75">
        <v>1037964</v>
      </c>
      <c r="CL84" s="75">
        <v>951811</v>
      </c>
      <c r="CM84" s="75">
        <v>874773</v>
      </c>
      <c r="CN84" s="75">
        <v>794342</v>
      </c>
      <c r="CO84" s="75">
        <v>681527</v>
      </c>
      <c r="CP84" s="75">
        <v>594508</v>
      </c>
      <c r="CQ84" s="75">
        <v>507651</v>
      </c>
      <c r="CR84" s="75">
        <v>416415</v>
      </c>
      <c r="CS84" s="75">
        <v>345584</v>
      </c>
      <c r="CT84" s="75">
        <v>271846</v>
      </c>
      <c r="CU84" s="75">
        <v>210855</v>
      </c>
      <c r="CV84" s="75">
        <v>160122</v>
      </c>
      <c r="CW84" s="75">
        <v>119325</v>
      </c>
      <c r="CX84" s="75">
        <v>87734</v>
      </c>
      <c r="CY84" s="75">
        <v>62541</v>
      </c>
      <c r="CZ84" s="75">
        <v>96325</v>
      </c>
    </row>
    <row r="85" spans="1:104" ht="17.100000000000001">
      <c r="A85" s="70" t="s">
        <v>660</v>
      </c>
      <c r="B85" s="71">
        <v>2049</v>
      </c>
      <c r="C85" s="75">
        <v>196758060</v>
      </c>
      <c r="D85" s="75">
        <v>2252856</v>
      </c>
      <c r="E85" s="75">
        <v>2256579</v>
      </c>
      <c r="F85" s="75">
        <v>2259440</v>
      </c>
      <c r="G85" s="75">
        <v>2260630</v>
      </c>
      <c r="H85" s="75">
        <v>2260427</v>
      </c>
      <c r="I85" s="75">
        <v>2259448</v>
      </c>
      <c r="J85" s="75">
        <v>2258317</v>
      </c>
      <c r="K85" s="75">
        <v>2257392</v>
      </c>
      <c r="L85" s="75">
        <v>2256958</v>
      </c>
      <c r="M85" s="75">
        <v>2256929</v>
      </c>
      <c r="N85" s="75">
        <v>2257404</v>
      </c>
      <c r="O85" s="75">
        <v>2258156</v>
      </c>
      <c r="P85" s="75">
        <v>2259240</v>
      </c>
      <c r="Q85" s="75">
        <v>2260942</v>
      </c>
      <c r="R85" s="75">
        <v>2263898</v>
      </c>
      <c r="S85" s="75">
        <v>2269400</v>
      </c>
      <c r="T85" s="75">
        <v>2278922</v>
      </c>
      <c r="U85" s="75">
        <v>2293614</v>
      </c>
      <c r="V85" s="75">
        <v>2313448</v>
      </c>
      <c r="W85" s="75">
        <v>2337220</v>
      </c>
      <c r="X85" s="75">
        <v>2363144</v>
      </c>
      <c r="Y85" s="75">
        <v>2389990</v>
      </c>
      <c r="Z85" s="75">
        <v>2416494</v>
      </c>
      <c r="AA85" s="75">
        <v>2441322</v>
      </c>
      <c r="AB85" s="75">
        <v>2463948</v>
      </c>
      <c r="AC85" s="75">
        <v>2484075</v>
      </c>
      <c r="AD85" s="75">
        <v>2501712</v>
      </c>
      <c r="AE85" s="75">
        <v>2516689</v>
      </c>
      <c r="AF85" s="75">
        <v>2528742</v>
      </c>
      <c r="AG85" s="75">
        <v>2537264</v>
      </c>
      <c r="AH85" s="75">
        <v>2542047</v>
      </c>
      <c r="AI85" s="75">
        <v>2543336</v>
      </c>
      <c r="AJ85" s="75">
        <v>2541609</v>
      </c>
      <c r="AK85" s="75">
        <v>2537155</v>
      </c>
      <c r="AL85" s="75">
        <v>2531135</v>
      </c>
      <c r="AM85" s="75">
        <v>2523912</v>
      </c>
      <c r="AN85" s="75">
        <v>2515155</v>
      </c>
      <c r="AO85" s="75">
        <v>2518696</v>
      </c>
      <c r="AP85" s="75">
        <v>2533753</v>
      </c>
      <c r="AQ85" s="75">
        <v>2527948</v>
      </c>
      <c r="AR85" s="75">
        <v>2525464</v>
      </c>
      <c r="AS85" s="75">
        <v>2587603</v>
      </c>
      <c r="AT85" s="75">
        <v>2595147</v>
      </c>
      <c r="AU85" s="75">
        <v>2573241</v>
      </c>
      <c r="AV85" s="75">
        <v>2558982</v>
      </c>
      <c r="AW85" s="75">
        <v>2553812</v>
      </c>
      <c r="AX85" s="75">
        <v>2527994</v>
      </c>
      <c r="AY85" s="75">
        <v>2509922</v>
      </c>
      <c r="AZ85" s="75">
        <v>2550429</v>
      </c>
      <c r="BA85" s="75">
        <v>2571446</v>
      </c>
      <c r="BB85" s="75">
        <v>2522309</v>
      </c>
      <c r="BC85" s="75">
        <v>2506237</v>
      </c>
      <c r="BD85" s="75">
        <v>2491138</v>
      </c>
      <c r="BE85" s="75">
        <v>2489342</v>
      </c>
      <c r="BF85" s="75">
        <v>2510839</v>
      </c>
      <c r="BG85" s="75">
        <v>2527358</v>
      </c>
      <c r="BH85" s="75">
        <v>2532498</v>
      </c>
      <c r="BI85" s="75">
        <v>2550669</v>
      </c>
      <c r="BJ85" s="75">
        <v>2547551</v>
      </c>
      <c r="BK85" s="75">
        <v>2505582</v>
      </c>
      <c r="BL85" s="75">
        <v>2385130</v>
      </c>
      <c r="BM85" s="75">
        <v>2298197</v>
      </c>
      <c r="BN85" s="75">
        <v>2230166</v>
      </c>
      <c r="BO85" s="75">
        <v>2202762</v>
      </c>
      <c r="BP85" s="75">
        <v>2177735</v>
      </c>
      <c r="BQ85" s="75">
        <v>2076397</v>
      </c>
      <c r="BR85" s="75">
        <v>2065579</v>
      </c>
      <c r="BS85" s="75">
        <v>2030715</v>
      </c>
      <c r="BT85" s="75">
        <v>1971935</v>
      </c>
      <c r="BU85" s="75">
        <v>1975319</v>
      </c>
      <c r="BV85" s="75">
        <v>1818635</v>
      </c>
      <c r="BW85" s="75">
        <v>1744830</v>
      </c>
      <c r="BX85" s="75">
        <v>1685328</v>
      </c>
      <c r="BY85" s="75">
        <v>1599800</v>
      </c>
      <c r="BZ85" s="75">
        <v>1604483</v>
      </c>
      <c r="CA85" s="75">
        <v>1508595</v>
      </c>
      <c r="CB85" s="75">
        <v>1477137</v>
      </c>
      <c r="CC85" s="75">
        <v>1492784</v>
      </c>
      <c r="CD85" s="75">
        <v>1517975</v>
      </c>
      <c r="CE85" s="75">
        <v>1480334</v>
      </c>
      <c r="CF85" s="75">
        <v>1342473</v>
      </c>
      <c r="CG85" s="75">
        <v>1247198</v>
      </c>
      <c r="CH85" s="75">
        <v>1178200</v>
      </c>
      <c r="CI85" s="75">
        <v>1126742</v>
      </c>
      <c r="CJ85" s="75">
        <v>1111938</v>
      </c>
      <c r="CK85" s="75">
        <v>1045591</v>
      </c>
      <c r="CL85" s="75">
        <v>957947</v>
      </c>
      <c r="CM85" s="75">
        <v>870246</v>
      </c>
      <c r="CN85" s="75">
        <v>791541</v>
      </c>
      <c r="CO85" s="75">
        <v>710568</v>
      </c>
      <c r="CP85" s="75">
        <v>602016</v>
      </c>
      <c r="CQ85" s="75">
        <v>517919</v>
      </c>
      <c r="CR85" s="75">
        <v>435606</v>
      </c>
      <c r="CS85" s="75">
        <v>351469</v>
      </c>
      <c r="CT85" s="75">
        <v>286518</v>
      </c>
      <c r="CU85" s="75">
        <v>221089</v>
      </c>
      <c r="CV85" s="75">
        <v>167966</v>
      </c>
      <c r="CW85" s="75">
        <v>124755</v>
      </c>
      <c r="CX85" s="75">
        <v>90818</v>
      </c>
      <c r="CY85" s="75">
        <v>65141</v>
      </c>
      <c r="CZ85" s="75">
        <v>101574</v>
      </c>
    </row>
    <row r="86" spans="1:104" ht="17.100000000000001">
      <c r="A86" s="70" t="s">
        <v>660</v>
      </c>
      <c r="B86" s="71">
        <v>2050</v>
      </c>
      <c r="C86" s="75">
        <v>197726883</v>
      </c>
      <c r="D86" s="75">
        <v>2260314</v>
      </c>
      <c r="E86" s="75">
        <v>2264273</v>
      </c>
      <c r="F86" s="75">
        <v>2267319</v>
      </c>
      <c r="G86" s="75">
        <v>2268549</v>
      </c>
      <c r="H86" s="75">
        <v>2268320</v>
      </c>
      <c r="I86" s="75">
        <v>2267173</v>
      </c>
      <c r="J86" s="75">
        <v>2265776</v>
      </c>
      <c r="K86" s="75">
        <v>2264560</v>
      </c>
      <c r="L86" s="75">
        <v>2263774</v>
      </c>
      <c r="M86" s="75">
        <v>2263379</v>
      </c>
      <c r="N86" s="75">
        <v>2263532</v>
      </c>
      <c r="O86" s="75">
        <v>2263958</v>
      </c>
      <c r="P86" s="75">
        <v>2264683</v>
      </c>
      <c r="Q86" s="75">
        <v>2266011</v>
      </c>
      <c r="R86" s="75">
        <v>2268612</v>
      </c>
      <c r="S86" s="75">
        <v>2273608</v>
      </c>
      <c r="T86" s="75">
        <v>2282485</v>
      </c>
      <c r="U86" s="75">
        <v>2296498</v>
      </c>
      <c r="V86" s="75">
        <v>2315858</v>
      </c>
      <c r="W86" s="75">
        <v>2339346</v>
      </c>
      <c r="X86" s="75">
        <v>2365335</v>
      </c>
      <c r="Y86" s="75">
        <v>2392475</v>
      </c>
      <c r="Z86" s="75">
        <v>2419478</v>
      </c>
      <c r="AA86" s="75">
        <v>2445260</v>
      </c>
      <c r="AB86" s="75">
        <v>2468926</v>
      </c>
      <c r="AC86" s="75">
        <v>2489941</v>
      </c>
      <c r="AD86" s="75">
        <v>2508457</v>
      </c>
      <c r="AE86" s="75">
        <v>2524468</v>
      </c>
      <c r="AF86" s="75">
        <v>2537972</v>
      </c>
      <c r="AG86" s="75">
        <v>2548626</v>
      </c>
      <c r="AH86" s="75">
        <v>2555662</v>
      </c>
      <c r="AI86" s="75">
        <v>2558623</v>
      </c>
      <c r="AJ86" s="75">
        <v>2558013</v>
      </c>
      <c r="AK86" s="75">
        <v>2554648</v>
      </c>
      <c r="AL86" s="75">
        <v>2549098</v>
      </c>
      <c r="AM86" s="75">
        <v>2542203</v>
      </c>
      <c r="AN86" s="75">
        <v>2534061</v>
      </c>
      <c r="AO86" s="75">
        <v>2524429</v>
      </c>
      <c r="AP86" s="75">
        <v>2527260</v>
      </c>
      <c r="AQ86" s="75">
        <v>2541592</v>
      </c>
      <c r="AR86" s="75">
        <v>2534882</v>
      </c>
      <c r="AS86" s="75">
        <v>2531272</v>
      </c>
      <c r="AT86" s="75">
        <v>2592245</v>
      </c>
      <c r="AU86" s="75">
        <v>2598941</v>
      </c>
      <c r="AV86" s="75">
        <v>2576449</v>
      </c>
      <c r="AW86" s="75">
        <v>2561620</v>
      </c>
      <c r="AX86" s="75">
        <v>2555743</v>
      </c>
      <c r="AY86" s="75">
        <v>2529030</v>
      </c>
      <c r="AZ86" s="75">
        <v>2510007</v>
      </c>
      <c r="BA86" s="75">
        <v>2549545</v>
      </c>
      <c r="BB86" s="75">
        <v>2569658</v>
      </c>
      <c r="BC86" s="75">
        <v>2519765</v>
      </c>
      <c r="BD86" s="75">
        <v>2502896</v>
      </c>
      <c r="BE86" s="75">
        <v>2486992</v>
      </c>
      <c r="BF86" s="75">
        <v>2484273</v>
      </c>
      <c r="BG86" s="75">
        <v>2504737</v>
      </c>
      <c r="BH86" s="75">
        <v>2520190</v>
      </c>
      <c r="BI86" s="75">
        <v>2524266</v>
      </c>
      <c r="BJ86" s="75">
        <v>2541217</v>
      </c>
      <c r="BK86" s="75">
        <v>2537085</v>
      </c>
      <c r="BL86" s="75">
        <v>2494266</v>
      </c>
      <c r="BM86" s="75">
        <v>2373497</v>
      </c>
      <c r="BN86" s="75">
        <v>2285981</v>
      </c>
      <c r="BO86" s="75">
        <v>2217171</v>
      </c>
      <c r="BP86" s="75">
        <v>2188532</v>
      </c>
      <c r="BQ86" s="75">
        <v>2161908</v>
      </c>
      <c r="BR86" s="75">
        <v>2059500</v>
      </c>
      <c r="BS86" s="75">
        <v>2046576</v>
      </c>
      <c r="BT86" s="75">
        <v>2009811</v>
      </c>
      <c r="BU86" s="75">
        <v>1949312</v>
      </c>
      <c r="BV86" s="75">
        <v>1949912</v>
      </c>
      <c r="BW86" s="75">
        <v>1792677</v>
      </c>
      <c r="BX86" s="75">
        <v>1717011</v>
      </c>
      <c r="BY86" s="75">
        <v>1655271</v>
      </c>
      <c r="BZ86" s="75">
        <v>1567946</v>
      </c>
      <c r="CA86" s="75">
        <v>1568833</v>
      </c>
      <c r="CB86" s="75">
        <v>1471276</v>
      </c>
      <c r="CC86" s="75">
        <v>1436224</v>
      </c>
      <c r="CD86" s="75">
        <v>1446458</v>
      </c>
      <c r="CE86" s="75">
        <v>1465195</v>
      </c>
      <c r="CF86" s="75">
        <v>1422254</v>
      </c>
      <c r="CG86" s="75">
        <v>1283230</v>
      </c>
      <c r="CH86" s="75">
        <v>1185703</v>
      </c>
      <c r="CI86" s="75">
        <v>1113369</v>
      </c>
      <c r="CJ86" s="75">
        <v>1057446</v>
      </c>
      <c r="CK86" s="75">
        <v>1035607</v>
      </c>
      <c r="CL86" s="75">
        <v>965589</v>
      </c>
      <c r="CM86" s="75">
        <v>876437</v>
      </c>
      <c r="CN86" s="75">
        <v>788042</v>
      </c>
      <c r="CO86" s="75">
        <v>708675</v>
      </c>
      <c r="CP86" s="75">
        <v>628226</v>
      </c>
      <c r="CQ86" s="75">
        <v>524959</v>
      </c>
      <c r="CR86" s="75">
        <v>444890</v>
      </c>
      <c r="CS86" s="75">
        <v>368095</v>
      </c>
      <c r="CT86" s="75">
        <v>291760</v>
      </c>
      <c r="CU86" s="75">
        <v>233329</v>
      </c>
      <c r="CV86" s="75">
        <v>176374</v>
      </c>
      <c r="CW86" s="75">
        <v>131055</v>
      </c>
      <c r="CX86" s="75">
        <v>95090</v>
      </c>
      <c r="CY86" s="75">
        <v>67539</v>
      </c>
      <c r="CZ86" s="75">
        <v>106489</v>
      </c>
    </row>
    <row r="87" spans="1:104" ht="17.100000000000001">
      <c r="A87" s="70" t="s">
        <v>660</v>
      </c>
      <c r="B87" s="71">
        <v>2051</v>
      </c>
      <c r="C87" s="75">
        <v>198701843</v>
      </c>
      <c r="D87" s="75">
        <v>2267549</v>
      </c>
      <c r="E87" s="75">
        <v>2271775</v>
      </c>
      <c r="F87" s="75">
        <v>2275047</v>
      </c>
      <c r="G87" s="75">
        <v>2276472</v>
      </c>
      <c r="H87" s="75">
        <v>2276274</v>
      </c>
      <c r="I87" s="75">
        <v>2275096</v>
      </c>
      <c r="J87" s="75">
        <v>2273527</v>
      </c>
      <c r="K87" s="75">
        <v>2272045</v>
      </c>
      <c r="L87" s="75">
        <v>2270959</v>
      </c>
      <c r="M87" s="75">
        <v>2270214</v>
      </c>
      <c r="N87" s="75">
        <v>2269995</v>
      </c>
      <c r="O87" s="75">
        <v>2270100</v>
      </c>
      <c r="P87" s="75">
        <v>2270502</v>
      </c>
      <c r="Q87" s="75">
        <v>2271475</v>
      </c>
      <c r="R87" s="75">
        <v>2273707</v>
      </c>
      <c r="S87" s="75">
        <v>2278347</v>
      </c>
      <c r="T87" s="75">
        <v>2286726</v>
      </c>
      <c r="U87" s="75">
        <v>2300117</v>
      </c>
      <c r="V87" s="75">
        <v>2318812</v>
      </c>
      <c r="W87" s="75">
        <v>2341839</v>
      </c>
      <c r="X87" s="75">
        <v>2367559</v>
      </c>
      <c r="Y87" s="75">
        <v>2394772</v>
      </c>
      <c r="Z87" s="75">
        <v>2422073</v>
      </c>
      <c r="AA87" s="75">
        <v>2448349</v>
      </c>
      <c r="AB87" s="75">
        <v>2472979</v>
      </c>
      <c r="AC87" s="75">
        <v>2495036</v>
      </c>
      <c r="AD87" s="75">
        <v>2514434</v>
      </c>
      <c r="AE87" s="75">
        <v>2531317</v>
      </c>
      <c r="AF87" s="75">
        <v>2545835</v>
      </c>
      <c r="AG87" s="75">
        <v>2557948</v>
      </c>
      <c r="AH87" s="75">
        <v>2567120</v>
      </c>
      <c r="AI87" s="75">
        <v>2572314</v>
      </c>
      <c r="AJ87" s="75">
        <v>2573367</v>
      </c>
      <c r="AK87" s="75">
        <v>2571116</v>
      </c>
      <c r="AL87" s="75">
        <v>2566665</v>
      </c>
      <c r="AM87" s="75">
        <v>2560236</v>
      </c>
      <c r="AN87" s="75">
        <v>2552408</v>
      </c>
      <c r="AO87" s="75">
        <v>2543384</v>
      </c>
      <c r="AP87" s="75">
        <v>2533054</v>
      </c>
      <c r="AQ87" s="75">
        <v>2535158</v>
      </c>
      <c r="AR87" s="75">
        <v>2548587</v>
      </c>
      <c r="AS87" s="75">
        <v>2540758</v>
      </c>
      <c r="AT87" s="75">
        <v>2536056</v>
      </c>
      <c r="AU87" s="75">
        <v>2596124</v>
      </c>
      <c r="AV87" s="75">
        <v>2602200</v>
      </c>
      <c r="AW87" s="75">
        <v>2579159</v>
      </c>
      <c r="AX87" s="75">
        <v>2563656</v>
      </c>
      <c r="AY87" s="75">
        <v>2556874</v>
      </c>
      <c r="AZ87" s="75">
        <v>2529205</v>
      </c>
      <c r="BA87" s="75">
        <v>2509315</v>
      </c>
      <c r="BB87" s="75">
        <v>2547958</v>
      </c>
      <c r="BC87" s="75">
        <v>2567160</v>
      </c>
      <c r="BD87" s="75">
        <v>2516558</v>
      </c>
      <c r="BE87" s="75">
        <v>2498876</v>
      </c>
      <c r="BF87" s="75">
        <v>2482108</v>
      </c>
      <c r="BG87" s="75">
        <v>2478506</v>
      </c>
      <c r="BH87" s="75">
        <v>2497867</v>
      </c>
      <c r="BI87" s="75">
        <v>2512246</v>
      </c>
      <c r="BJ87" s="75">
        <v>2515229</v>
      </c>
      <c r="BK87" s="75">
        <v>2531024</v>
      </c>
      <c r="BL87" s="75">
        <v>2525887</v>
      </c>
      <c r="BM87" s="75">
        <v>2482304</v>
      </c>
      <c r="BN87" s="75">
        <v>2361129</v>
      </c>
      <c r="BO87" s="75">
        <v>2272859</v>
      </c>
      <c r="BP87" s="75">
        <v>2203131</v>
      </c>
      <c r="BQ87" s="75">
        <v>2172946</v>
      </c>
      <c r="BR87" s="75">
        <v>2144521</v>
      </c>
      <c r="BS87" s="75">
        <v>2040940</v>
      </c>
      <c r="BT87" s="75">
        <v>2025779</v>
      </c>
      <c r="BU87" s="75">
        <v>1987098</v>
      </c>
      <c r="BV87" s="75">
        <v>1924725</v>
      </c>
      <c r="BW87" s="75">
        <v>1922330</v>
      </c>
      <c r="BX87" s="75">
        <v>1764449</v>
      </c>
      <c r="BY87" s="75">
        <v>1686770</v>
      </c>
      <c r="BZ87" s="75">
        <v>1622671</v>
      </c>
      <c r="CA87" s="75">
        <v>1533556</v>
      </c>
      <c r="CB87" s="75">
        <v>1530403</v>
      </c>
      <c r="CC87" s="75">
        <v>1431005</v>
      </c>
      <c r="CD87" s="75">
        <v>1392108</v>
      </c>
      <c r="CE87" s="75">
        <v>1396628</v>
      </c>
      <c r="CF87" s="75">
        <v>1408238</v>
      </c>
      <c r="CG87" s="75">
        <v>1360003</v>
      </c>
      <c r="CH87" s="75">
        <v>1220553</v>
      </c>
      <c r="CI87" s="75">
        <v>1120966</v>
      </c>
      <c r="CJ87" s="75">
        <v>1045489</v>
      </c>
      <c r="CK87" s="75">
        <v>985428</v>
      </c>
      <c r="CL87" s="75">
        <v>956962</v>
      </c>
      <c r="CM87" s="75">
        <v>884050</v>
      </c>
      <c r="CN87" s="75">
        <v>794234</v>
      </c>
      <c r="CO87" s="75">
        <v>706123</v>
      </c>
      <c r="CP87" s="75">
        <v>627143</v>
      </c>
      <c r="CQ87" s="75">
        <v>548355</v>
      </c>
      <c r="CR87" s="75">
        <v>451418</v>
      </c>
      <c r="CS87" s="75">
        <v>376378</v>
      </c>
      <c r="CT87" s="75">
        <v>305941</v>
      </c>
      <c r="CU87" s="75">
        <v>237909</v>
      </c>
      <c r="CV87" s="75">
        <v>186406</v>
      </c>
      <c r="CW87" s="75">
        <v>137835</v>
      </c>
      <c r="CX87" s="75">
        <v>100056</v>
      </c>
      <c r="CY87" s="75">
        <v>70819</v>
      </c>
      <c r="CZ87" s="75">
        <v>111130</v>
      </c>
    </row>
    <row r="88" spans="1:104" ht="17.100000000000001">
      <c r="A88" s="70" t="s">
        <v>660</v>
      </c>
      <c r="B88" s="71">
        <v>2052</v>
      </c>
      <c r="C88" s="75">
        <v>199683551</v>
      </c>
      <c r="D88" s="75">
        <v>2274494</v>
      </c>
      <c r="E88" s="75">
        <v>2279057</v>
      </c>
      <c r="F88" s="75">
        <v>2282580</v>
      </c>
      <c r="G88" s="75">
        <v>2284239</v>
      </c>
      <c r="H88" s="75">
        <v>2284232</v>
      </c>
      <c r="I88" s="75">
        <v>2283075</v>
      </c>
      <c r="J88" s="75">
        <v>2281469</v>
      </c>
      <c r="K88" s="75">
        <v>2279813</v>
      </c>
      <c r="L88" s="75">
        <v>2278471</v>
      </c>
      <c r="M88" s="75">
        <v>2277431</v>
      </c>
      <c r="N88" s="75">
        <v>2276860</v>
      </c>
      <c r="O88" s="75">
        <v>2276586</v>
      </c>
      <c r="P88" s="75">
        <v>2276661</v>
      </c>
      <c r="Q88" s="75">
        <v>2277313</v>
      </c>
      <c r="R88" s="75">
        <v>2279191</v>
      </c>
      <c r="S88" s="75">
        <v>2283468</v>
      </c>
      <c r="T88" s="75">
        <v>2291502</v>
      </c>
      <c r="U88" s="75">
        <v>2304408</v>
      </c>
      <c r="V88" s="75">
        <v>2322490</v>
      </c>
      <c r="W88" s="75">
        <v>2344881</v>
      </c>
      <c r="X88" s="75">
        <v>2370141</v>
      </c>
      <c r="Y88" s="75">
        <v>2397090</v>
      </c>
      <c r="Z88" s="75">
        <v>2424471</v>
      </c>
      <c r="AA88" s="75">
        <v>2451060</v>
      </c>
      <c r="AB88" s="75">
        <v>2476180</v>
      </c>
      <c r="AC88" s="75">
        <v>2499195</v>
      </c>
      <c r="AD88" s="75">
        <v>2519637</v>
      </c>
      <c r="AE88" s="75">
        <v>2537384</v>
      </c>
      <c r="AF88" s="75">
        <v>2552766</v>
      </c>
      <c r="AG88" s="75">
        <v>2565897</v>
      </c>
      <c r="AH88" s="75">
        <v>2576520</v>
      </c>
      <c r="AI88" s="75">
        <v>2583859</v>
      </c>
      <c r="AJ88" s="75">
        <v>2587147</v>
      </c>
      <c r="AK88" s="75">
        <v>2586537</v>
      </c>
      <c r="AL88" s="75">
        <v>2583188</v>
      </c>
      <c r="AM88" s="75">
        <v>2577852</v>
      </c>
      <c r="AN88" s="75">
        <v>2570491</v>
      </c>
      <c r="AO88" s="75">
        <v>2561780</v>
      </c>
      <c r="AP88" s="75">
        <v>2552044</v>
      </c>
      <c r="AQ88" s="75">
        <v>2540997</v>
      </c>
      <c r="AR88" s="75">
        <v>2542219</v>
      </c>
      <c r="AS88" s="75">
        <v>2554512</v>
      </c>
      <c r="AT88" s="75">
        <v>2545597</v>
      </c>
      <c r="AU88" s="75">
        <v>2540057</v>
      </c>
      <c r="AV88" s="75">
        <v>2599464</v>
      </c>
      <c r="AW88" s="75">
        <v>2604955</v>
      </c>
      <c r="AX88" s="75">
        <v>2581266</v>
      </c>
      <c r="AY88" s="75">
        <v>2564888</v>
      </c>
      <c r="AZ88" s="75">
        <v>2557152</v>
      </c>
      <c r="BA88" s="75">
        <v>2528608</v>
      </c>
      <c r="BB88" s="75">
        <v>2507946</v>
      </c>
      <c r="BC88" s="75">
        <v>2545688</v>
      </c>
      <c r="BD88" s="75">
        <v>2564018</v>
      </c>
      <c r="BE88" s="75">
        <v>2512696</v>
      </c>
      <c r="BF88" s="75">
        <v>2494144</v>
      </c>
      <c r="BG88" s="75">
        <v>2476538</v>
      </c>
      <c r="BH88" s="75">
        <v>2471976</v>
      </c>
      <c r="BI88" s="75">
        <v>2490238</v>
      </c>
      <c r="BJ88" s="75">
        <v>2503509</v>
      </c>
      <c r="BK88" s="75">
        <v>2505453</v>
      </c>
      <c r="BL88" s="75">
        <v>2520113</v>
      </c>
      <c r="BM88" s="75">
        <v>2514032</v>
      </c>
      <c r="BN88" s="75">
        <v>2469576</v>
      </c>
      <c r="BO88" s="75">
        <v>2347849</v>
      </c>
      <c r="BP88" s="75">
        <v>2258677</v>
      </c>
      <c r="BQ88" s="75">
        <v>2187733</v>
      </c>
      <c r="BR88" s="75">
        <v>2155798</v>
      </c>
      <c r="BS88" s="75">
        <v>2125424</v>
      </c>
      <c r="BT88" s="75">
        <v>2020596</v>
      </c>
      <c r="BU88" s="75">
        <v>2003175</v>
      </c>
      <c r="BV88" s="75">
        <v>1962394</v>
      </c>
      <c r="BW88" s="75">
        <v>1898000</v>
      </c>
      <c r="BX88" s="75">
        <v>1892347</v>
      </c>
      <c r="BY88" s="75">
        <v>1733735</v>
      </c>
      <c r="BZ88" s="75">
        <v>1653944</v>
      </c>
      <c r="CA88" s="75">
        <v>1587455</v>
      </c>
      <c r="CB88" s="75">
        <v>1496446</v>
      </c>
      <c r="CC88" s="75">
        <v>1488903</v>
      </c>
      <c r="CD88" s="75">
        <v>1387550</v>
      </c>
      <c r="CE88" s="75">
        <v>1344608</v>
      </c>
      <c r="CF88" s="75">
        <v>1342790</v>
      </c>
      <c r="CG88" s="75">
        <v>1347130</v>
      </c>
      <c r="CH88" s="75">
        <v>1294099</v>
      </c>
      <c r="CI88" s="75">
        <v>1154523</v>
      </c>
      <c r="CJ88" s="75">
        <v>1053152</v>
      </c>
      <c r="CK88" s="75">
        <v>974869</v>
      </c>
      <c r="CL88" s="75">
        <v>911174</v>
      </c>
      <c r="CM88" s="75">
        <v>876740</v>
      </c>
      <c r="CN88" s="75">
        <v>801745</v>
      </c>
      <c r="CO88" s="75">
        <v>712237</v>
      </c>
      <c r="CP88" s="75">
        <v>625441</v>
      </c>
      <c r="CQ88" s="75">
        <v>547966</v>
      </c>
      <c r="CR88" s="75">
        <v>472037</v>
      </c>
      <c r="CS88" s="75">
        <v>382328</v>
      </c>
      <c r="CT88" s="75">
        <v>313217</v>
      </c>
      <c r="CU88" s="75">
        <v>249807</v>
      </c>
      <c r="CV88" s="75">
        <v>190333</v>
      </c>
      <c r="CW88" s="75">
        <v>145895</v>
      </c>
      <c r="CX88" s="75">
        <v>105398</v>
      </c>
      <c r="CY88" s="75">
        <v>74643</v>
      </c>
      <c r="CZ88" s="75">
        <v>116291</v>
      </c>
    </row>
    <row r="89" spans="1:104" ht="17.100000000000001">
      <c r="A89" s="70" t="s">
        <v>660</v>
      </c>
      <c r="B89" s="71">
        <v>2053</v>
      </c>
      <c r="C89" s="75">
        <v>200672422</v>
      </c>
      <c r="D89" s="75">
        <v>2281096</v>
      </c>
      <c r="E89" s="75">
        <v>2286049</v>
      </c>
      <c r="F89" s="75">
        <v>2289906</v>
      </c>
      <c r="G89" s="75">
        <v>2291800</v>
      </c>
      <c r="H89" s="75">
        <v>2292020</v>
      </c>
      <c r="I89" s="75">
        <v>2291057</v>
      </c>
      <c r="J89" s="75">
        <v>2289466</v>
      </c>
      <c r="K89" s="75">
        <v>2287779</v>
      </c>
      <c r="L89" s="75">
        <v>2286268</v>
      </c>
      <c r="M89" s="75">
        <v>2284961</v>
      </c>
      <c r="N89" s="75">
        <v>2284098</v>
      </c>
      <c r="O89" s="75">
        <v>2283471</v>
      </c>
      <c r="P89" s="75">
        <v>2283162</v>
      </c>
      <c r="Q89" s="75">
        <v>2283487</v>
      </c>
      <c r="R89" s="75">
        <v>2285050</v>
      </c>
      <c r="S89" s="75">
        <v>2288990</v>
      </c>
      <c r="T89" s="75">
        <v>2296664</v>
      </c>
      <c r="U89" s="75">
        <v>2309232</v>
      </c>
      <c r="V89" s="75">
        <v>2326851</v>
      </c>
      <c r="W89" s="75">
        <v>2348633</v>
      </c>
      <c r="X89" s="75">
        <v>2373273</v>
      </c>
      <c r="Y89" s="75">
        <v>2399768</v>
      </c>
      <c r="Z89" s="75">
        <v>2426889</v>
      </c>
      <c r="AA89" s="75">
        <v>2453570</v>
      </c>
      <c r="AB89" s="75">
        <v>2478991</v>
      </c>
      <c r="AC89" s="75">
        <v>2502493</v>
      </c>
      <c r="AD89" s="75">
        <v>2523888</v>
      </c>
      <c r="AE89" s="75">
        <v>2542683</v>
      </c>
      <c r="AF89" s="75">
        <v>2558929</v>
      </c>
      <c r="AG89" s="75">
        <v>2572901</v>
      </c>
      <c r="AH89" s="75">
        <v>2584542</v>
      </c>
      <c r="AI89" s="75">
        <v>2593321</v>
      </c>
      <c r="AJ89" s="75">
        <v>2598750</v>
      </c>
      <c r="AK89" s="75">
        <v>2600386</v>
      </c>
      <c r="AL89" s="75">
        <v>2598678</v>
      </c>
      <c r="AM89" s="75">
        <v>2594431</v>
      </c>
      <c r="AN89" s="75">
        <v>2588161</v>
      </c>
      <c r="AO89" s="75">
        <v>2579915</v>
      </c>
      <c r="AP89" s="75">
        <v>2570500</v>
      </c>
      <c r="AQ89" s="75">
        <v>2560046</v>
      </c>
      <c r="AR89" s="75">
        <v>2548113</v>
      </c>
      <c r="AS89" s="75">
        <v>2548205</v>
      </c>
      <c r="AT89" s="75">
        <v>2559404</v>
      </c>
      <c r="AU89" s="75">
        <v>2549652</v>
      </c>
      <c r="AV89" s="75">
        <v>2543528</v>
      </c>
      <c r="AW89" s="75">
        <v>2602311</v>
      </c>
      <c r="AX89" s="75">
        <v>2607118</v>
      </c>
      <c r="AY89" s="75">
        <v>2582585</v>
      </c>
      <c r="AZ89" s="75">
        <v>2565264</v>
      </c>
      <c r="BA89" s="75">
        <v>2556653</v>
      </c>
      <c r="BB89" s="75">
        <v>2527336</v>
      </c>
      <c r="BC89" s="75">
        <v>2505908</v>
      </c>
      <c r="BD89" s="75">
        <v>2542765</v>
      </c>
      <c r="BE89" s="75">
        <v>2560202</v>
      </c>
      <c r="BF89" s="75">
        <v>2508114</v>
      </c>
      <c r="BG89" s="75">
        <v>2488731</v>
      </c>
      <c r="BH89" s="75">
        <v>2470232</v>
      </c>
      <c r="BI89" s="75">
        <v>2464702</v>
      </c>
      <c r="BJ89" s="75">
        <v>2481828</v>
      </c>
      <c r="BK89" s="75">
        <v>2494045</v>
      </c>
      <c r="BL89" s="75">
        <v>2494977</v>
      </c>
      <c r="BM89" s="75">
        <v>2508549</v>
      </c>
      <c r="BN89" s="75">
        <v>2501403</v>
      </c>
      <c r="BO89" s="75">
        <v>2455878</v>
      </c>
      <c r="BP89" s="75">
        <v>2333480</v>
      </c>
      <c r="BQ89" s="75">
        <v>2243126</v>
      </c>
      <c r="BR89" s="75">
        <v>2170772</v>
      </c>
      <c r="BS89" s="75">
        <v>2136933</v>
      </c>
      <c r="BT89" s="75">
        <v>2104482</v>
      </c>
      <c r="BU89" s="75">
        <v>1998465</v>
      </c>
      <c r="BV89" s="75">
        <v>1978567</v>
      </c>
      <c r="BW89" s="75">
        <v>1935503</v>
      </c>
      <c r="BX89" s="75">
        <v>1868907</v>
      </c>
      <c r="BY89" s="75">
        <v>1859721</v>
      </c>
      <c r="BZ89" s="75">
        <v>1700385</v>
      </c>
      <c r="CA89" s="75">
        <v>1618461</v>
      </c>
      <c r="CB89" s="75">
        <v>1549452</v>
      </c>
      <c r="CC89" s="75">
        <v>1456345</v>
      </c>
      <c r="CD89" s="75">
        <v>1444113</v>
      </c>
      <c r="CE89" s="75">
        <v>1340711</v>
      </c>
      <c r="CF89" s="75">
        <v>1293250</v>
      </c>
      <c r="CG89" s="75">
        <v>1284995</v>
      </c>
      <c r="CH89" s="75">
        <v>1282396</v>
      </c>
      <c r="CI89" s="75">
        <v>1224633</v>
      </c>
      <c r="CJ89" s="75">
        <v>1085290</v>
      </c>
      <c r="CK89" s="75">
        <v>982563</v>
      </c>
      <c r="CL89" s="75">
        <v>902008</v>
      </c>
      <c r="CM89" s="75">
        <v>835353</v>
      </c>
      <c r="CN89" s="75">
        <v>795695</v>
      </c>
      <c r="CO89" s="75">
        <v>719566</v>
      </c>
      <c r="CP89" s="75">
        <v>631425</v>
      </c>
      <c r="CQ89" s="75">
        <v>547022</v>
      </c>
      <c r="CR89" s="75">
        <v>472203</v>
      </c>
      <c r="CS89" s="75">
        <v>400257</v>
      </c>
      <c r="CT89" s="75">
        <v>318557</v>
      </c>
      <c r="CU89" s="75">
        <v>256094</v>
      </c>
      <c r="CV89" s="75">
        <v>200130</v>
      </c>
      <c r="CW89" s="75">
        <v>149193</v>
      </c>
      <c r="CX89" s="75">
        <v>111735</v>
      </c>
      <c r="CY89" s="75">
        <v>78755</v>
      </c>
      <c r="CZ89" s="75">
        <v>122221</v>
      </c>
    </row>
    <row r="90" spans="1:104" ht="17.100000000000001">
      <c r="A90" s="70" t="s">
        <v>660</v>
      </c>
      <c r="B90" s="71">
        <v>2054</v>
      </c>
      <c r="C90" s="75">
        <v>201668373</v>
      </c>
      <c r="D90" s="75">
        <v>2287344</v>
      </c>
      <c r="E90" s="75">
        <v>2292688</v>
      </c>
      <c r="F90" s="75">
        <v>2296931</v>
      </c>
      <c r="G90" s="75">
        <v>2299157</v>
      </c>
      <c r="H90" s="75">
        <v>2299608</v>
      </c>
      <c r="I90" s="75">
        <v>2298874</v>
      </c>
      <c r="J90" s="75">
        <v>2297477</v>
      </c>
      <c r="K90" s="75">
        <v>2295793</v>
      </c>
      <c r="L90" s="75">
        <v>2294248</v>
      </c>
      <c r="M90" s="75">
        <v>2292773</v>
      </c>
      <c r="N90" s="75">
        <v>2291644</v>
      </c>
      <c r="O90" s="75">
        <v>2290719</v>
      </c>
      <c r="P90" s="75">
        <v>2290059</v>
      </c>
      <c r="Q90" s="75">
        <v>2290002</v>
      </c>
      <c r="R90" s="75">
        <v>2291238</v>
      </c>
      <c r="S90" s="75">
        <v>2294867</v>
      </c>
      <c r="T90" s="75">
        <v>2302209</v>
      </c>
      <c r="U90" s="75">
        <v>2314432</v>
      </c>
      <c r="V90" s="75">
        <v>2331734</v>
      </c>
      <c r="W90" s="75">
        <v>2353069</v>
      </c>
      <c r="X90" s="75">
        <v>2377105</v>
      </c>
      <c r="Y90" s="75">
        <v>2402982</v>
      </c>
      <c r="Z90" s="75">
        <v>2429659</v>
      </c>
      <c r="AA90" s="75">
        <v>2456082</v>
      </c>
      <c r="AB90" s="75">
        <v>2481600</v>
      </c>
      <c r="AC90" s="75">
        <v>2505392</v>
      </c>
      <c r="AD90" s="75">
        <v>2527274</v>
      </c>
      <c r="AE90" s="75">
        <v>2547018</v>
      </c>
      <c r="AF90" s="75">
        <v>2564318</v>
      </c>
      <c r="AG90" s="75">
        <v>2579148</v>
      </c>
      <c r="AH90" s="75">
        <v>2591624</v>
      </c>
      <c r="AI90" s="75">
        <v>2601425</v>
      </c>
      <c r="AJ90" s="75">
        <v>2608278</v>
      </c>
      <c r="AK90" s="75">
        <v>2612055</v>
      </c>
      <c r="AL90" s="75">
        <v>2612574</v>
      </c>
      <c r="AM90" s="75">
        <v>2609969</v>
      </c>
      <c r="AN90" s="75">
        <v>2604789</v>
      </c>
      <c r="AO90" s="75">
        <v>2597646</v>
      </c>
      <c r="AP90" s="75">
        <v>2588693</v>
      </c>
      <c r="AQ90" s="75">
        <v>2578554</v>
      </c>
      <c r="AR90" s="75">
        <v>2567202</v>
      </c>
      <c r="AS90" s="75">
        <v>2554142</v>
      </c>
      <c r="AT90" s="75">
        <v>2553168</v>
      </c>
      <c r="AU90" s="75">
        <v>2563529</v>
      </c>
      <c r="AV90" s="75">
        <v>2553188</v>
      </c>
      <c r="AW90" s="75">
        <v>2546522</v>
      </c>
      <c r="AX90" s="75">
        <v>2604565</v>
      </c>
      <c r="AY90" s="75">
        <v>2608490</v>
      </c>
      <c r="AZ90" s="75">
        <v>2583045</v>
      </c>
      <c r="BA90" s="75">
        <v>2564869</v>
      </c>
      <c r="BB90" s="75">
        <v>2555487</v>
      </c>
      <c r="BC90" s="75">
        <v>2525404</v>
      </c>
      <c r="BD90" s="75">
        <v>2503235</v>
      </c>
      <c r="BE90" s="75">
        <v>2539204</v>
      </c>
      <c r="BF90" s="75">
        <v>2555658</v>
      </c>
      <c r="BG90" s="75">
        <v>2502850</v>
      </c>
      <c r="BH90" s="75">
        <v>2482563</v>
      </c>
      <c r="BI90" s="75">
        <v>2463179</v>
      </c>
      <c r="BJ90" s="75">
        <v>2456669</v>
      </c>
      <c r="BK90" s="75">
        <v>2472708</v>
      </c>
      <c r="BL90" s="75">
        <v>2483889</v>
      </c>
      <c r="BM90" s="75">
        <v>2483873</v>
      </c>
      <c r="BN90" s="75">
        <v>2496242</v>
      </c>
      <c r="BO90" s="75">
        <v>2487810</v>
      </c>
      <c r="BP90" s="75">
        <v>2441042</v>
      </c>
      <c r="BQ90" s="75">
        <v>2317687</v>
      </c>
      <c r="BR90" s="75">
        <v>2225976</v>
      </c>
      <c r="BS90" s="75">
        <v>2152090</v>
      </c>
      <c r="BT90" s="75">
        <v>2116237</v>
      </c>
      <c r="BU90" s="75">
        <v>2081673</v>
      </c>
      <c r="BV90" s="75">
        <v>1974329</v>
      </c>
      <c r="BW90" s="75">
        <v>1951766</v>
      </c>
      <c r="BX90" s="75">
        <v>1906224</v>
      </c>
      <c r="BY90" s="75">
        <v>1837205</v>
      </c>
      <c r="BZ90" s="75">
        <v>1824286</v>
      </c>
      <c r="CA90" s="75">
        <v>1664316</v>
      </c>
      <c r="CB90" s="75">
        <v>1580130</v>
      </c>
      <c r="CC90" s="75">
        <v>1508364</v>
      </c>
      <c r="CD90" s="75">
        <v>1413005</v>
      </c>
      <c r="CE90" s="75">
        <v>1395822</v>
      </c>
      <c r="CF90" s="75">
        <v>1290005</v>
      </c>
      <c r="CG90" s="75">
        <v>1238043</v>
      </c>
      <c r="CH90" s="75">
        <v>1223734</v>
      </c>
      <c r="CI90" s="75">
        <v>1214122</v>
      </c>
      <c r="CJ90" s="75">
        <v>1151757</v>
      </c>
      <c r="CK90" s="75">
        <v>1013175</v>
      </c>
      <c r="CL90" s="75">
        <v>909675</v>
      </c>
      <c r="CM90" s="75">
        <v>827549</v>
      </c>
      <c r="CN90" s="75">
        <v>758703</v>
      </c>
      <c r="CO90" s="75">
        <v>714715</v>
      </c>
      <c r="CP90" s="75">
        <v>638485</v>
      </c>
      <c r="CQ90" s="75">
        <v>552768</v>
      </c>
      <c r="CR90" s="75">
        <v>471891</v>
      </c>
      <c r="CS90" s="75">
        <v>400853</v>
      </c>
      <c r="CT90" s="75">
        <v>333904</v>
      </c>
      <c r="CU90" s="75">
        <v>260792</v>
      </c>
      <c r="CV90" s="75">
        <v>205454</v>
      </c>
      <c r="CW90" s="75">
        <v>157106</v>
      </c>
      <c r="CX90" s="75">
        <v>114435</v>
      </c>
      <c r="CY90" s="75">
        <v>83628</v>
      </c>
      <c r="CZ90" s="75">
        <v>128885</v>
      </c>
    </row>
    <row r="91" spans="1:104" ht="17.100000000000001">
      <c r="A91" s="70" t="s">
        <v>660</v>
      </c>
      <c r="B91" s="71">
        <v>2055</v>
      </c>
      <c r="C91" s="75">
        <v>202670930</v>
      </c>
      <c r="D91" s="75">
        <v>2293249</v>
      </c>
      <c r="E91" s="75">
        <v>2298981</v>
      </c>
      <c r="F91" s="75">
        <v>2303607</v>
      </c>
      <c r="G91" s="75">
        <v>2306213</v>
      </c>
      <c r="H91" s="75">
        <v>2306988</v>
      </c>
      <c r="I91" s="75">
        <v>2306481</v>
      </c>
      <c r="J91" s="75">
        <v>2305308</v>
      </c>
      <c r="K91" s="75">
        <v>2303821</v>
      </c>
      <c r="L91" s="75">
        <v>2302278</v>
      </c>
      <c r="M91" s="75">
        <v>2300766</v>
      </c>
      <c r="N91" s="75">
        <v>2299464</v>
      </c>
      <c r="O91" s="75">
        <v>2298275</v>
      </c>
      <c r="P91" s="75">
        <v>2297315</v>
      </c>
      <c r="Q91" s="75">
        <v>2296909</v>
      </c>
      <c r="R91" s="75">
        <v>2297769</v>
      </c>
      <c r="S91" s="75">
        <v>2301079</v>
      </c>
      <c r="T91" s="75">
        <v>2308125</v>
      </c>
      <c r="U91" s="75">
        <v>2320020</v>
      </c>
      <c r="V91" s="75">
        <v>2336983</v>
      </c>
      <c r="W91" s="75">
        <v>2357999</v>
      </c>
      <c r="X91" s="75">
        <v>2381602</v>
      </c>
      <c r="Y91" s="75">
        <v>2406898</v>
      </c>
      <c r="Z91" s="75">
        <v>2432959</v>
      </c>
      <c r="AA91" s="75">
        <v>2458940</v>
      </c>
      <c r="AB91" s="75">
        <v>2484193</v>
      </c>
      <c r="AC91" s="75">
        <v>2508086</v>
      </c>
      <c r="AD91" s="75">
        <v>2530250</v>
      </c>
      <c r="AE91" s="75">
        <v>2550476</v>
      </c>
      <c r="AF91" s="75">
        <v>2568722</v>
      </c>
      <c r="AG91" s="75">
        <v>2584614</v>
      </c>
      <c r="AH91" s="75">
        <v>2597947</v>
      </c>
      <c r="AI91" s="75">
        <v>2608579</v>
      </c>
      <c r="AJ91" s="75">
        <v>2616448</v>
      </c>
      <c r="AK91" s="75">
        <v>2621637</v>
      </c>
      <c r="AL91" s="75">
        <v>2624293</v>
      </c>
      <c r="AM91" s="75">
        <v>2623907</v>
      </c>
      <c r="AN91" s="75">
        <v>2620365</v>
      </c>
      <c r="AO91" s="75">
        <v>2614310</v>
      </c>
      <c r="AP91" s="75">
        <v>2606457</v>
      </c>
      <c r="AQ91" s="75">
        <v>2596785</v>
      </c>
      <c r="AR91" s="75">
        <v>2585749</v>
      </c>
      <c r="AS91" s="75">
        <v>2573278</v>
      </c>
      <c r="AT91" s="75">
        <v>2559156</v>
      </c>
      <c r="AU91" s="75">
        <v>2557351</v>
      </c>
      <c r="AV91" s="75">
        <v>2567111</v>
      </c>
      <c r="AW91" s="75">
        <v>2556221</v>
      </c>
      <c r="AX91" s="75">
        <v>2548924</v>
      </c>
      <c r="AY91" s="75">
        <v>2606043</v>
      </c>
      <c r="AZ91" s="75">
        <v>2609011</v>
      </c>
      <c r="BA91" s="75">
        <v>2582743</v>
      </c>
      <c r="BB91" s="75">
        <v>2563806</v>
      </c>
      <c r="BC91" s="75">
        <v>2553648</v>
      </c>
      <c r="BD91" s="75">
        <v>2522836</v>
      </c>
      <c r="BE91" s="75">
        <v>2499924</v>
      </c>
      <c r="BF91" s="75">
        <v>2534935</v>
      </c>
      <c r="BG91" s="75">
        <v>2550447</v>
      </c>
      <c r="BH91" s="75">
        <v>2496843</v>
      </c>
      <c r="BI91" s="75">
        <v>2475667</v>
      </c>
      <c r="BJ91" s="75">
        <v>2455376</v>
      </c>
      <c r="BK91" s="75">
        <v>2447937</v>
      </c>
      <c r="BL91" s="75">
        <v>2462915</v>
      </c>
      <c r="BM91" s="75">
        <v>2473119</v>
      </c>
      <c r="BN91" s="75">
        <v>2472025</v>
      </c>
      <c r="BO91" s="75">
        <v>2482959</v>
      </c>
      <c r="BP91" s="75">
        <v>2473066</v>
      </c>
      <c r="BQ91" s="75">
        <v>2424742</v>
      </c>
      <c r="BR91" s="75">
        <v>2300259</v>
      </c>
      <c r="BS91" s="75">
        <v>2207071</v>
      </c>
      <c r="BT91" s="75">
        <v>2131558</v>
      </c>
      <c r="BU91" s="75">
        <v>2093656</v>
      </c>
      <c r="BV91" s="75">
        <v>2056791</v>
      </c>
      <c r="BW91" s="75">
        <v>1948012</v>
      </c>
      <c r="BX91" s="75">
        <v>1922549</v>
      </c>
      <c r="BY91" s="75">
        <v>1874292</v>
      </c>
      <c r="BZ91" s="75">
        <v>1802733</v>
      </c>
      <c r="CA91" s="75">
        <v>1785960</v>
      </c>
      <c r="CB91" s="75">
        <v>1625337</v>
      </c>
      <c r="CC91" s="75">
        <v>1538672</v>
      </c>
      <c r="CD91" s="75">
        <v>1463922</v>
      </c>
      <c r="CE91" s="75">
        <v>1366236</v>
      </c>
      <c r="CF91" s="75">
        <v>1343490</v>
      </c>
      <c r="CG91" s="75">
        <v>1235467</v>
      </c>
      <c r="CH91" s="75">
        <v>1179499</v>
      </c>
      <c r="CI91" s="75">
        <v>1159088</v>
      </c>
      <c r="CJ91" s="75">
        <v>1142476</v>
      </c>
      <c r="CK91" s="75">
        <v>1075815</v>
      </c>
      <c r="CL91" s="75">
        <v>938643</v>
      </c>
      <c r="CM91" s="75">
        <v>835123</v>
      </c>
      <c r="CN91" s="75">
        <v>752190</v>
      </c>
      <c r="CO91" s="75">
        <v>682034</v>
      </c>
      <c r="CP91" s="75">
        <v>634723</v>
      </c>
      <c r="CQ91" s="75">
        <v>559490</v>
      </c>
      <c r="CR91" s="75">
        <v>477323</v>
      </c>
      <c r="CS91" s="75">
        <v>401032</v>
      </c>
      <c r="CT91" s="75">
        <v>334807</v>
      </c>
      <c r="CU91" s="75">
        <v>273705</v>
      </c>
      <c r="CV91" s="75">
        <v>209501</v>
      </c>
      <c r="CW91" s="75">
        <v>161510</v>
      </c>
      <c r="CX91" s="75">
        <v>120695</v>
      </c>
      <c r="CY91" s="75">
        <v>85784</v>
      </c>
      <c r="CZ91" s="75">
        <v>136557</v>
      </c>
    </row>
    <row r="92" spans="1:104" ht="17.100000000000001">
      <c r="A92" s="70" t="s">
        <v>660</v>
      </c>
      <c r="B92" s="71">
        <v>2056</v>
      </c>
      <c r="C92" s="75">
        <v>203679892</v>
      </c>
      <c r="D92" s="75">
        <v>2298822</v>
      </c>
      <c r="E92" s="75">
        <v>2304919</v>
      </c>
      <c r="F92" s="75">
        <v>2309920</v>
      </c>
      <c r="G92" s="75">
        <v>2312912</v>
      </c>
      <c r="H92" s="75">
        <v>2314068</v>
      </c>
      <c r="I92" s="75">
        <v>2313876</v>
      </c>
      <c r="J92" s="75">
        <v>2312933</v>
      </c>
      <c r="K92" s="75">
        <v>2311666</v>
      </c>
      <c r="L92" s="75">
        <v>2310325</v>
      </c>
      <c r="M92" s="75">
        <v>2308812</v>
      </c>
      <c r="N92" s="75">
        <v>2307477</v>
      </c>
      <c r="O92" s="75">
        <v>2306112</v>
      </c>
      <c r="P92" s="75">
        <v>2304880</v>
      </c>
      <c r="Q92" s="75">
        <v>2304185</v>
      </c>
      <c r="R92" s="75">
        <v>2304698</v>
      </c>
      <c r="S92" s="75">
        <v>2307625</v>
      </c>
      <c r="T92" s="75">
        <v>2314357</v>
      </c>
      <c r="U92" s="75">
        <v>2325973</v>
      </c>
      <c r="V92" s="75">
        <v>2342626</v>
      </c>
      <c r="W92" s="75">
        <v>2363312</v>
      </c>
      <c r="X92" s="75">
        <v>2386601</v>
      </c>
      <c r="Y92" s="75">
        <v>2411471</v>
      </c>
      <c r="Z92" s="75">
        <v>2436951</v>
      </c>
      <c r="AA92" s="75">
        <v>2462321</v>
      </c>
      <c r="AB92" s="75">
        <v>2487135</v>
      </c>
      <c r="AC92" s="75">
        <v>2510761</v>
      </c>
      <c r="AD92" s="75">
        <v>2533021</v>
      </c>
      <c r="AE92" s="75">
        <v>2553525</v>
      </c>
      <c r="AF92" s="75">
        <v>2572253</v>
      </c>
      <c r="AG92" s="75">
        <v>2589090</v>
      </c>
      <c r="AH92" s="75">
        <v>2603482</v>
      </c>
      <c r="AI92" s="75">
        <v>2614964</v>
      </c>
      <c r="AJ92" s="75">
        <v>2623661</v>
      </c>
      <c r="AK92" s="75">
        <v>2629863</v>
      </c>
      <c r="AL92" s="75">
        <v>2633932</v>
      </c>
      <c r="AM92" s="75">
        <v>2635686</v>
      </c>
      <c r="AN92" s="75">
        <v>2634362</v>
      </c>
      <c r="AO92" s="75">
        <v>2629942</v>
      </c>
      <c r="AP92" s="75">
        <v>2623180</v>
      </c>
      <c r="AQ92" s="75">
        <v>2614591</v>
      </c>
      <c r="AR92" s="75">
        <v>2604038</v>
      </c>
      <c r="AS92" s="75">
        <v>2591876</v>
      </c>
      <c r="AT92" s="75">
        <v>2578342</v>
      </c>
      <c r="AU92" s="75">
        <v>2563385</v>
      </c>
      <c r="AV92" s="75">
        <v>2560997</v>
      </c>
      <c r="AW92" s="75">
        <v>2570211</v>
      </c>
      <c r="AX92" s="75">
        <v>2558682</v>
      </c>
      <c r="AY92" s="75">
        <v>2550556</v>
      </c>
      <c r="AZ92" s="75">
        <v>2606661</v>
      </c>
      <c r="BA92" s="75">
        <v>2608771</v>
      </c>
      <c r="BB92" s="75">
        <v>2581782</v>
      </c>
      <c r="BC92" s="75">
        <v>2562091</v>
      </c>
      <c r="BD92" s="75">
        <v>2551192</v>
      </c>
      <c r="BE92" s="75">
        <v>2519645</v>
      </c>
      <c r="BF92" s="75">
        <v>2495928</v>
      </c>
      <c r="BG92" s="75">
        <v>2529994</v>
      </c>
      <c r="BH92" s="75">
        <v>2544487</v>
      </c>
      <c r="BI92" s="75">
        <v>2490111</v>
      </c>
      <c r="BJ92" s="75">
        <v>2468032</v>
      </c>
      <c r="BK92" s="75">
        <v>2446895</v>
      </c>
      <c r="BL92" s="75">
        <v>2438549</v>
      </c>
      <c r="BM92" s="75">
        <v>2452509</v>
      </c>
      <c r="BN92" s="75">
        <v>2461615</v>
      </c>
      <c r="BO92" s="75">
        <v>2459223</v>
      </c>
      <c r="BP92" s="75">
        <v>2468539</v>
      </c>
      <c r="BQ92" s="75">
        <v>2456833</v>
      </c>
      <c r="BR92" s="75">
        <v>2406726</v>
      </c>
      <c r="BS92" s="75">
        <v>2281023</v>
      </c>
      <c r="BT92" s="75">
        <v>2186285</v>
      </c>
      <c r="BU92" s="75">
        <v>2109145</v>
      </c>
      <c r="BV92" s="75">
        <v>2069025</v>
      </c>
      <c r="BW92" s="75">
        <v>2029658</v>
      </c>
      <c r="BX92" s="75">
        <v>1919289</v>
      </c>
      <c r="BY92" s="75">
        <v>1890678</v>
      </c>
      <c r="BZ92" s="75">
        <v>1839548</v>
      </c>
      <c r="CA92" s="75">
        <v>1765398</v>
      </c>
      <c r="CB92" s="75">
        <v>1744523</v>
      </c>
      <c r="CC92" s="75">
        <v>1583137</v>
      </c>
      <c r="CD92" s="75">
        <v>1493794</v>
      </c>
      <c r="CE92" s="75">
        <v>1415921</v>
      </c>
      <c r="CF92" s="75">
        <v>1315496</v>
      </c>
      <c r="CG92" s="75">
        <v>1287139</v>
      </c>
      <c r="CH92" s="75">
        <v>1177567</v>
      </c>
      <c r="CI92" s="75">
        <v>1117674</v>
      </c>
      <c r="CJ92" s="75">
        <v>1091199</v>
      </c>
      <c r="CK92" s="75">
        <v>1067737</v>
      </c>
      <c r="CL92" s="75">
        <v>997281</v>
      </c>
      <c r="CM92" s="75">
        <v>862351</v>
      </c>
      <c r="CN92" s="75">
        <v>759618</v>
      </c>
      <c r="CO92" s="75">
        <v>676735</v>
      </c>
      <c r="CP92" s="75">
        <v>606219</v>
      </c>
      <c r="CQ92" s="75">
        <v>556703</v>
      </c>
      <c r="CR92" s="75">
        <v>483626</v>
      </c>
      <c r="CS92" s="75">
        <v>406083</v>
      </c>
      <c r="CT92" s="75">
        <v>335360</v>
      </c>
      <c r="CU92" s="75">
        <v>274791</v>
      </c>
      <c r="CV92" s="75">
        <v>220172</v>
      </c>
      <c r="CW92" s="75">
        <v>164925</v>
      </c>
      <c r="CX92" s="75">
        <v>124257</v>
      </c>
      <c r="CY92" s="75">
        <v>90617</v>
      </c>
      <c r="CZ92" s="75">
        <v>142958</v>
      </c>
    </row>
    <row r="93" spans="1:104" ht="17.100000000000001">
      <c r="A93" s="70" t="s">
        <v>660</v>
      </c>
      <c r="B93" s="71">
        <v>2057</v>
      </c>
      <c r="C93" s="75">
        <v>204694411</v>
      </c>
      <c r="D93" s="75">
        <v>2304111</v>
      </c>
      <c r="E93" s="75">
        <v>2310526</v>
      </c>
      <c r="F93" s="75">
        <v>2315885</v>
      </c>
      <c r="G93" s="75">
        <v>2319252</v>
      </c>
      <c r="H93" s="75">
        <v>2320791</v>
      </c>
      <c r="I93" s="75">
        <v>2320974</v>
      </c>
      <c r="J93" s="75">
        <v>2320345</v>
      </c>
      <c r="K93" s="75">
        <v>2319313</v>
      </c>
      <c r="L93" s="75">
        <v>2318184</v>
      </c>
      <c r="M93" s="75">
        <v>2316874</v>
      </c>
      <c r="N93" s="75">
        <v>2315535</v>
      </c>
      <c r="O93" s="75">
        <v>2314135</v>
      </c>
      <c r="P93" s="75">
        <v>2312737</v>
      </c>
      <c r="Q93" s="75">
        <v>2311767</v>
      </c>
      <c r="R93" s="75">
        <v>2312000</v>
      </c>
      <c r="S93" s="75">
        <v>2314578</v>
      </c>
      <c r="T93" s="75">
        <v>2320930</v>
      </c>
      <c r="U93" s="75">
        <v>2332236</v>
      </c>
      <c r="V93" s="75">
        <v>2348606</v>
      </c>
      <c r="W93" s="75">
        <v>2369001</v>
      </c>
      <c r="X93" s="75">
        <v>2391961</v>
      </c>
      <c r="Y93" s="75">
        <v>2416521</v>
      </c>
      <c r="Z93" s="75">
        <v>2441591</v>
      </c>
      <c r="AA93" s="75">
        <v>2466388</v>
      </c>
      <c r="AB93" s="75">
        <v>2490596</v>
      </c>
      <c r="AC93" s="75">
        <v>2513777</v>
      </c>
      <c r="AD93" s="75">
        <v>2535761</v>
      </c>
      <c r="AE93" s="75">
        <v>2556362</v>
      </c>
      <c r="AF93" s="75">
        <v>2575366</v>
      </c>
      <c r="AG93" s="75">
        <v>2592675</v>
      </c>
      <c r="AH93" s="75">
        <v>2608019</v>
      </c>
      <c r="AI93" s="75">
        <v>2620552</v>
      </c>
      <c r="AJ93" s="75">
        <v>2630095</v>
      </c>
      <c r="AK93" s="75">
        <v>2637116</v>
      </c>
      <c r="AL93" s="75">
        <v>2642203</v>
      </c>
      <c r="AM93" s="75">
        <v>2645360</v>
      </c>
      <c r="AN93" s="75">
        <v>2646171</v>
      </c>
      <c r="AO93" s="75">
        <v>2643967</v>
      </c>
      <c r="AP93" s="75">
        <v>2638839</v>
      </c>
      <c r="AQ93" s="75">
        <v>2631351</v>
      </c>
      <c r="AR93" s="75">
        <v>2621889</v>
      </c>
      <c r="AS93" s="75">
        <v>2610204</v>
      </c>
      <c r="AT93" s="75">
        <v>2596977</v>
      </c>
      <c r="AU93" s="75">
        <v>2582619</v>
      </c>
      <c r="AV93" s="75">
        <v>2567083</v>
      </c>
      <c r="AW93" s="75">
        <v>2564161</v>
      </c>
      <c r="AX93" s="75">
        <v>2572734</v>
      </c>
      <c r="AY93" s="75">
        <v>2560377</v>
      </c>
      <c r="AZ93" s="75">
        <v>2551336</v>
      </c>
      <c r="BA93" s="75">
        <v>2606525</v>
      </c>
      <c r="BB93" s="75">
        <v>2607873</v>
      </c>
      <c r="BC93" s="75">
        <v>2580160</v>
      </c>
      <c r="BD93" s="75">
        <v>2559760</v>
      </c>
      <c r="BE93" s="75">
        <v>2548108</v>
      </c>
      <c r="BF93" s="75">
        <v>2515759</v>
      </c>
      <c r="BG93" s="75">
        <v>2491280</v>
      </c>
      <c r="BH93" s="75">
        <v>2524323</v>
      </c>
      <c r="BI93" s="75">
        <v>2537793</v>
      </c>
      <c r="BJ93" s="75">
        <v>2482638</v>
      </c>
      <c r="BK93" s="75">
        <v>2459704</v>
      </c>
      <c r="BL93" s="75">
        <v>2437759</v>
      </c>
      <c r="BM93" s="75">
        <v>2428570</v>
      </c>
      <c r="BN93" s="75">
        <v>2441394</v>
      </c>
      <c r="BO93" s="75">
        <v>2449178</v>
      </c>
      <c r="BP93" s="75">
        <v>2445305</v>
      </c>
      <c r="BQ93" s="75">
        <v>2452647</v>
      </c>
      <c r="BR93" s="75">
        <v>2438897</v>
      </c>
      <c r="BS93" s="75">
        <v>2386860</v>
      </c>
      <c r="BT93" s="75">
        <v>2259867</v>
      </c>
      <c r="BU93" s="75">
        <v>2163575</v>
      </c>
      <c r="BV93" s="75">
        <v>2084650</v>
      </c>
      <c r="BW93" s="75">
        <v>2042117</v>
      </c>
      <c r="BX93" s="75">
        <v>2000026</v>
      </c>
      <c r="BY93" s="75">
        <v>1887903</v>
      </c>
      <c r="BZ93" s="75">
        <v>1855962</v>
      </c>
      <c r="CA93" s="75">
        <v>1801889</v>
      </c>
      <c r="CB93" s="75">
        <v>1725007</v>
      </c>
      <c r="CC93" s="75">
        <v>1699657</v>
      </c>
      <c r="CD93" s="75">
        <v>1537432</v>
      </c>
      <c r="CE93" s="75">
        <v>1445284</v>
      </c>
      <c r="CF93" s="75">
        <v>1363805</v>
      </c>
      <c r="CG93" s="75">
        <v>1260815</v>
      </c>
      <c r="CH93" s="75">
        <v>1227301</v>
      </c>
      <c r="CI93" s="75">
        <v>1116389</v>
      </c>
      <c r="CJ93" s="75">
        <v>1052710</v>
      </c>
      <c r="CK93" s="75">
        <v>1020336</v>
      </c>
      <c r="CL93" s="75">
        <v>990386</v>
      </c>
      <c r="CM93" s="75">
        <v>916799</v>
      </c>
      <c r="CN93" s="75">
        <v>784989</v>
      </c>
      <c r="CO93" s="75">
        <v>683948</v>
      </c>
      <c r="CP93" s="75">
        <v>602049</v>
      </c>
      <c r="CQ93" s="75">
        <v>532206</v>
      </c>
      <c r="CR93" s="75">
        <v>481708</v>
      </c>
      <c r="CS93" s="75">
        <v>411893</v>
      </c>
      <c r="CT93" s="75">
        <v>339964</v>
      </c>
      <c r="CU93" s="75">
        <v>275592</v>
      </c>
      <c r="CV93" s="75">
        <v>221340</v>
      </c>
      <c r="CW93" s="75">
        <v>173570</v>
      </c>
      <c r="CX93" s="75">
        <v>127065</v>
      </c>
      <c r="CY93" s="75">
        <v>93431</v>
      </c>
      <c r="CZ93" s="75">
        <v>150382</v>
      </c>
    </row>
    <row r="94" spans="1:104" ht="17.100000000000001">
      <c r="A94" s="70" t="s">
        <v>660</v>
      </c>
      <c r="B94" s="71">
        <v>2058</v>
      </c>
      <c r="C94" s="75">
        <v>205713857</v>
      </c>
      <c r="D94" s="75">
        <v>2309162</v>
      </c>
      <c r="E94" s="75">
        <v>2315848</v>
      </c>
      <c r="F94" s="75">
        <v>2321518</v>
      </c>
      <c r="G94" s="75">
        <v>2325247</v>
      </c>
      <c r="H94" s="75">
        <v>2327149</v>
      </c>
      <c r="I94" s="75">
        <v>2327715</v>
      </c>
      <c r="J94" s="75">
        <v>2327458</v>
      </c>
      <c r="K94" s="75">
        <v>2326737</v>
      </c>
      <c r="L94" s="75">
        <v>2325841</v>
      </c>
      <c r="M94" s="75">
        <v>2324744</v>
      </c>
      <c r="N94" s="75">
        <v>2323605</v>
      </c>
      <c r="O94" s="75">
        <v>2322202</v>
      </c>
      <c r="P94" s="75">
        <v>2320766</v>
      </c>
      <c r="Q94" s="75">
        <v>2319631</v>
      </c>
      <c r="R94" s="75">
        <v>2319588</v>
      </c>
      <c r="S94" s="75">
        <v>2321886</v>
      </c>
      <c r="T94" s="75">
        <v>2327893</v>
      </c>
      <c r="U94" s="75">
        <v>2338831</v>
      </c>
      <c r="V94" s="75">
        <v>2354915</v>
      </c>
      <c r="W94" s="75">
        <v>2375030</v>
      </c>
      <c r="X94" s="75">
        <v>2397706</v>
      </c>
      <c r="Y94" s="75">
        <v>2421942</v>
      </c>
      <c r="Z94" s="75">
        <v>2446711</v>
      </c>
      <c r="AA94" s="75">
        <v>2471100</v>
      </c>
      <c r="AB94" s="75">
        <v>2494727</v>
      </c>
      <c r="AC94" s="75">
        <v>2517302</v>
      </c>
      <c r="AD94" s="75">
        <v>2538845</v>
      </c>
      <c r="AE94" s="75">
        <v>2559167</v>
      </c>
      <c r="AF94" s="75">
        <v>2578264</v>
      </c>
      <c r="AG94" s="75">
        <v>2595848</v>
      </c>
      <c r="AH94" s="75">
        <v>2611661</v>
      </c>
      <c r="AI94" s="75">
        <v>2625145</v>
      </c>
      <c r="AJ94" s="75">
        <v>2635741</v>
      </c>
      <c r="AK94" s="75">
        <v>2643595</v>
      </c>
      <c r="AL94" s="75">
        <v>2649498</v>
      </c>
      <c r="AM94" s="75">
        <v>2653670</v>
      </c>
      <c r="AN94" s="75">
        <v>2655880</v>
      </c>
      <c r="AO94" s="75">
        <v>2655805</v>
      </c>
      <c r="AP94" s="75">
        <v>2652906</v>
      </c>
      <c r="AQ94" s="75">
        <v>2647057</v>
      </c>
      <c r="AR94" s="75">
        <v>2638673</v>
      </c>
      <c r="AS94" s="75">
        <v>2628086</v>
      </c>
      <c r="AT94" s="75">
        <v>2615344</v>
      </c>
      <c r="AU94" s="75">
        <v>2601307</v>
      </c>
      <c r="AV94" s="75">
        <v>2586380</v>
      </c>
      <c r="AW94" s="75">
        <v>2570295</v>
      </c>
      <c r="AX94" s="75">
        <v>2566745</v>
      </c>
      <c r="AY94" s="75">
        <v>2574482</v>
      </c>
      <c r="AZ94" s="75">
        <v>2561223</v>
      </c>
      <c r="BA94" s="75">
        <v>2551391</v>
      </c>
      <c r="BB94" s="75">
        <v>2605732</v>
      </c>
      <c r="BC94" s="75">
        <v>2606303</v>
      </c>
      <c r="BD94" s="75">
        <v>2577928</v>
      </c>
      <c r="BE94" s="75">
        <v>2556806</v>
      </c>
      <c r="BF94" s="75">
        <v>2544333</v>
      </c>
      <c r="BG94" s="75">
        <v>2511231</v>
      </c>
      <c r="BH94" s="75">
        <v>2485913</v>
      </c>
      <c r="BI94" s="75">
        <v>2517922</v>
      </c>
      <c r="BJ94" s="75">
        <v>2530363</v>
      </c>
      <c r="BK94" s="75">
        <v>2474490</v>
      </c>
      <c r="BL94" s="75">
        <v>2450729</v>
      </c>
      <c r="BM94" s="75">
        <v>2428029</v>
      </c>
      <c r="BN94" s="75">
        <v>2417895</v>
      </c>
      <c r="BO94" s="75">
        <v>2429366</v>
      </c>
      <c r="BP94" s="75">
        <v>2435639</v>
      </c>
      <c r="BQ94" s="75">
        <v>2429927</v>
      </c>
      <c r="BR94" s="75">
        <v>2435051</v>
      </c>
      <c r="BS94" s="75">
        <v>2419088</v>
      </c>
      <c r="BT94" s="75">
        <v>2364983</v>
      </c>
      <c r="BU94" s="75">
        <v>2236734</v>
      </c>
      <c r="BV94" s="75">
        <v>2138760</v>
      </c>
      <c r="BW94" s="75">
        <v>2057898</v>
      </c>
      <c r="BX94" s="75">
        <v>2012710</v>
      </c>
      <c r="BY94" s="75">
        <v>1967658</v>
      </c>
      <c r="BZ94" s="75">
        <v>1853712</v>
      </c>
      <c r="CA94" s="75">
        <v>1818345</v>
      </c>
      <c r="CB94" s="75">
        <v>1761119</v>
      </c>
      <c r="CC94" s="75">
        <v>1681204</v>
      </c>
      <c r="CD94" s="75">
        <v>1651054</v>
      </c>
      <c r="CE94" s="75">
        <v>1487999</v>
      </c>
      <c r="CF94" s="75">
        <v>1392576</v>
      </c>
      <c r="CG94" s="75">
        <v>1307595</v>
      </c>
      <c r="CH94" s="75">
        <v>1202703</v>
      </c>
      <c r="CI94" s="75">
        <v>1164044</v>
      </c>
      <c r="CJ94" s="75">
        <v>1052049</v>
      </c>
      <c r="CK94" s="75">
        <v>984868</v>
      </c>
      <c r="CL94" s="75">
        <v>946956</v>
      </c>
      <c r="CM94" s="75">
        <v>911070</v>
      </c>
      <c r="CN94" s="75">
        <v>835150</v>
      </c>
      <c r="CO94" s="75">
        <v>707378</v>
      </c>
      <c r="CP94" s="75">
        <v>608964</v>
      </c>
      <c r="CQ94" s="75">
        <v>529043</v>
      </c>
      <c r="CR94" s="75">
        <v>460953</v>
      </c>
      <c r="CS94" s="75">
        <v>410704</v>
      </c>
      <c r="CT94" s="75">
        <v>345228</v>
      </c>
      <c r="CU94" s="75">
        <v>279715</v>
      </c>
      <c r="CV94" s="75">
        <v>222273</v>
      </c>
      <c r="CW94" s="75">
        <v>174722</v>
      </c>
      <c r="CX94" s="75">
        <v>133923</v>
      </c>
      <c r="CY94" s="75">
        <v>95695</v>
      </c>
      <c r="CZ94" s="75">
        <v>157065</v>
      </c>
    </row>
    <row r="95" spans="1:104" ht="17.100000000000001">
      <c r="A95" s="70" t="s">
        <v>660</v>
      </c>
      <c r="B95" s="71">
        <v>2059</v>
      </c>
      <c r="C95" s="75">
        <v>206737349</v>
      </c>
      <c r="D95" s="75">
        <v>2314051</v>
      </c>
      <c r="E95" s="75">
        <v>2320927</v>
      </c>
      <c r="F95" s="75">
        <v>2326871</v>
      </c>
      <c r="G95" s="75">
        <v>2330900</v>
      </c>
      <c r="H95" s="75">
        <v>2333175</v>
      </c>
      <c r="I95" s="75">
        <v>2334102</v>
      </c>
      <c r="J95" s="75">
        <v>2334208</v>
      </c>
      <c r="K95" s="75">
        <v>2333863</v>
      </c>
      <c r="L95" s="75">
        <v>2333268</v>
      </c>
      <c r="M95" s="75">
        <v>2332402</v>
      </c>
      <c r="N95" s="75">
        <v>2331479</v>
      </c>
      <c r="O95" s="75">
        <v>2330276</v>
      </c>
      <c r="P95" s="75">
        <v>2328845</v>
      </c>
      <c r="Q95" s="75">
        <v>2327669</v>
      </c>
      <c r="R95" s="75">
        <v>2327459</v>
      </c>
      <c r="S95" s="75">
        <v>2329491</v>
      </c>
      <c r="T95" s="75">
        <v>2335232</v>
      </c>
      <c r="U95" s="75">
        <v>2345822</v>
      </c>
      <c r="V95" s="75">
        <v>2361542</v>
      </c>
      <c r="W95" s="75">
        <v>2381377</v>
      </c>
      <c r="X95" s="75">
        <v>2403774</v>
      </c>
      <c r="Y95" s="75">
        <v>2427738</v>
      </c>
      <c r="Z95" s="75">
        <v>2452187</v>
      </c>
      <c r="AA95" s="75">
        <v>2476277</v>
      </c>
      <c r="AB95" s="75">
        <v>2499506</v>
      </c>
      <c r="AC95" s="75">
        <v>2521498</v>
      </c>
      <c r="AD95" s="75">
        <v>2542433</v>
      </c>
      <c r="AE95" s="75">
        <v>2562308</v>
      </c>
      <c r="AF95" s="75">
        <v>2581120</v>
      </c>
      <c r="AG95" s="75">
        <v>2598797</v>
      </c>
      <c r="AH95" s="75">
        <v>2614880</v>
      </c>
      <c r="AI95" s="75">
        <v>2628832</v>
      </c>
      <c r="AJ95" s="75">
        <v>2640373</v>
      </c>
      <c r="AK95" s="75">
        <v>2649281</v>
      </c>
      <c r="AL95" s="75">
        <v>2656017</v>
      </c>
      <c r="AM95" s="75">
        <v>2661007</v>
      </c>
      <c r="AN95" s="75">
        <v>2664246</v>
      </c>
      <c r="AO95" s="75">
        <v>2665578</v>
      </c>
      <c r="AP95" s="75">
        <v>2664785</v>
      </c>
      <c r="AQ95" s="75">
        <v>2661160</v>
      </c>
      <c r="AR95" s="75">
        <v>2654429</v>
      </c>
      <c r="AS95" s="75">
        <v>2644916</v>
      </c>
      <c r="AT95" s="75">
        <v>2633261</v>
      </c>
      <c r="AU95" s="75">
        <v>2619715</v>
      </c>
      <c r="AV95" s="75">
        <v>2605107</v>
      </c>
      <c r="AW95" s="75">
        <v>2589649</v>
      </c>
      <c r="AX95" s="75">
        <v>2572937</v>
      </c>
      <c r="AY95" s="75">
        <v>2568563</v>
      </c>
      <c r="AZ95" s="75">
        <v>2575394</v>
      </c>
      <c r="BA95" s="75">
        <v>2561341</v>
      </c>
      <c r="BB95" s="75">
        <v>2550781</v>
      </c>
      <c r="BC95" s="75">
        <v>2604285</v>
      </c>
      <c r="BD95" s="75">
        <v>2604143</v>
      </c>
      <c r="BE95" s="75">
        <v>2575073</v>
      </c>
      <c r="BF95" s="75">
        <v>2553160</v>
      </c>
      <c r="BG95" s="75">
        <v>2539910</v>
      </c>
      <c r="BH95" s="75">
        <v>2505989</v>
      </c>
      <c r="BI95" s="75">
        <v>2479845</v>
      </c>
      <c r="BJ95" s="75">
        <v>2510797</v>
      </c>
      <c r="BK95" s="75">
        <v>2522243</v>
      </c>
      <c r="BL95" s="75">
        <v>2465695</v>
      </c>
      <c r="BM95" s="75">
        <v>2441181</v>
      </c>
      <c r="BN95" s="75">
        <v>2417614</v>
      </c>
      <c r="BO95" s="75">
        <v>2406317</v>
      </c>
      <c r="BP95" s="75">
        <v>2416230</v>
      </c>
      <c r="BQ95" s="75">
        <v>2420652</v>
      </c>
      <c r="BR95" s="75">
        <v>2412865</v>
      </c>
      <c r="BS95" s="75">
        <v>2415585</v>
      </c>
      <c r="BT95" s="75">
        <v>2397238</v>
      </c>
      <c r="BU95" s="75">
        <v>2341060</v>
      </c>
      <c r="BV95" s="75">
        <v>2211423</v>
      </c>
      <c r="BW95" s="75">
        <v>2111618</v>
      </c>
      <c r="BX95" s="75">
        <v>2028626</v>
      </c>
      <c r="BY95" s="75">
        <v>1980546</v>
      </c>
      <c r="BZ95" s="75">
        <v>1932377</v>
      </c>
      <c r="CA95" s="75">
        <v>1816611</v>
      </c>
      <c r="CB95" s="75">
        <v>1777593</v>
      </c>
      <c r="CC95" s="75">
        <v>1716884</v>
      </c>
      <c r="CD95" s="75">
        <v>1633708</v>
      </c>
      <c r="CE95" s="75">
        <v>1598457</v>
      </c>
      <c r="CF95" s="75">
        <v>1434243</v>
      </c>
      <c r="CG95" s="75">
        <v>1335686</v>
      </c>
      <c r="CH95" s="75">
        <v>1247834</v>
      </c>
      <c r="CI95" s="75">
        <v>1141231</v>
      </c>
      <c r="CJ95" s="75">
        <v>1097478</v>
      </c>
      <c r="CK95" s="75">
        <v>984813</v>
      </c>
      <c r="CL95" s="75">
        <v>914563</v>
      </c>
      <c r="CM95" s="75">
        <v>871653</v>
      </c>
      <c r="CN95" s="75">
        <v>830518</v>
      </c>
      <c r="CO95" s="75">
        <v>753153</v>
      </c>
      <c r="CP95" s="75">
        <v>630396</v>
      </c>
      <c r="CQ95" s="75">
        <v>535589</v>
      </c>
      <c r="CR95" s="75">
        <v>458685</v>
      </c>
      <c r="CS95" s="75">
        <v>393421</v>
      </c>
      <c r="CT95" s="75">
        <v>344622</v>
      </c>
      <c r="CU95" s="75">
        <v>284400</v>
      </c>
      <c r="CV95" s="75">
        <v>225885</v>
      </c>
      <c r="CW95" s="75">
        <v>175711</v>
      </c>
      <c r="CX95" s="75">
        <v>135002</v>
      </c>
      <c r="CY95" s="75">
        <v>101008</v>
      </c>
      <c r="CZ95" s="75">
        <v>162884</v>
      </c>
    </row>
    <row r="96" spans="1:104" ht="17.100000000000001">
      <c r="A96" s="70" t="s">
        <v>660</v>
      </c>
      <c r="B96" s="71">
        <v>2060</v>
      </c>
      <c r="C96" s="75">
        <v>207763811</v>
      </c>
      <c r="D96" s="75">
        <v>2318838</v>
      </c>
      <c r="E96" s="75">
        <v>2325838</v>
      </c>
      <c r="F96" s="75">
        <v>2331966</v>
      </c>
      <c r="G96" s="75">
        <v>2336268</v>
      </c>
      <c r="H96" s="75">
        <v>2338842</v>
      </c>
      <c r="I96" s="75">
        <v>2340141</v>
      </c>
      <c r="J96" s="75">
        <v>2340617</v>
      </c>
      <c r="K96" s="75">
        <v>2340625</v>
      </c>
      <c r="L96" s="75">
        <v>2340405</v>
      </c>
      <c r="M96" s="75">
        <v>2339840</v>
      </c>
      <c r="N96" s="75">
        <v>2339149</v>
      </c>
      <c r="O96" s="75">
        <v>2338156</v>
      </c>
      <c r="P96" s="75">
        <v>2336922</v>
      </c>
      <c r="Q96" s="75">
        <v>2335754</v>
      </c>
      <c r="R96" s="75">
        <v>2335500</v>
      </c>
      <c r="S96" s="75">
        <v>2337370</v>
      </c>
      <c r="T96" s="75">
        <v>2342844</v>
      </c>
      <c r="U96" s="75">
        <v>2353174</v>
      </c>
      <c r="V96" s="75">
        <v>2368550</v>
      </c>
      <c r="W96" s="75">
        <v>2388034</v>
      </c>
      <c r="X96" s="75">
        <v>2410164</v>
      </c>
      <c r="Y96" s="75">
        <v>2433858</v>
      </c>
      <c r="Z96" s="75">
        <v>2458039</v>
      </c>
      <c r="AA96" s="75">
        <v>2481806</v>
      </c>
      <c r="AB96" s="75">
        <v>2504740</v>
      </c>
      <c r="AC96" s="75">
        <v>2526331</v>
      </c>
      <c r="AD96" s="75">
        <v>2546688</v>
      </c>
      <c r="AE96" s="75">
        <v>2565955</v>
      </c>
      <c r="AF96" s="75">
        <v>2584309</v>
      </c>
      <c r="AG96" s="75">
        <v>2601702</v>
      </c>
      <c r="AH96" s="75">
        <v>2617879</v>
      </c>
      <c r="AI96" s="75">
        <v>2632097</v>
      </c>
      <c r="AJ96" s="75">
        <v>2644106</v>
      </c>
      <c r="AK96" s="75">
        <v>2653957</v>
      </c>
      <c r="AL96" s="75">
        <v>2661747</v>
      </c>
      <c r="AM96" s="75">
        <v>2667567</v>
      </c>
      <c r="AN96" s="75">
        <v>2671616</v>
      </c>
      <c r="AO96" s="75">
        <v>2673974</v>
      </c>
      <c r="AP96" s="75">
        <v>2674592</v>
      </c>
      <c r="AQ96" s="75">
        <v>2673082</v>
      </c>
      <c r="AR96" s="75">
        <v>2668559</v>
      </c>
      <c r="AS96" s="75">
        <v>2660707</v>
      </c>
      <c r="AT96" s="75">
        <v>2650137</v>
      </c>
      <c r="AU96" s="75">
        <v>2637656</v>
      </c>
      <c r="AV96" s="75">
        <v>2623553</v>
      </c>
      <c r="AW96" s="75">
        <v>2608414</v>
      </c>
      <c r="AX96" s="75">
        <v>2592340</v>
      </c>
      <c r="AY96" s="75">
        <v>2574818</v>
      </c>
      <c r="AZ96" s="75">
        <v>2569551</v>
      </c>
      <c r="BA96" s="75">
        <v>2575582</v>
      </c>
      <c r="BB96" s="75">
        <v>2560816</v>
      </c>
      <c r="BC96" s="75">
        <v>2549543</v>
      </c>
      <c r="BD96" s="75">
        <v>2602244</v>
      </c>
      <c r="BE96" s="75">
        <v>2601349</v>
      </c>
      <c r="BF96" s="75">
        <v>2571533</v>
      </c>
      <c r="BG96" s="75">
        <v>2548879</v>
      </c>
      <c r="BH96" s="75">
        <v>2534783</v>
      </c>
      <c r="BI96" s="75">
        <v>2500059</v>
      </c>
      <c r="BJ96" s="75">
        <v>2473074</v>
      </c>
      <c r="BK96" s="75">
        <v>2503000</v>
      </c>
      <c r="BL96" s="75">
        <v>2513471</v>
      </c>
      <c r="BM96" s="75">
        <v>2456324</v>
      </c>
      <c r="BN96" s="75">
        <v>2430929</v>
      </c>
      <c r="BO96" s="75">
        <v>2406305</v>
      </c>
      <c r="BP96" s="75">
        <v>2393681</v>
      </c>
      <c r="BQ96" s="75">
        <v>2401700</v>
      </c>
      <c r="BR96" s="75">
        <v>2403995</v>
      </c>
      <c r="BS96" s="75">
        <v>2393962</v>
      </c>
      <c r="BT96" s="75">
        <v>2394103</v>
      </c>
      <c r="BU96" s="75">
        <v>2373325</v>
      </c>
      <c r="BV96" s="75">
        <v>2314858</v>
      </c>
      <c r="BW96" s="75">
        <v>2183716</v>
      </c>
      <c r="BX96" s="75">
        <v>2081910</v>
      </c>
      <c r="BY96" s="75">
        <v>1996595</v>
      </c>
      <c r="BZ96" s="75">
        <v>1945467</v>
      </c>
      <c r="CA96" s="75">
        <v>1894095</v>
      </c>
      <c r="CB96" s="75">
        <v>1776397</v>
      </c>
      <c r="CC96" s="75">
        <v>1733364</v>
      </c>
      <c r="CD96" s="75">
        <v>1668889</v>
      </c>
      <c r="CE96" s="75">
        <v>1582261</v>
      </c>
      <c r="CF96" s="75">
        <v>1541221</v>
      </c>
      <c r="CG96" s="75">
        <v>1376166</v>
      </c>
      <c r="CH96" s="75">
        <v>1275159</v>
      </c>
      <c r="CI96" s="75">
        <v>1184573</v>
      </c>
      <c r="CJ96" s="75">
        <v>1076512</v>
      </c>
      <c r="CK96" s="75">
        <v>1027881</v>
      </c>
      <c r="CL96" s="75">
        <v>915091</v>
      </c>
      <c r="CM96" s="75">
        <v>842356</v>
      </c>
      <c r="CN96" s="75">
        <v>795123</v>
      </c>
      <c r="CO96" s="75">
        <v>749559</v>
      </c>
      <c r="CP96" s="75">
        <v>671757</v>
      </c>
      <c r="CQ96" s="75">
        <v>554974</v>
      </c>
      <c r="CR96" s="75">
        <v>464807</v>
      </c>
      <c r="CS96" s="75">
        <v>391909</v>
      </c>
      <c r="CT96" s="75">
        <v>330493</v>
      </c>
      <c r="CU96" s="75">
        <v>284245</v>
      </c>
      <c r="CV96" s="75">
        <v>229973</v>
      </c>
      <c r="CW96" s="75">
        <v>178810</v>
      </c>
      <c r="CX96" s="75">
        <v>135959</v>
      </c>
      <c r="CY96" s="75">
        <v>101970</v>
      </c>
      <c r="CZ96" s="75">
        <v>170287</v>
      </c>
    </row>
    <row r="97" spans="1:104" ht="17.100000000000001">
      <c r="A97" s="72" t="s">
        <v>661</v>
      </c>
      <c r="B97" s="73">
        <v>2014</v>
      </c>
      <c r="C97" s="76">
        <v>161748415</v>
      </c>
      <c r="D97" s="76">
        <v>1939928</v>
      </c>
      <c r="E97" s="76">
        <v>1933019</v>
      </c>
      <c r="F97" s="76">
        <v>1941924</v>
      </c>
      <c r="G97" s="76">
        <v>1955816</v>
      </c>
      <c r="H97" s="76">
        <v>1959463</v>
      </c>
      <c r="I97" s="76">
        <v>1960765</v>
      </c>
      <c r="J97" s="76">
        <v>2023097</v>
      </c>
      <c r="K97" s="76">
        <v>2030676</v>
      </c>
      <c r="L97" s="76">
        <v>2013207</v>
      </c>
      <c r="M97" s="76">
        <v>2007948</v>
      </c>
      <c r="N97" s="76">
        <v>2013208</v>
      </c>
      <c r="O97" s="76">
        <v>1999357</v>
      </c>
      <c r="P97" s="76">
        <v>1990699</v>
      </c>
      <c r="Q97" s="76">
        <v>2038164</v>
      </c>
      <c r="R97" s="76">
        <v>2065487</v>
      </c>
      <c r="S97" s="76">
        <v>2033092</v>
      </c>
      <c r="T97" s="76">
        <v>2034973</v>
      </c>
      <c r="U97" s="76">
        <v>2044101</v>
      </c>
      <c r="V97" s="76">
        <v>2057632</v>
      </c>
      <c r="W97" s="76">
        <v>2102178</v>
      </c>
      <c r="X97" s="76">
        <v>2146302</v>
      </c>
      <c r="Y97" s="76">
        <v>2176351</v>
      </c>
      <c r="Z97" s="76">
        <v>2241234</v>
      </c>
      <c r="AA97" s="76">
        <v>2294579</v>
      </c>
      <c r="AB97" s="76">
        <v>2296491</v>
      </c>
      <c r="AC97" s="76">
        <v>2208572</v>
      </c>
      <c r="AD97" s="76">
        <v>2162019</v>
      </c>
      <c r="AE97" s="76">
        <v>2128046</v>
      </c>
      <c r="AF97" s="76">
        <v>2140957</v>
      </c>
      <c r="AG97" s="76">
        <v>2165936</v>
      </c>
      <c r="AH97" s="76">
        <v>2106937</v>
      </c>
      <c r="AI97" s="76">
        <v>2144748</v>
      </c>
      <c r="AJ97" s="76">
        <v>2149396</v>
      </c>
      <c r="AK97" s="76">
        <v>2130303</v>
      </c>
      <c r="AL97" s="76">
        <v>2165138</v>
      </c>
      <c r="AM97" s="76">
        <v>2041384</v>
      </c>
      <c r="AN97" s="76">
        <v>2004078</v>
      </c>
      <c r="AO97" s="76">
        <v>1989912</v>
      </c>
      <c r="AP97" s="76">
        <v>1931202</v>
      </c>
      <c r="AQ97" s="76">
        <v>1988757</v>
      </c>
      <c r="AR97" s="76">
        <v>1935588</v>
      </c>
      <c r="AS97" s="76">
        <v>1972415</v>
      </c>
      <c r="AT97" s="76">
        <v>2059589</v>
      </c>
      <c r="AU97" s="76">
        <v>2179934</v>
      </c>
      <c r="AV97" s="76">
        <v>2199462</v>
      </c>
      <c r="AW97" s="76">
        <v>2089714</v>
      </c>
      <c r="AX97" s="76">
        <v>2049025</v>
      </c>
      <c r="AY97" s="76">
        <v>2058376</v>
      </c>
      <c r="AZ97" s="76">
        <v>2096457</v>
      </c>
      <c r="BA97" s="76">
        <v>2225392</v>
      </c>
      <c r="BB97" s="76">
        <v>2276447</v>
      </c>
      <c r="BC97" s="76">
        <v>2280045</v>
      </c>
      <c r="BD97" s="76">
        <v>2279410</v>
      </c>
      <c r="BE97" s="76">
        <v>2313739</v>
      </c>
      <c r="BF97" s="76">
        <v>2329740</v>
      </c>
      <c r="BG97" s="76">
        <v>2261793</v>
      </c>
      <c r="BH97" s="76">
        <v>2253669</v>
      </c>
      <c r="BI97" s="76">
        <v>2236541</v>
      </c>
      <c r="BJ97" s="76">
        <v>2163714</v>
      </c>
      <c r="BK97" s="76">
        <v>2148502</v>
      </c>
      <c r="BL97" s="76">
        <v>2071851</v>
      </c>
      <c r="BM97" s="76">
        <v>1997755</v>
      </c>
      <c r="BN97" s="76">
        <v>1922903</v>
      </c>
      <c r="BO97" s="76">
        <v>1870539</v>
      </c>
      <c r="BP97" s="76">
        <v>1825793</v>
      </c>
      <c r="BQ97" s="76">
        <v>1777315</v>
      </c>
      <c r="BR97" s="76">
        <v>1760799</v>
      </c>
      <c r="BS97" s="76">
        <v>1834277</v>
      </c>
      <c r="BT97" s="76">
        <v>1359937</v>
      </c>
      <c r="BU97" s="76">
        <v>1346338</v>
      </c>
      <c r="BV97" s="76">
        <v>1318379</v>
      </c>
      <c r="BW97" s="76">
        <v>1352220</v>
      </c>
      <c r="BX97" s="76">
        <v>1183698</v>
      </c>
      <c r="BY97" s="76">
        <v>1088408</v>
      </c>
      <c r="BZ97" s="76">
        <v>1031799</v>
      </c>
      <c r="CA97" s="76">
        <v>970054</v>
      </c>
      <c r="CB97" s="76">
        <v>934982</v>
      </c>
      <c r="CC97" s="76">
        <v>866379</v>
      </c>
      <c r="CD97" s="76">
        <v>831401</v>
      </c>
      <c r="CE97" s="76">
        <v>802816</v>
      </c>
      <c r="CF97" s="76">
        <v>723658</v>
      </c>
      <c r="CG97" s="76">
        <v>704463</v>
      </c>
      <c r="CH97" s="76">
        <v>676286</v>
      </c>
      <c r="CI97" s="76">
        <v>647736</v>
      </c>
      <c r="CJ97" s="76">
        <v>624666</v>
      </c>
      <c r="CK97" s="76">
        <v>565616</v>
      </c>
      <c r="CL97" s="76">
        <v>532756</v>
      </c>
      <c r="CM97" s="76">
        <v>487498</v>
      </c>
      <c r="CN97" s="76">
        <v>435594</v>
      </c>
      <c r="CO97" s="76">
        <v>394561</v>
      </c>
      <c r="CP97" s="76">
        <v>342975</v>
      </c>
      <c r="CQ97" s="76">
        <v>289389</v>
      </c>
      <c r="CR97" s="76">
        <v>245393</v>
      </c>
      <c r="CS97" s="76">
        <v>200852</v>
      </c>
      <c r="CT97" s="76">
        <v>157183</v>
      </c>
      <c r="CU97" s="76">
        <v>114526</v>
      </c>
      <c r="CV97" s="76">
        <v>90261</v>
      </c>
      <c r="CW97" s="76">
        <v>63710</v>
      </c>
      <c r="CX97" s="76">
        <v>46757</v>
      </c>
      <c r="CY97" s="76">
        <v>33053</v>
      </c>
      <c r="CZ97" s="76">
        <v>57211</v>
      </c>
    </row>
    <row r="98" spans="1:104" ht="17.100000000000001">
      <c r="A98" s="72" t="s">
        <v>661</v>
      </c>
      <c r="B98" s="73">
        <v>2015</v>
      </c>
      <c r="C98" s="76">
        <v>163023826</v>
      </c>
      <c r="D98" s="76">
        <v>1954084</v>
      </c>
      <c r="E98" s="76">
        <v>1948010</v>
      </c>
      <c r="F98" s="76">
        <v>1941109</v>
      </c>
      <c r="G98" s="76">
        <v>1949129</v>
      </c>
      <c r="H98" s="76">
        <v>1962214</v>
      </c>
      <c r="I98" s="76">
        <v>1965385</v>
      </c>
      <c r="J98" s="76">
        <v>1966403</v>
      </c>
      <c r="K98" s="76">
        <v>2028486</v>
      </c>
      <c r="L98" s="76">
        <v>2035998</v>
      </c>
      <c r="M98" s="76">
        <v>2018484</v>
      </c>
      <c r="N98" s="76">
        <v>2013135</v>
      </c>
      <c r="O98" s="76">
        <v>2018380</v>
      </c>
      <c r="P98" s="76">
        <v>2004515</v>
      </c>
      <c r="Q98" s="76">
        <v>1996106</v>
      </c>
      <c r="R98" s="76">
        <v>2044275</v>
      </c>
      <c r="S98" s="76">
        <v>2072975</v>
      </c>
      <c r="T98" s="76">
        <v>2042621</v>
      </c>
      <c r="U98" s="76">
        <v>2047014</v>
      </c>
      <c r="V98" s="76">
        <v>2058921</v>
      </c>
      <c r="W98" s="76">
        <v>2075068</v>
      </c>
      <c r="X98" s="76">
        <v>2121504</v>
      </c>
      <c r="Y98" s="76">
        <v>2166661</v>
      </c>
      <c r="Z98" s="76">
        <v>2197046</v>
      </c>
      <c r="AA98" s="76">
        <v>2261894</v>
      </c>
      <c r="AB98" s="76">
        <v>2314905</v>
      </c>
      <c r="AC98" s="76">
        <v>2316253</v>
      </c>
      <c r="AD98" s="76">
        <v>2227721</v>
      </c>
      <c r="AE98" s="76">
        <v>2180232</v>
      </c>
      <c r="AF98" s="76">
        <v>2145215</v>
      </c>
      <c r="AG98" s="76">
        <v>2156750</v>
      </c>
      <c r="AH98" s="76">
        <v>2180113</v>
      </c>
      <c r="AI98" s="76">
        <v>2119508</v>
      </c>
      <c r="AJ98" s="76">
        <v>2155569</v>
      </c>
      <c r="AK98" s="76">
        <v>2158857</v>
      </c>
      <c r="AL98" s="76">
        <v>2138728</v>
      </c>
      <c r="AM98" s="76">
        <v>2172692</v>
      </c>
      <c r="AN98" s="76">
        <v>2048571</v>
      </c>
      <c r="AO98" s="76">
        <v>2010825</v>
      </c>
      <c r="AP98" s="76">
        <v>1996337</v>
      </c>
      <c r="AQ98" s="76">
        <v>1937186</v>
      </c>
      <c r="AR98" s="76">
        <v>1993933</v>
      </c>
      <c r="AS98" s="76">
        <v>1939964</v>
      </c>
      <c r="AT98" s="76">
        <v>1975798</v>
      </c>
      <c r="AU98" s="76">
        <v>2062103</v>
      </c>
      <c r="AV98" s="76">
        <v>2181594</v>
      </c>
      <c r="AW98" s="76">
        <v>2200447</v>
      </c>
      <c r="AX98" s="76">
        <v>2090378</v>
      </c>
      <c r="AY98" s="76">
        <v>2049083</v>
      </c>
      <c r="AZ98" s="76">
        <v>2057900</v>
      </c>
      <c r="BA98" s="76">
        <v>2095234</v>
      </c>
      <c r="BB98" s="76">
        <v>2223075</v>
      </c>
      <c r="BC98" s="76">
        <v>2273290</v>
      </c>
      <c r="BD98" s="76">
        <v>2276152</v>
      </c>
      <c r="BE98" s="76">
        <v>2274964</v>
      </c>
      <c r="BF98" s="76">
        <v>2308564</v>
      </c>
      <c r="BG98" s="76">
        <v>2323742</v>
      </c>
      <c r="BH98" s="76">
        <v>2255439</v>
      </c>
      <c r="BI98" s="76">
        <v>2246651</v>
      </c>
      <c r="BJ98" s="76">
        <v>2228897</v>
      </c>
      <c r="BK98" s="76">
        <v>2155767</v>
      </c>
      <c r="BL98" s="76">
        <v>2139811</v>
      </c>
      <c r="BM98" s="76">
        <v>2062678</v>
      </c>
      <c r="BN98" s="76">
        <v>1987903</v>
      </c>
      <c r="BO98" s="76">
        <v>1912339</v>
      </c>
      <c r="BP98" s="76">
        <v>1858974</v>
      </c>
      <c r="BQ98" s="76">
        <v>1813039</v>
      </c>
      <c r="BR98" s="76">
        <v>1763268</v>
      </c>
      <c r="BS98" s="76">
        <v>1745039</v>
      </c>
      <c r="BT98" s="76">
        <v>1815724</v>
      </c>
      <c r="BU98" s="76">
        <v>1345279</v>
      </c>
      <c r="BV98" s="76">
        <v>1330014</v>
      </c>
      <c r="BW98" s="76">
        <v>1300455</v>
      </c>
      <c r="BX98" s="76">
        <v>1331510</v>
      </c>
      <c r="BY98" s="76">
        <v>1163643</v>
      </c>
      <c r="BZ98" s="76">
        <v>1067871</v>
      </c>
      <c r="CA98" s="76">
        <v>1010002</v>
      </c>
      <c r="CB98" s="76">
        <v>947133</v>
      </c>
      <c r="CC98" s="76">
        <v>910160</v>
      </c>
      <c r="CD98" s="76">
        <v>840660</v>
      </c>
      <c r="CE98" s="76">
        <v>803792</v>
      </c>
      <c r="CF98" s="76">
        <v>772979</v>
      </c>
      <c r="CG98" s="76">
        <v>693655</v>
      </c>
      <c r="CH98" s="76">
        <v>671747</v>
      </c>
      <c r="CI98" s="76">
        <v>640996</v>
      </c>
      <c r="CJ98" s="76">
        <v>609641</v>
      </c>
      <c r="CK98" s="76">
        <v>583225</v>
      </c>
      <c r="CL98" s="76">
        <v>523428</v>
      </c>
      <c r="CM98" s="76">
        <v>488221</v>
      </c>
      <c r="CN98" s="76">
        <v>441946</v>
      </c>
      <c r="CO98" s="76">
        <v>390203</v>
      </c>
      <c r="CP98" s="76">
        <v>348754</v>
      </c>
      <c r="CQ98" s="76">
        <v>298726</v>
      </c>
      <c r="CR98" s="76">
        <v>248068</v>
      </c>
      <c r="CS98" s="76">
        <v>206687</v>
      </c>
      <c r="CT98" s="76">
        <v>165982</v>
      </c>
      <c r="CU98" s="76">
        <v>127313</v>
      </c>
      <c r="CV98" s="76">
        <v>90723</v>
      </c>
      <c r="CW98" s="76">
        <v>69837</v>
      </c>
      <c r="CX98" s="76">
        <v>48087</v>
      </c>
      <c r="CY98" s="76">
        <v>34373</v>
      </c>
      <c r="CZ98" s="76">
        <v>58087</v>
      </c>
    </row>
    <row r="99" spans="1:104" ht="18" thickBot="1">
      <c r="A99" s="72" t="s">
        <v>661</v>
      </c>
      <c r="B99" s="73">
        <v>2016</v>
      </c>
      <c r="C99" s="76">
        <v>164304770</v>
      </c>
      <c r="D99" s="76">
        <v>1968007</v>
      </c>
      <c r="E99" s="76">
        <v>1962265</v>
      </c>
      <c r="F99" s="76">
        <v>1956196</v>
      </c>
      <c r="G99" s="76">
        <v>1948381</v>
      </c>
      <c r="H99" s="76">
        <v>1955580</v>
      </c>
      <c r="I99" s="76">
        <v>1968185</v>
      </c>
      <c r="J99" s="76">
        <v>1971044</v>
      </c>
      <c r="K99" s="76">
        <v>1971882</v>
      </c>
      <c r="L99" s="76">
        <v>2033823</v>
      </c>
      <c r="M99" s="76">
        <v>2041309</v>
      </c>
      <c r="N99" s="76">
        <v>2023749</v>
      </c>
      <c r="O99" s="76">
        <v>2018331</v>
      </c>
      <c r="P99" s="76">
        <v>2023627</v>
      </c>
      <c r="Q99" s="76">
        <v>2009975</v>
      </c>
      <c r="R99" s="76">
        <v>2002333</v>
      </c>
      <c r="S99" s="76">
        <v>2051847</v>
      </c>
      <c r="T99" s="76">
        <v>2082584</v>
      </c>
      <c r="U99" s="76">
        <v>2054759</v>
      </c>
      <c r="V99" s="87">
        <v>2062003</v>
      </c>
      <c r="W99" s="87">
        <v>2076496</v>
      </c>
      <c r="X99" s="87">
        <v>2094560</v>
      </c>
      <c r="Y99" s="87">
        <v>2142108</v>
      </c>
      <c r="Z99" s="87">
        <v>2187466</v>
      </c>
      <c r="AA99" s="87">
        <v>2217939</v>
      </c>
      <c r="AB99" s="87">
        <v>2282453</v>
      </c>
      <c r="AC99" s="87">
        <v>2334875</v>
      </c>
      <c r="AD99" s="87">
        <v>2335565</v>
      </c>
      <c r="AE99" s="87">
        <v>2246137</v>
      </c>
      <c r="AF99" s="87">
        <v>2197530</v>
      </c>
      <c r="AG99" s="87">
        <v>2161163</v>
      </c>
      <c r="AH99" s="87">
        <v>2171151</v>
      </c>
      <c r="AI99" s="87">
        <v>2192715</v>
      </c>
      <c r="AJ99" s="87">
        <v>2130524</v>
      </c>
      <c r="AK99" s="87">
        <v>2165149</v>
      </c>
      <c r="AL99" s="87">
        <v>2167390</v>
      </c>
      <c r="AM99" s="87">
        <v>2146470</v>
      </c>
      <c r="AN99" s="87">
        <v>2179802</v>
      </c>
      <c r="AO99" s="87">
        <v>2055429</v>
      </c>
      <c r="AP99" s="87">
        <v>2017276</v>
      </c>
      <c r="AQ99" s="76">
        <v>2002369</v>
      </c>
      <c r="AR99" s="76">
        <v>1942569</v>
      </c>
      <c r="AS99" s="76">
        <v>1998324</v>
      </c>
      <c r="AT99" s="76">
        <v>1943549</v>
      </c>
      <c r="AU99" s="76">
        <v>1978489</v>
      </c>
      <c r="AV99" s="76">
        <v>2064066</v>
      </c>
      <c r="AW99" s="76">
        <v>2182752</v>
      </c>
      <c r="AX99" s="76">
        <v>2200967</v>
      </c>
      <c r="AY99" s="76">
        <v>2090513</v>
      </c>
      <c r="AZ99" s="76">
        <v>2048637</v>
      </c>
      <c r="BA99" s="76">
        <v>2056926</v>
      </c>
      <c r="BB99" s="76">
        <v>2093491</v>
      </c>
      <c r="BC99" s="76">
        <v>2220229</v>
      </c>
      <c r="BD99" s="76">
        <v>2269606</v>
      </c>
      <c r="BE99" s="76">
        <v>2271820</v>
      </c>
      <c r="BF99" s="76">
        <v>2270136</v>
      </c>
      <c r="BG99" s="76">
        <v>2302936</v>
      </c>
      <c r="BH99" s="76">
        <v>2317282</v>
      </c>
      <c r="BI99" s="76">
        <v>2248600</v>
      </c>
      <c r="BJ99" s="76">
        <v>2239197</v>
      </c>
      <c r="BK99" s="76">
        <v>2220805</v>
      </c>
      <c r="BL99" s="76">
        <v>2147302</v>
      </c>
      <c r="BM99" s="76">
        <v>2130418</v>
      </c>
      <c r="BN99" s="76">
        <v>2052653</v>
      </c>
      <c r="BO99" s="76">
        <v>1977070</v>
      </c>
      <c r="BP99" s="76">
        <v>1900731</v>
      </c>
      <c r="BQ99" s="76">
        <v>1846219</v>
      </c>
      <c r="BR99" s="76">
        <v>1798914</v>
      </c>
      <c r="BS99" s="76">
        <v>1747771</v>
      </c>
      <c r="BT99" s="76">
        <v>1727761</v>
      </c>
      <c r="BU99" s="76">
        <v>1795519</v>
      </c>
      <c r="BV99" s="76">
        <v>1329242</v>
      </c>
      <c r="BW99" s="76">
        <v>1312147</v>
      </c>
      <c r="BX99" s="76">
        <v>1280897</v>
      </c>
      <c r="BY99" s="76">
        <v>1309008</v>
      </c>
      <c r="BZ99" s="76">
        <v>1141832</v>
      </c>
      <c r="CA99" s="76">
        <v>1045537</v>
      </c>
      <c r="CB99" s="76">
        <v>986311</v>
      </c>
      <c r="CC99" s="76">
        <v>922249</v>
      </c>
      <c r="CD99" s="76">
        <v>883371</v>
      </c>
      <c r="CE99" s="76">
        <v>813019</v>
      </c>
      <c r="CF99" s="76">
        <v>774175</v>
      </c>
      <c r="CG99" s="76">
        <v>741123</v>
      </c>
      <c r="CH99" s="76">
        <v>661704</v>
      </c>
      <c r="CI99" s="76">
        <v>636939</v>
      </c>
      <c r="CJ99" s="76">
        <v>603611</v>
      </c>
      <c r="CK99" s="76">
        <v>569531</v>
      </c>
      <c r="CL99" s="76">
        <v>540064</v>
      </c>
      <c r="CM99" s="76">
        <v>480024</v>
      </c>
      <c r="CN99" s="76">
        <v>442965</v>
      </c>
      <c r="CO99" s="76">
        <v>396227</v>
      </c>
      <c r="CP99" s="76">
        <v>345268</v>
      </c>
      <c r="CQ99" s="76">
        <v>304137</v>
      </c>
      <c r="CR99" s="76">
        <v>256383</v>
      </c>
      <c r="CS99" s="76">
        <v>209249</v>
      </c>
      <c r="CT99" s="76">
        <v>171083</v>
      </c>
      <c r="CU99" s="76">
        <v>134625</v>
      </c>
      <c r="CV99" s="76">
        <v>101066</v>
      </c>
      <c r="CW99" s="76">
        <v>70334</v>
      </c>
      <c r="CX99" s="76">
        <v>52821</v>
      </c>
      <c r="CY99" s="76">
        <v>35424</v>
      </c>
      <c r="CZ99" s="76">
        <v>58705</v>
      </c>
    </row>
    <row r="100" spans="1:104" ht="18" thickBot="1">
      <c r="A100" s="72" t="s">
        <v>661</v>
      </c>
      <c r="B100" s="73">
        <v>2017</v>
      </c>
      <c r="C100" s="76">
        <v>165591056</v>
      </c>
      <c r="D100" s="76">
        <v>1981628</v>
      </c>
      <c r="E100" s="76">
        <v>1976276</v>
      </c>
      <c r="F100" s="76">
        <v>1970531</v>
      </c>
      <c r="G100" s="76">
        <v>1963552</v>
      </c>
      <c r="H100" s="76">
        <v>1954894</v>
      </c>
      <c r="I100" s="76">
        <v>1961598</v>
      </c>
      <c r="J100" s="76">
        <v>1973884</v>
      </c>
      <c r="K100" s="76">
        <v>1976538</v>
      </c>
      <c r="L100" s="76">
        <v>1977298</v>
      </c>
      <c r="M100" s="76">
        <v>2039152</v>
      </c>
      <c r="N100" s="76">
        <v>2046595</v>
      </c>
      <c r="O100" s="76">
        <v>2029005</v>
      </c>
      <c r="P100" s="76">
        <v>2023585</v>
      </c>
      <c r="Q100" s="76">
        <v>2029155</v>
      </c>
      <c r="R100" s="76">
        <v>2016247</v>
      </c>
      <c r="S100" s="76">
        <v>2010029</v>
      </c>
      <c r="T100" s="76">
        <v>2061555</v>
      </c>
      <c r="U100" s="85">
        <v>2094807</v>
      </c>
      <c r="V100" s="88">
        <v>2069862</v>
      </c>
      <c r="W100" s="89">
        <v>2079760</v>
      </c>
      <c r="X100" s="89">
        <v>2096150</v>
      </c>
      <c r="Y100" s="89">
        <v>2115336</v>
      </c>
      <c r="Z100" s="89">
        <v>2163160</v>
      </c>
      <c r="AA100" s="89">
        <v>2208461</v>
      </c>
      <c r="AB100" s="89">
        <v>2238706</v>
      </c>
      <c r="AC100" s="89">
        <v>2302626</v>
      </c>
      <c r="AD100" s="89">
        <v>2354390</v>
      </c>
      <c r="AE100" s="89">
        <v>2354126</v>
      </c>
      <c r="AF100" s="89">
        <v>2263618</v>
      </c>
      <c r="AG100" s="89">
        <v>2213568</v>
      </c>
      <c r="AH100" s="89">
        <v>2175689</v>
      </c>
      <c r="AI100" s="89">
        <v>2183961</v>
      </c>
      <c r="AJ100" s="89">
        <v>2203759</v>
      </c>
      <c r="AK100" s="89">
        <v>2140290</v>
      </c>
      <c r="AL100" s="89">
        <v>2173763</v>
      </c>
      <c r="AM100" s="89">
        <v>2175228</v>
      </c>
      <c r="AN100" s="89">
        <v>2153754</v>
      </c>
      <c r="AO100" s="89">
        <v>2186556</v>
      </c>
      <c r="AP100" s="90">
        <v>2061990</v>
      </c>
      <c r="AQ100" s="86">
        <v>2023332</v>
      </c>
      <c r="AR100" s="76">
        <v>2007785</v>
      </c>
      <c r="AS100" s="76">
        <v>1947159</v>
      </c>
      <c r="AT100" s="76">
        <v>2001903</v>
      </c>
      <c r="AU100" s="76">
        <v>1946433</v>
      </c>
      <c r="AV100" s="76">
        <v>1980630</v>
      </c>
      <c r="AW100" s="76">
        <v>2065549</v>
      </c>
      <c r="AX100" s="76">
        <v>2183428</v>
      </c>
      <c r="AY100" s="76">
        <v>2200930</v>
      </c>
      <c r="AZ100" s="76">
        <v>2090126</v>
      </c>
      <c r="BA100" s="76">
        <v>2047712</v>
      </c>
      <c r="BB100" s="76">
        <v>2055460</v>
      </c>
      <c r="BC100" s="76">
        <v>2091224</v>
      </c>
      <c r="BD100" s="76">
        <v>2216872</v>
      </c>
      <c r="BE100" s="76">
        <v>2265513</v>
      </c>
      <c r="BF100" s="76">
        <v>2267125</v>
      </c>
      <c r="BG100" s="76">
        <v>2264873</v>
      </c>
      <c r="BH100" s="76">
        <v>2296847</v>
      </c>
      <c r="BI100" s="76">
        <v>2310345</v>
      </c>
      <c r="BJ100" s="76">
        <v>2241340</v>
      </c>
      <c r="BK100" s="76">
        <v>2231299</v>
      </c>
      <c r="BL100" s="76">
        <v>2212197</v>
      </c>
      <c r="BM100" s="76">
        <v>2138130</v>
      </c>
      <c r="BN100" s="76">
        <v>2120157</v>
      </c>
      <c r="BO100" s="76">
        <v>2041613</v>
      </c>
      <c r="BP100" s="76">
        <v>1965175</v>
      </c>
      <c r="BQ100" s="76">
        <v>1887917</v>
      </c>
      <c r="BR100" s="76">
        <v>1832072</v>
      </c>
      <c r="BS100" s="76">
        <v>1783312</v>
      </c>
      <c r="BT100" s="76">
        <v>1730737</v>
      </c>
      <c r="BU100" s="76">
        <v>1708901</v>
      </c>
      <c r="BV100" s="76">
        <v>1773538</v>
      </c>
      <c r="BW100" s="76">
        <v>1311663</v>
      </c>
      <c r="BX100" s="76">
        <v>1292617</v>
      </c>
      <c r="BY100" s="76">
        <v>1259609</v>
      </c>
      <c r="BZ100" s="76">
        <v>1284565</v>
      </c>
      <c r="CA100" s="76">
        <v>1118130</v>
      </c>
      <c r="CB100" s="76">
        <v>1021265</v>
      </c>
      <c r="CC100" s="76">
        <v>960582</v>
      </c>
      <c r="CD100" s="76">
        <v>895353</v>
      </c>
      <c r="CE100" s="76">
        <v>854558</v>
      </c>
      <c r="CF100" s="76">
        <v>783321</v>
      </c>
      <c r="CG100" s="76">
        <v>742519</v>
      </c>
      <c r="CH100" s="76">
        <v>707204</v>
      </c>
      <c r="CI100" s="76">
        <v>627695</v>
      </c>
      <c r="CJ100" s="76">
        <v>600051</v>
      </c>
      <c r="CK100" s="76">
        <v>564228</v>
      </c>
      <c r="CL100" s="76">
        <v>527740</v>
      </c>
      <c r="CM100" s="76">
        <v>495644</v>
      </c>
      <c r="CN100" s="76">
        <v>435897</v>
      </c>
      <c r="CO100" s="76">
        <v>397523</v>
      </c>
      <c r="CP100" s="76">
        <v>350949</v>
      </c>
      <c r="CQ100" s="76">
        <v>301456</v>
      </c>
      <c r="CR100" s="76">
        <v>261380</v>
      </c>
      <c r="CS100" s="76">
        <v>216556</v>
      </c>
      <c r="CT100" s="76">
        <v>173490</v>
      </c>
      <c r="CU100" s="76">
        <v>139001</v>
      </c>
      <c r="CV100" s="76">
        <v>107024</v>
      </c>
      <c r="CW100" s="76">
        <v>78544</v>
      </c>
      <c r="CX100" s="76">
        <v>53307</v>
      </c>
      <c r="CY100" s="76">
        <v>38997</v>
      </c>
      <c r="CZ100" s="76">
        <v>59472</v>
      </c>
    </row>
    <row r="101" spans="1:104" ht="18" thickBot="1">
      <c r="A101" s="72" t="s">
        <v>661</v>
      </c>
      <c r="B101" s="73">
        <v>2018</v>
      </c>
      <c r="C101" s="76">
        <v>166881411</v>
      </c>
      <c r="D101" s="76">
        <v>1994394</v>
      </c>
      <c r="E101" s="76">
        <v>1989990</v>
      </c>
      <c r="F101" s="76">
        <v>1984618</v>
      </c>
      <c r="G101" s="76">
        <v>1977952</v>
      </c>
      <c r="H101" s="76">
        <v>1970136</v>
      </c>
      <c r="I101" s="76">
        <v>1960969</v>
      </c>
      <c r="J101" s="76">
        <v>1967333</v>
      </c>
      <c r="K101" s="76">
        <v>1979406</v>
      </c>
      <c r="L101" s="76">
        <v>1981968</v>
      </c>
      <c r="M101" s="76">
        <v>1982703</v>
      </c>
      <c r="N101" s="76">
        <v>2044447</v>
      </c>
      <c r="O101" s="76">
        <v>2051866</v>
      </c>
      <c r="P101" s="76">
        <v>2034309</v>
      </c>
      <c r="Q101" s="76">
        <v>2029126</v>
      </c>
      <c r="R101" s="76">
        <v>2035488</v>
      </c>
      <c r="S101" s="76">
        <v>2024007</v>
      </c>
      <c r="T101" s="76">
        <v>2019862</v>
      </c>
      <c r="U101" s="76">
        <v>2073898</v>
      </c>
      <c r="V101" s="88">
        <v>2110039</v>
      </c>
      <c r="W101" s="89">
        <v>2087767</v>
      </c>
      <c r="X101" s="89">
        <v>2099615</v>
      </c>
      <c r="Y101" s="89">
        <v>2117113</v>
      </c>
      <c r="Z101" s="89">
        <v>2136569</v>
      </c>
      <c r="AA101" s="89">
        <v>2184395</v>
      </c>
      <c r="AB101" s="89">
        <v>2229334</v>
      </c>
      <c r="AC101" s="89">
        <v>2259098</v>
      </c>
      <c r="AD101" s="89">
        <v>2322335</v>
      </c>
      <c r="AE101" s="89">
        <v>2373140</v>
      </c>
      <c r="AF101" s="89">
        <v>2371736</v>
      </c>
      <c r="AG101" s="89">
        <v>2279814</v>
      </c>
      <c r="AH101" s="89">
        <v>2228159</v>
      </c>
      <c r="AI101" s="89">
        <v>2188606</v>
      </c>
      <c r="AJ101" s="89">
        <v>2195176</v>
      </c>
      <c r="AK101" s="89">
        <v>2213537</v>
      </c>
      <c r="AL101" s="89">
        <v>2149074</v>
      </c>
      <c r="AM101" s="89">
        <v>2181661</v>
      </c>
      <c r="AN101" s="89">
        <v>2182610</v>
      </c>
      <c r="AO101" s="89">
        <v>2160684</v>
      </c>
      <c r="AP101" s="90">
        <v>2193001</v>
      </c>
      <c r="AQ101" s="76">
        <v>2068139</v>
      </c>
      <c r="AR101" s="76">
        <v>2028775</v>
      </c>
      <c r="AS101" s="76">
        <v>2012399</v>
      </c>
      <c r="AT101" s="76">
        <v>1950932</v>
      </c>
      <c r="AU101" s="76">
        <v>2004770</v>
      </c>
      <c r="AV101" s="76">
        <v>1948763</v>
      </c>
      <c r="AW101" s="76">
        <v>1982286</v>
      </c>
      <c r="AX101" s="76">
        <v>2066569</v>
      </c>
      <c r="AY101" s="76">
        <v>2183564</v>
      </c>
      <c r="AZ101" s="76">
        <v>2200375</v>
      </c>
      <c r="BA101" s="76">
        <v>2089267</v>
      </c>
      <c r="BB101" s="76">
        <v>2046285</v>
      </c>
      <c r="BC101" s="76">
        <v>2053492</v>
      </c>
      <c r="BD101" s="76">
        <v>2088479</v>
      </c>
      <c r="BE101" s="76">
        <v>2213114</v>
      </c>
      <c r="BF101" s="76">
        <v>2261049</v>
      </c>
      <c r="BG101" s="76">
        <v>2262018</v>
      </c>
      <c r="BH101" s="76">
        <v>2259149</v>
      </c>
      <c r="BI101" s="76">
        <v>2290279</v>
      </c>
      <c r="BJ101" s="76">
        <v>2302963</v>
      </c>
      <c r="BK101" s="76">
        <v>2233647</v>
      </c>
      <c r="BL101" s="76">
        <v>2222880</v>
      </c>
      <c r="BM101" s="76">
        <v>2202875</v>
      </c>
      <c r="BN101" s="76">
        <v>2128095</v>
      </c>
      <c r="BO101" s="76">
        <v>2108872</v>
      </c>
      <c r="BP101" s="76">
        <v>2029489</v>
      </c>
      <c r="BQ101" s="76">
        <v>1952036</v>
      </c>
      <c r="BR101" s="76">
        <v>1873684</v>
      </c>
      <c r="BS101" s="76">
        <v>1816418</v>
      </c>
      <c r="BT101" s="76">
        <v>1766145</v>
      </c>
      <c r="BU101" s="76">
        <v>1712117</v>
      </c>
      <c r="BV101" s="76">
        <v>1688349</v>
      </c>
      <c r="BW101" s="76">
        <v>1749584</v>
      </c>
      <c r="BX101" s="76">
        <v>1292423</v>
      </c>
      <c r="BY101" s="76">
        <v>1271356</v>
      </c>
      <c r="BZ101" s="76">
        <v>1236443</v>
      </c>
      <c r="CA101" s="76">
        <v>1258016</v>
      </c>
      <c r="CB101" s="76">
        <v>1092364</v>
      </c>
      <c r="CC101" s="76">
        <v>994894</v>
      </c>
      <c r="CD101" s="76">
        <v>932786</v>
      </c>
      <c r="CE101" s="76">
        <v>866422</v>
      </c>
      <c r="CF101" s="76">
        <v>823575</v>
      </c>
      <c r="CG101" s="76">
        <v>751557</v>
      </c>
      <c r="CH101" s="76">
        <v>708808</v>
      </c>
      <c r="CI101" s="76">
        <v>671098</v>
      </c>
      <c r="CJ101" s="76">
        <v>591647</v>
      </c>
      <c r="CK101" s="76">
        <v>561192</v>
      </c>
      <c r="CL101" s="76">
        <v>523164</v>
      </c>
      <c r="CM101" s="76">
        <v>484687</v>
      </c>
      <c r="CN101" s="76">
        <v>450447</v>
      </c>
      <c r="CO101" s="76">
        <v>391539</v>
      </c>
      <c r="CP101" s="76">
        <v>352455</v>
      </c>
      <c r="CQ101" s="76">
        <v>306736</v>
      </c>
      <c r="CR101" s="76">
        <v>259413</v>
      </c>
      <c r="CS101" s="76">
        <v>221110</v>
      </c>
      <c r="CT101" s="76">
        <v>179799</v>
      </c>
      <c r="CU101" s="76">
        <v>141196</v>
      </c>
      <c r="CV101" s="76">
        <v>110713</v>
      </c>
      <c r="CW101" s="76">
        <v>83288</v>
      </c>
      <c r="CX101" s="76">
        <v>59675</v>
      </c>
      <c r="CY101" s="76">
        <v>39442</v>
      </c>
      <c r="CZ101" s="76">
        <v>62373</v>
      </c>
    </row>
    <row r="102" spans="1:104" ht="18" thickBot="1">
      <c r="A102" s="72" t="s">
        <v>661</v>
      </c>
      <c r="B102" s="73">
        <v>2019</v>
      </c>
      <c r="C102" s="76">
        <v>168174250</v>
      </c>
      <c r="D102" s="76">
        <v>2006229</v>
      </c>
      <c r="E102" s="76">
        <v>2002843</v>
      </c>
      <c r="F102" s="76">
        <v>1998417</v>
      </c>
      <c r="G102" s="76">
        <v>1992119</v>
      </c>
      <c r="H102" s="76">
        <v>1984598</v>
      </c>
      <c r="I102" s="76">
        <v>1976269</v>
      </c>
      <c r="J102" s="76">
        <v>1966759</v>
      </c>
      <c r="K102" s="76">
        <v>1972891</v>
      </c>
      <c r="L102" s="76">
        <v>1984856</v>
      </c>
      <c r="M102" s="76">
        <v>1987383</v>
      </c>
      <c r="N102" s="76">
        <v>1988076</v>
      </c>
      <c r="O102" s="76">
        <v>2049736</v>
      </c>
      <c r="P102" s="76">
        <v>2057182</v>
      </c>
      <c r="Q102" s="76">
        <v>2039897</v>
      </c>
      <c r="R102" s="76">
        <v>2035494</v>
      </c>
      <c r="S102" s="76">
        <v>2043322</v>
      </c>
      <c r="T102" s="76">
        <v>2033928</v>
      </c>
      <c r="U102" s="76">
        <v>2032365</v>
      </c>
      <c r="V102" s="88">
        <v>2089266</v>
      </c>
      <c r="W102" s="89">
        <v>2128101</v>
      </c>
      <c r="X102" s="89">
        <v>2107797</v>
      </c>
      <c r="Y102" s="89">
        <v>2120785</v>
      </c>
      <c r="Z102" s="89">
        <v>2138531</v>
      </c>
      <c r="AA102" s="89">
        <v>2157990</v>
      </c>
      <c r="AB102" s="89">
        <v>2205496</v>
      </c>
      <c r="AC102" s="89">
        <v>2249818</v>
      </c>
      <c r="AD102" s="89">
        <v>2278998</v>
      </c>
      <c r="AE102" s="89">
        <v>2341250</v>
      </c>
      <c r="AF102" s="89">
        <v>2390922</v>
      </c>
      <c r="AG102" s="89">
        <v>2388060</v>
      </c>
      <c r="AH102" s="89">
        <v>2294539</v>
      </c>
      <c r="AI102" s="89">
        <v>2241126</v>
      </c>
      <c r="AJ102" s="89">
        <v>2199929</v>
      </c>
      <c r="AK102" s="89">
        <v>2205097</v>
      </c>
      <c r="AL102" s="89">
        <v>2222322</v>
      </c>
      <c r="AM102" s="89">
        <v>2157124</v>
      </c>
      <c r="AN102" s="89">
        <v>2189098</v>
      </c>
      <c r="AO102" s="89">
        <v>2189624</v>
      </c>
      <c r="AP102" s="90">
        <v>2167305</v>
      </c>
      <c r="AQ102" s="76">
        <v>2199040</v>
      </c>
      <c r="AR102" s="76">
        <v>2073646</v>
      </c>
      <c r="AS102" s="76">
        <v>2033409</v>
      </c>
      <c r="AT102" s="76">
        <v>2016186</v>
      </c>
      <c r="AU102" s="76">
        <v>1954000</v>
      </c>
      <c r="AV102" s="76">
        <v>2007079</v>
      </c>
      <c r="AW102" s="76">
        <v>1950618</v>
      </c>
      <c r="AX102" s="76">
        <v>1983497</v>
      </c>
      <c r="AY102" s="76">
        <v>2067068</v>
      </c>
      <c r="AZ102" s="76">
        <v>2183183</v>
      </c>
      <c r="BA102" s="76">
        <v>2199326</v>
      </c>
      <c r="BB102" s="76">
        <v>2087913</v>
      </c>
      <c r="BC102" s="76">
        <v>2044365</v>
      </c>
      <c r="BD102" s="76">
        <v>2051026</v>
      </c>
      <c r="BE102" s="76">
        <v>2085355</v>
      </c>
      <c r="BF102" s="76">
        <v>2209000</v>
      </c>
      <c r="BG102" s="76">
        <v>2256166</v>
      </c>
      <c r="BH102" s="76">
        <v>2256464</v>
      </c>
      <c r="BI102" s="76">
        <v>2252959</v>
      </c>
      <c r="BJ102" s="76">
        <v>2283281</v>
      </c>
      <c r="BK102" s="76">
        <v>2295147</v>
      </c>
      <c r="BL102" s="76">
        <v>2225435</v>
      </c>
      <c r="BM102" s="76">
        <v>2213751</v>
      </c>
      <c r="BN102" s="76">
        <v>2192673</v>
      </c>
      <c r="BO102" s="76">
        <v>2117027</v>
      </c>
      <c r="BP102" s="76">
        <v>2096467</v>
      </c>
      <c r="BQ102" s="76">
        <v>2016085</v>
      </c>
      <c r="BR102" s="76">
        <v>1937451</v>
      </c>
      <c r="BS102" s="76">
        <v>1857934</v>
      </c>
      <c r="BT102" s="76">
        <v>1799183</v>
      </c>
      <c r="BU102" s="76">
        <v>1747361</v>
      </c>
      <c r="BV102" s="76">
        <v>1691828</v>
      </c>
      <c r="BW102" s="76">
        <v>1665929</v>
      </c>
      <c r="BX102" s="76">
        <v>1723527</v>
      </c>
      <c r="BY102" s="76">
        <v>1271445</v>
      </c>
      <c r="BZ102" s="76">
        <v>1248210</v>
      </c>
      <c r="CA102" s="76">
        <v>1211244</v>
      </c>
      <c r="CB102" s="76">
        <v>1229175</v>
      </c>
      <c r="CC102" s="76">
        <v>1064367</v>
      </c>
      <c r="CD102" s="76">
        <v>966369</v>
      </c>
      <c r="CE102" s="76">
        <v>902863</v>
      </c>
      <c r="CF102" s="76">
        <v>835283</v>
      </c>
      <c r="CG102" s="76">
        <v>790408</v>
      </c>
      <c r="CH102" s="76">
        <v>717704</v>
      </c>
      <c r="CI102" s="76">
        <v>672906</v>
      </c>
      <c r="CJ102" s="76">
        <v>632816</v>
      </c>
      <c r="CK102" s="76">
        <v>553643</v>
      </c>
      <c r="CL102" s="76">
        <v>520646</v>
      </c>
      <c r="CM102" s="76">
        <v>480833</v>
      </c>
      <c r="CN102" s="76">
        <v>440833</v>
      </c>
      <c r="CO102" s="76">
        <v>404962</v>
      </c>
      <c r="CP102" s="76">
        <v>347503</v>
      </c>
      <c r="CQ102" s="76">
        <v>308407</v>
      </c>
      <c r="CR102" s="76">
        <v>264262</v>
      </c>
      <c r="CS102" s="76">
        <v>219752</v>
      </c>
      <c r="CT102" s="76">
        <v>183879</v>
      </c>
      <c r="CU102" s="76">
        <v>146563</v>
      </c>
      <c r="CV102" s="76">
        <v>112669</v>
      </c>
      <c r="CW102" s="76">
        <v>86338</v>
      </c>
      <c r="CX102" s="76">
        <v>63373</v>
      </c>
      <c r="CY102" s="76">
        <v>44268</v>
      </c>
      <c r="CZ102" s="76">
        <v>64608</v>
      </c>
    </row>
    <row r="103" spans="1:104" ht="18" thickBot="1">
      <c r="A103" s="72" t="s">
        <v>661</v>
      </c>
      <c r="B103" s="73">
        <v>2020</v>
      </c>
      <c r="C103" s="76">
        <v>169467039</v>
      </c>
      <c r="D103" s="76">
        <v>2016583</v>
      </c>
      <c r="E103" s="76">
        <v>2014769</v>
      </c>
      <c r="F103" s="76">
        <v>2011338</v>
      </c>
      <c r="G103" s="76">
        <v>2005982</v>
      </c>
      <c r="H103" s="76">
        <v>1998821</v>
      </c>
      <c r="I103" s="76">
        <v>1990780</v>
      </c>
      <c r="J103" s="76">
        <v>1982117</v>
      </c>
      <c r="K103" s="76">
        <v>1972358</v>
      </c>
      <c r="L103" s="76">
        <v>1978369</v>
      </c>
      <c r="M103" s="76">
        <v>1990296</v>
      </c>
      <c r="N103" s="76">
        <v>1992755</v>
      </c>
      <c r="O103" s="76">
        <v>1993422</v>
      </c>
      <c r="P103" s="76">
        <v>2055067</v>
      </c>
      <c r="Q103" s="76">
        <v>2062790</v>
      </c>
      <c r="R103" s="76">
        <v>2046306</v>
      </c>
      <c r="S103" s="76">
        <v>2043372</v>
      </c>
      <c r="T103" s="76">
        <v>2053324</v>
      </c>
      <c r="U103" s="76">
        <v>2046530</v>
      </c>
      <c r="V103" s="88">
        <v>2047914</v>
      </c>
      <c r="W103" s="89">
        <v>2107498</v>
      </c>
      <c r="X103" s="89">
        <v>2148292</v>
      </c>
      <c r="Y103" s="89">
        <v>2129154</v>
      </c>
      <c r="Z103" s="89">
        <v>2142414</v>
      </c>
      <c r="AA103" s="89">
        <v>2160124</v>
      </c>
      <c r="AB103" s="89">
        <v>2179280</v>
      </c>
      <c r="AC103" s="89">
        <v>2226200</v>
      </c>
      <c r="AD103" s="89">
        <v>2269803</v>
      </c>
      <c r="AE103" s="89">
        <v>2298124</v>
      </c>
      <c r="AF103" s="89">
        <v>2359196</v>
      </c>
      <c r="AG103" s="89">
        <v>2407392</v>
      </c>
      <c r="AH103" s="89">
        <v>2402895</v>
      </c>
      <c r="AI103" s="89">
        <v>2307622</v>
      </c>
      <c r="AJ103" s="89">
        <v>2252477</v>
      </c>
      <c r="AK103" s="89">
        <v>2209941</v>
      </c>
      <c r="AL103" s="89">
        <v>2214009</v>
      </c>
      <c r="AM103" s="89">
        <v>2230370</v>
      </c>
      <c r="AN103" s="89">
        <v>2164701</v>
      </c>
      <c r="AO103" s="89">
        <v>2196181</v>
      </c>
      <c r="AP103" s="90">
        <v>2196315</v>
      </c>
      <c r="AQ103" s="76">
        <v>2173512</v>
      </c>
      <c r="AR103" s="76">
        <v>2204441</v>
      </c>
      <c r="AS103" s="76">
        <v>2078337</v>
      </c>
      <c r="AT103" s="76">
        <v>2037223</v>
      </c>
      <c r="AU103" s="76">
        <v>2019257</v>
      </c>
      <c r="AV103" s="76">
        <v>1956508</v>
      </c>
      <c r="AW103" s="76">
        <v>2008911</v>
      </c>
      <c r="AX103" s="76">
        <v>1952043</v>
      </c>
      <c r="AY103" s="76">
        <v>1984201</v>
      </c>
      <c r="AZ103" s="76">
        <v>2067063</v>
      </c>
      <c r="BA103" s="76">
        <v>2182324</v>
      </c>
      <c r="BB103" s="76">
        <v>2197770</v>
      </c>
      <c r="BC103" s="76">
        <v>2086060</v>
      </c>
      <c r="BD103" s="76">
        <v>2041966</v>
      </c>
      <c r="BE103" s="76">
        <v>2048199</v>
      </c>
      <c r="BF103" s="76">
        <v>2081903</v>
      </c>
      <c r="BG103" s="76">
        <v>2204480</v>
      </c>
      <c r="BH103" s="76">
        <v>2250839</v>
      </c>
      <c r="BI103" s="76">
        <v>2250455</v>
      </c>
      <c r="BJ103" s="76">
        <v>2246344</v>
      </c>
      <c r="BK103" s="76">
        <v>2275849</v>
      </c>
      <c r="BL103" s="76">
        <v>2286808</v>
      </c>
      <c r="BM103" s="76">
        <v>2216521</v>
      </c>
      <c r="BN103" s="76">
        <v>2203745</v>
      </c>
      <c r="BO103" s="76">
        <v>2181429</v>
      </c>
      <c r="BP103" s="76">
        <v>2104851</v>
      </c>
      <c r="BQ103" s="76">
        <v>2082753</v>
      </c>
      <c r="BR103" s="76">
        <v>2001203</v>
      </c>
      <c r="BS103" s="76">
        <v>1921310</v>
      </c>
      <c r="BT103" s="76">
        <v>1840576</v>
      </c>
      <c r="BU103" s="76">
        <v>1780332</v>
      </c>
      <c r="BV103" s="76">
        <v>1726881</v>
      </c>
      <c r="BW103" s="76">
        <v>1669655</v>
      </c>
      <c r="BX103" s="76">
        <v>1641491</v>
      </c>
      <c r="BY103" s="76">
        <v>1695235</v>
      </c>
      <c r="BZ103" s="76">
        <v>1248587</v>
      </c>
      <c r="CA103" s="76">
        <v>1223013</v>
      </c>
      <c r="CB103" s="76">
        <v>1183826</v>
      </c>
      <c r="CC103" s="76">
        <v>1197857</v>
      </c>
      <c r="CD103" s="76">
        <v>1034074</v>
      </c>
      <c r="CE103" s="76">
        <v>935639</v>
      </c>
      <c r="CF103" s="76">
        <v>870627</v>
      </c>
      <c r="CG103" s="76">
        <v>801905</v>
      </c>
      <c r="CH103" s="76">
        <v>755047</v>
      </c>
      <c r="CI103" s="76">
        <v>681641</v>
      </c>
      <c r="CJ103" s="76">
        <v>634809</v>
      </c>
      <c r="CK103" s="76">
        <v>592443</v>
      </c>
      <c r="CL103" s="76">
        <v>513958</v>
      </c>
      <c r="CM103" s="76">
        <v>478819</v>
      </c>
      <c r="CN103" s="76">
        <v>437679</v>
      </c>
      <c r="CO103" s="76">
        <v>396671</v>
      </c>
      <c r="CP103" s="76">
        <v>359763</v>
      </c>
      <c r="CQ103" s="76">
        <v>304408</v>
      </c>
      <c r="CR103" s="76">
        <v>266029</v>
      </c>
      <c r="CS103" s="76">
        <v>224136</v>
      </c>
      <c r="CT103" s="76">
        <v>183030</v>
      </c>
      <c r="CU103" s="76">
        <v>150152</v>
      </c>
      <c r="CV103" s="76">
        <v>117147</v>
      </c>
      <c r="CW103" s="76">
        <v>88036</v>
      </c>
      <c r="CX103" s="76">
        <v>65831</v>
      </c>
      <c r="CY103" s="76">
        <v>47087</v>
      </c>
      <c r="CZ103" s="76">
        <v>69469</v>
      </c>
    </row>
  </sheetData>
  <mergeCells count="1">
    <mergeCell ref="A1:H1"/>
  </mergeCells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2016-02-18T10:55:24Z</dcterms:created>
  <dcterms:modified xsi:type="dcterms:W3CDTF">2025-12-01T23:52:55Z</dcterms:modified>
  <cp:category/>
  <cp:contentStatus/>
</cp:coreProperties>
</file>